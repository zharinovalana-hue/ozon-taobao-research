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cc81e6c85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a069a6161a014cd3"/>
    <x:sheet xmlns:r="http://schemas.openxmlformats.org/officeDocument/2006/relationships" name="Параметры" sheetId="2" r:id="Rb8a2925ba417453c"/>
    <x:sheet xmlns:r="http://schemas.openxmlformats.org/officeDocument/2006/relationships" name="Когорты" sheetId="3" r:id="R96b1ce4cd21f4ec3"/>
    <x:sheet xmlns:r="http://schemas.openxmlformats.org/officeDocument/2006/relationships" name="Гипотезы" sheetId="4" r:id="R7c4633aca17e4f79"/>
    <x:sheet xmlns:r="http://schemas.openxmlformats.org/officeDocument/2006/relationships" name="Воздействие" sheetId="5" r:id="Rd5ae4f2a764f4e1e"/>
    <x:sheet xmlns:r="http://schemas.openxmlformats.org/officeDocument/2006/relationships" name="Штрафы" sheetId="6" r:id="R97fc1439828a4041"/>
    <x:sheet xmlns:r="http://schemas.openxmlformats.org/officeDocument/2006/relationships" name="Расчёт" sheetId="7" r:id="Rd60068e6c6d244ef"/>
    <x:sheet xmlns:r="http://schemas.openxmlformats.org/officeDocument/2006/relationships" name="Исходные" sheetId="8" r:id="Rd2af69da9356456e"/>
    <x:sheet xmlns:r="http://schemas.openxmlformats.org/officeDocument/2006/relationships" name="Внешние" sheetId="9" r:id="Rab1903d1bdac4d31"/>
    <x:sheet xmlns:r="http://schemas.openxmlformats.org/officeDocument/2006/relationships" name="Методика" sheetId="10" r:id="R4ecc5e25d008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#,##0.0"/>
    <x:numFmt numFmtId="202" formatCode="0.0000"/>
    <x:numFmt numFmtId="203" formatCode="#,##0"/>
    <x:numFmt numFmtId="204" formatCode="#,##0.00"/>
    <x:numFmt numFmtId="205" formatCode="0"/>
  </x:numFmts>
  <x:fonts count="7">
    <x:font>
      <x:sz val="11"/>
      <x:name val="Carlito"/>
    </x:font>
    <x:font>
      <x:sz val="10"/>
      <x:color rgb="FF25364A"/>
      <x:name val="Arial"/>
    </x:font>
    <x:font>
      <x:b/>
      <x:sz val="15"/>
      <x:color rgb="FF25364A"/>
      <x:name val="Arial"/>
    </x:font>
    <x:font>
      <x:b/>
      <x:sz val="10"/>
      <x:color rgb="FFFFFFFF"/>
      <x:name val="Arial"/>
    </x:font>
    <x:font>
      <x:sz val="10"/>
      <x:color rgb="FF1B59A0"/>
      <x:name val="Arial"/>
    </x:font>
    <x:font>
      <x:sz val="10"/>
      <x:name val="Arial"/>
    </x:font>
    <x:font>
      <x:b/>
      <x:sz val="10"/>
      <x:color rgb="FF2536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E60"/>
      </x:patternFill>
    </x:fill>
    <x:fill>
      <x:patternFill patternType="solid">
        <x:fgColor rgb="FFFFF1CC"/>
      </x:patternFill>
    </x:fill>
    <x:fill>
      <x:patternFill patternType="solid">
        <x:fgColor rgb="FFE9EE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1" fillId="0" borderId="0" xfId="0" applyNumberFormat="1" applyFont="1" applyFill="1" applyBorder="1"/>
    <x:xf numFmtId="201" fontId="4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  <x:xf numFmtId="200" fontId="1" fillId="4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9">
    <x:dxf>
      <x:font>
        <x:color rgb="FFA1281E"/>
      </x:font>
      <x:fill>
        <x:patternFill patternType="solid">
          <x:bgColor rgb="FFFCE0DC"/>
        </x:patternFill>
      </x:fill>
    </x:dxf>
    <x:dxf>
      <x:font>
        <x:color rgb="FFA1281E"/>
      </x:font>
      <x:fill>
        <x:patternFill patternType="solid">
          <x:bgColor rgb="FFFCE0DC"/>
        </x:patternFill>
      </x:fill>
    </x:dxf>
    <x:dxf>
      <x:font>
        <x:color rgb="FFA1281E"/>
      </x:font>
      <x:fill>
        <x:patternFill patternType="solid">
          <x:bgColor rgb="FFFCE0DC"/>
        </x:patternFill>
      </x:fill>
    </x:dxf>
    <x:dxf>
      <x:font>
        <x:color rgb="FFA1281E"/>
      </x:font>
      <x:fill>
        <x:patternFill patternType="solid">
          <x:bgColor rgb="FFFCE0DC"/>
        </x:patternFill>
      </x:fill>
    </x:dxf>
    <x:dxf>
      <x:font>
        <x:color rgb="FFA1281E"/>
      </x:font>
      <x:fill>
        <x:patternFill patternType="solid">
          <x:bgColor rgb="FFFCE0DC"/>
        </x:patternFill>
      </x:fill>
    </x:dxf>
    <x:dxf>
      <x:font>
        <x:color rgb="FF9A251B"/>
      </x:font>
      <x:fill>
        <x:patternFill patternType="solid">
          <x:bgColor rgb="FFFCE0DC"/>
        </x:patternFill>
      </x:fill>
    </x:dxf>
    <x:dxf>
      <x:font>
        <x:color rgb="FF9A251B"/>
      </x:font>
      <x:fill>
        <x:patternFill patternType="solid">
          <x:bgColor rgb="FFFCE0DC"/>
        </x:patternFill>
      </x:fill>
    </x:dxf>
    <x:dxf>
      <x:font>
        <x:color rgb="FF9A251B"/>
      </x:font>
      <x:fill>
        <x:patternFill patternType="solid">
          <x:bgColor rgb="FFFCE0DC"/>
        </x:patternFill>
      </x:fill>
    </x:dxf>
    <x:dxf>
      <x:font>
        <x:color rgb="FF9A251B"/>
      </x:font>
      <x:fill>
        <x:patternFill patternType="solid">
          <x:bgColor rgb="FFFCE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3b3d1c1d240b4" /><Relationship Type="http://schemas.openxmlformats.org/officeDocument/2006/relationships/theme" Target="/xl/theme/theme1.xml" Id="R303113a26c5b4a85" /><Relationship Type="http://schemas.openxmlformats.org/officeDocument/2006/relationships/sharedStrings" Target="/xl/sharedStrings.xml" Id="Ra6ce5341057f4053" /><Relationship Type="http://schemas.openxmlformats.org/officeDocument/2006/relationships/worksheet" Target="/xl/worksheets/sheet1.xml" Id="Ra069a6161a014cd3" /><Relationship Type="http://schemas.openxmlformats.org/officeDocument/2006/relationships/worksheet" Target="/xl/worksheets/sheet2.xml" Id="Rb8a2925ba417453c" /><Relationship Type="http://schemas.openxmlformats.org/officeDocument/2006/relationships/worksheet" Target="/xl/worksheets/sheet3.xml" Id="R96b1ce4cd21f4ec3" /><Relationship Type="http://schemas.openxmlformats.org/officeDocument/2006/relationships/worksheet" Target="/xl/worksheets/sheet4.xml" Id="R7c4633aca17e4f79" /><Relationship Type="http://schemas.openxmlformats.org/officeDocument/2006/relationships/worksheet" Target="/xl/worksheets/sheet5.xml" Id="Rd5ae4f2a764f4e1e" /><Relationship Type="http://schemas.openxmlformats.org/officeDocument/2006/relationships/worksheet" Target="/xl/worksheets/sheet6.xml" Id="R97fc1439828a4041" /><Relationship Type="http://schemas.openxmlformats.org/officeDocument/2006/relationships/worksheet" Target="/xl/worksheets/sheet7.xml" Id="Rd60068e6c6d244ef" /><Relationship Type="http://schemas.openxmlformats.org/officeDocument/2006/relationships/worksheet" Target="/xl/worksheets/sheet8.xml" Id="Rd2af69da9356456e" /><Relationship Type="http://schemas.openxmlformats.org/officeDocument/2006/relationships/worksheet" Target="/xl/worksheets/sheet9.xml" Id="Rab1903d1bdac4d31" /><Relationship Type="http://schemas.openxmlformats.org/officeDocument/2006/relationships/worksheet" Target="/xl/worksheets/sheet10.xml" Id="R4ecc5e25d0084b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e63d81855a43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Δ глобальной CR, п.п. · отдельные варианты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Δ global CR, п.п.</c:v>
          </c:tx>
          <c:spPr>
            <a:solidFill xmlns:a="http://schemas.openxmlformats.org/drawingml/2006/main">
              <a:srgbClr val="416AA0"/>
            </a:solidFill>
          </c:spPr>
          <c:invertIfNegative val="0"/>
          <c:cat>
            <c:strRef>
              <c:f>'Итоги'!$M$25:$M$32</c:f>
              <c:strCache>
                <c:ptCount val="0"/>
              </c:strCache>
            </c:strRef>
          </c:cat>
          <c:val>
            <c:numRef>
              <c:f>'Итоги'!$N$25:$N$32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6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e63d81855a434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a90a54ad28043b4" /></Relationships>
</file>

<file path=xl/worksheets/sheet1.xml><?xml version="1.0" encoding="utf-8"?>
<x:worksheet xmlns:x="http://schemas.openxmlformats.org/spreadsheetml/2006/main">
  <x:sheetPr>
    <x:tabColor rgb="FF3A5A8D"/>
  </x:sheetPr>
  <x:sheetViews>
    <x:sheetView showGridLines="0" workbookViewId="0"/>
  </x:sheetViews>
  <x:sheetFormatPr defaultRowHeight="15"/>
  <x:cols>
    <x:col min="1" max="1" width="18" hidden="0" customWidth="1"/>
    <x:col min="2" max="2" width="39" hidden="0" customWidth="1"/>
    <x:col min="3" max="3" width="2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32" customHeight="1">
      <x:c r="A2" s="2" t="str">
        <x:v>Ozon · Корзина — не копилка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4" customHeight="1">
      <x:c r="A3" s="1" t="str">
        <x:v>Сценарий</x:v>
      </x:c>
      <x:c r="B3" s="1" t="str">
        <x:f>CHOOSE('Параметры'!B3,"Мало китов","Базовый","Много китов")</x:f>
        <x:v>Базовый</x:v>
      </x:c>
      <x:c r="C3" s="1"/>
      <x:c r="D3" s="1" t="str">
        <x:v>Тип результата</x:v>
      </x:c>
      <x:c r="E3" s="1" t="str">
        <x:v>Условный расчёт, не прогноз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4" customHeight="1">
      <x:c r="A5" s="1" t="str">
        <x:v>Глобальная CR0</x:v>
      </x:c>
      <x:c r="B5" s="8" t="n">
        <x:f>'Параметры'!B27</x:f>
        <x:v>0.201</x:v>
      </x:c>
      <x:c r="C5" s="1"/>
      <x:c r="D5" s="1" t="str">
        <x:v>DAU Ozon</x:v>
      </x:c>
      <x:c r="E5" s="1" t="n">
        <x:f>'Параметры'!B8</x:f>
        <x:v>100000</x:v>
      </x:c>
      <x:c r="F5" s="1"/>
      <x:c r="G5" s="1" t="str">
        <x:v>Проверка базы</x:v>
      </x:c>
      <x:c r="H5" s="1" t="str">
        <x:f>IF(AND('Параметры'!B28=1,'Когорты'!X10=1),"OK","Исправить ввод")</x:f>
        <x:v>OK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4" customHeight="1">
      <x:c r="A6" s="1" t="str">
        <x:v>+10% относительно CR цели. Штрафы и охват — допущения. Все H сравниваются отдельно с одной базой.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50" customHeight="1">
      <x:c r="A7" s="7" t="str">
        <x:v>H</x:v>
      </x:c>
      <x:c r="B7" s="7" t="str">
        <x:v>Решение</x:v>
      </x:c>
      <x:c r="C7" s="7" t="str">
        <x:v>Вход</x:v>
      </x:c>
      <x:c r="D7" s="7" t="str">
        <x:v>Целевых людей</x:v>
      </x:c>
      <x:c r="E7" s="7" t="str">
        <x:v>Δ покупателей</x:v>
      </x:c>
      <x:c r="F7" s="7" t="str">
        <x:v>Δ global CR, п.п.</x:v>
      </x:c>
      <x:c r="G7" s="7" t="str">
        <x:v>Δ global CR, %</x:v>
      </x:c>
      <x:c r="H7" s="7" t="str">
        <x:v>Guard CR C</x:v>
      </x:c>
      <x:c r="I7" s="7" t="str">
        <x:v>Guard CR F</x:v>
      </x:c>
      <x:c r="J7" s="7" t="str">
        <x:v>Guard ARPU</x:v>
      </x:c>
      <x:c r="K7" s="7" t="str">
        <x:v>Сценарий</x:v>
      </x:c>
      <x:c r="L7" s="1"/>
      <x:c r="M7" s="1"/>
      <x:c r="N7" s="1"/>
      <x:c r="O7" s="1"/>
      <x:c r="P7" s="1"/>
      <x:c r="Q7" s="1"/>
      <x:c r="R7" s="1"/>
      <x:c r="S7" s="1"/>
    </x:row>
    <x:row r="8" ht="24" customHeight="1">
      <x:c r="A8" s="1" t="str">
        <x:v>H1</x:v>
      </x:c>
      <x:c r="B8" s="1" t="str">
        <x:v>Поиск и фильтры в Корзине</x:v>
      </x:c>
      <x:c r="C8" s="1" t="str">
        <x:v>Корзина</x:v>
      </x:c>
      <x:c r="D8" s="12" t="n">
        <x:f>IF('Расчёт'!S140=1,'Расчёт'!C140,"Исправить ввод")</x:f>
        <x:v>13000</x:v>
      </x:c>
      <x:c r="E8" s="12" t="n">
        <x:f>IF('Расчёт'!S140=1,'Расчёт'!U140,"Исправить ввод")</x:f>
        <x:v>157.97396138092518</x:v>
      </x:c>
      <x:c r="F8" s="16" t="n">
        <x:f>IF('Расчёт'!S140=1,'Расчёт'!V140*100,"Исправить ввод")</x:f>
        <x:v>0.15797396138092518</x:v>
      </x:c>
      <x:c r="G8" s="8" t="n">
        <x:f>IF('Расчёт'!S140=1,'Расчёт'!AF140,"Исправить ввод")</x:f>
        <x:v>0.007859401063727622</x:v>
      </x:c>
      <x:c r="H8" s="24" t="str">
        <x:f>IF('Расчёт'!S140=1,IF('Расчёт'!AC140=1,"OK","Падение"),"Исправить ввод")</x:f>
        <x:v>OK</x:v>
      </x:c>
      <x:c r="I8" s="24" t="str">
        <x:f>IF('Расчёт'!S140=1,IF('Расчёт'!AD140=1,"OK","Падение"),"Исправить ввод")</x:f>
        <x:v>OK</x:v>
      </x:c>
      <x:c r="J8" s="24" t="str">
        <x:f>IF('Расчёт'!S140=1,IF('Расчёт'!AE140=1,"OK","Падение"),"Исправить ввод")</x:f>
        <x:v>OK</x:v>
      </x:c>
      <x:c r="K8" s="1" t="str">
        <x:f>IF('Расчёт'!S140=1,IF(AND(E8&gt;0,H8="OK",I8="OK",J8="OK"),"Проходит условно","Не проходит"),"Исправить ввод")</x:f>
        <x:v>Проходит условно</x:v>
      </x:c>
      <x:c r="L8" s="1"/>
      <x:c r="M8" s="1"/>
      <x:c r="N8" s="1"/>
      <x:c r="O8" s="1"/>
      <x:c r="P8" s="1"/>
      <x:c r="Q8" s="1"/>
      <x:c r="R8" s="1"/>
      <x:c r="S8" s="1"/>
    </x:row>
    <x:row r="9" ht="24" customHeight="1">
      <x:c r="A9" s="1" t="str">
        <x:v>H2</x:v>
      </x:c>
      <x:c r="B9" s="1" t="str">
        <x:v>Сохранение выбранного SKU</x:v>
      </x:c>
      <x:c r="C9" s="1" t="str">
        <x:v>Оба раздела</x:v>
      </x:c>
      <x:c r="D9" s="12" t="n">
        <x:f>IF('Расчёт'!S141=1,'Расчёт'!C141,"Исправить ввод")</x:f>
        <x:v>15210</x:v>
      </x:c>
      <x:c r="E9" s="12" t="n">
        <x:f>IF('Расчёт'!S141=1,'Расчёт'!U141,"Исправить ввод")</x:f>
        <x:v>222.17762580456474</x:v>
      </x:c>
      <x:c r="F9" s="16" t="n">
        <x:f>IF('Расчёт'!S141=1,'Расчёт'!V141*100,"Исправить ввод")</x:f>
        <x:v>0.22217762580456474</x:v>
      </x:c>
      <x:c r="G9" s="8" t="n">
        <x:f>IF('Расчёт'!S141=1,'Расчёт'!AF141,"Исправить ввод")</x:f>
        <x:v>0.0110536132241077</x:v>
      </x:c>
      <x:c r="H9" s="24" t="str">
        <x:f>IF('Расчёт'!S141=1,IF('Расчёт'!AC141=1,"OK","Падение"),"Исправить ввод")</x:f>
        <x:v>OK</x:v>
      </x:c>
      <x:c r="I9" s="24" t="str">
        <x:f>IF('Расчёт'!S141=1,IF('Расчёт'!AD141=1,"OK","Падение"),"Исправить ввод")</x:f>
        <x:v>OK</x:v>
      </x:c>
      <x:c r="J9" s="24" t="str">
        <x:f>IF('Расчёт'!S141=1,IF('Расчёт'!AE141=1,"OK","Падение"),"Исправить ввод")</x:f>
        <x:v>OK</x:v>
      </x:c>
      <x:c r="K9" s="1" t="str">
        <x:f>IF('Расчёт'!S141=1,IF(AND(E9&gt;0,H9="OK",I9="OK",J9="OK"),"Проходит условно","Не проходит"),"Исправить ввод")</x:f>
        <x:v>Проходит условно</x:v>
      </x:c>
      <x:c r="L9" s="1"/>
      <x:c r="M9" s="1"/>
      <x:c r="N9" s="1"/>
      <x:c r="O9" s="1"/>
      <x:c r="P9" s="1"/>
      <x:c r="Q9" s="1"/>
      <x:c r="R9" s="1"/>
      <x:c r="S9" s="1"/>
    </x:row>
    <x:row r="10" ht="24" customHeight="1">
      <x:c r="A10" s="1" t="str">
        <x:v>H3</x:v>
      </x:c>
      <x:c r="B10" s="1" t="str">
        <x:v>Купить сейчас / На потом</x:v>
      </x:c>
      <x:c r="C10" s="1" t="str">
        <x:v>Корзина</x:v>
      </x:c>
      <x:c r="D10" s="12" t="n">
        <x:f>IF('Расчёт'!S142=1,'Расчёт'!C142,"Исправить ввод")</x:f>
        <x:v>16250</x:v>
      </x:c>
      <x:c r="E10" s="12" t="n">
        <x:f>IF('Расчёт'!S142=1,'Расчёт'!U142,"Исправить ввод")</x:f>
        <x:v>220.25215769455826</x:v>
      </x:c>
      <x:c r="F10" s="16" t="n">
        <x:f>IF('Расчёт'!S142=1,'Расчёт'!V142*100,"Исправить ввод")</x:f>
        <x:v>0.22025215769455828</x:v>
      </x:c>
      <x:c r="G10" s="8" t="n">
        <x:f>IF('Расчёт'!S142=1,'Расчёт'!AF142,"Исправить ввод")</x:f>
        <x:v>0.010957818790774045</x:v>
      </x:c>
      <x:c r="H10" s="24" t="str">
        <x:f>IF('Расчёт'!S142=1,IF('Расчёт'!AC142=1,"OK","Падение"),"Исправить ввод")</x:f>
        <x:v>OK</x:v>
      </x:c>
      <x:c r="I10" s="24" t="str">
        <x:f>IF('Расчёт'!S142=1,IF('Расчёт'!AD142=1,"OK","Падение"),"Исправить ввод")</x:f>
        <x:v>OK</x:v>
      </x:c>
      <x:c r="J10" s="24" t="str">
        <x:f>IF('Расчёт'!S142=1,IF('Расчёт'!AE142=1,"OK","Падение"),"Исправить ввод")</x:f>
        <x:v>OK</x:v>
      </x:c>
      <x:c r="K10" s="1" t="str">
        <x:f>IF('Расчёт'!S142=1,IF(AND(E10&gt;0,H10="OK",I10="OK",J10="OK"),"Проходит условно","Не проходит"),"Исправить ввод")</x:f>
        <x:v>Проходит условно</x:v>
      </x:c>
      <x:c r="L10" s="1"/>
      <x:c r="M10" s="1"/>
      <x:c r="N10" s="1"/>
      <x:c r="O10" s="1"/>
      <x:c r="P10" s="1"/>
      <x:c r="Q10" s="1"/>
      <x:c r="R10" s="1"/>
      <x:c r="S10" s="1"/>
    </x:row>
    <x:row r="11" ht="24" customHeight="1">
      <x:c r="A11" s="1" t="str">
        <x:v>H4</x:v>
      </x:c>
      <x:c r="B11" s="1" t="str">
        <x:v>Сквозной поиск</x:v>
      </x:c>
      <x:c r="C11" s="1" t="str">
        <x:v>Оба раздела</x:v>
      </x:c>
      <x:c r="D11" s="12" t="n">
        <x:f>IF('Расчёт'!S143=1,'Расчёт'!C143,"Исправить ввод")</x:f>
        <x:v>18460</x:v>
      </x:c>
      <x:c r="E11" s="12" t="n">
        <x:f>IF('Расчёт'!S143=1,'Расчёт'!U143,"Исправить ввод")</x:f>
        <x:v>260.3232884727913</x:v>
      </x:c>
      <x:c r="F11" s="16" t="n">
        <x:f>IF('Расчёт'!S143=1,'Расчёт'!V143*100,"Исправить ввод")</x:f>
        <x:v>0.26032328847279135</x:v>
      </x:c>
      <x:c r="G11" s="8" t="n">
        <x:f>IF('Расчёт'!S143=1,'Расчёт'!AF143,"Исправить ввод")</x:f>
        <x:v>0.012951407386706039</x:v>
      </x:c>
      <x:c r="H11" s="24" t="str">
        <x:f>IF('Расчёт'!S143=1,IF('Расчёт'!AC143=1,"OK","Падение"),"Исправить ввод")</x:f>
        <x:v>OK</x:v>
      </x:c>
      <x:c r="I11" s="24" t="str">
        <x:f>IF('Расчёт'!S143=1,IF('Расчёт'!AD143=1,"OK","Падение"),"Исправить ввод")</x:f>
        <x:v>OK</x:v>
      </x:c>
      <x:c r="J11" s="24" t="str">
        <x:f>IF('Расчёт'!S143=1,IF('Расчёт'!AE143=1,"OK","Падение"),"Исправить ввод")</x:f>
        <x:v>OK</x:v>
      </x:c>
      <x:c r="K11" s="1" t="str">
        <x:f>IF('Расчёт'!S143=1,IF(AND(E11&gt;0,H11="OK",I11="OK",J11="OK"),"Проходит условно","Не проходит"),"Исправить ввод")</x:f>
        <x:v>Проходит условно</x:v>
      </x:c>
      <x:c r="L11" s="1"/>
      <x:c r="M11" s="1"/>
      <x:c r="N11" s="1"/>
      <x:c r="O11" s="1"/>
      <x:c r="P11" s="1"/>
      <x:c r="Q11" s="1"/>
      <x:c r="R11" s="1"/>
      <x:c r="S11" s="1"/>
    </x:row>
    <x:row r="12" ht="24" customHeight="1">
      <x:c r="A12" s="1" t="str">
        <x:v>H5</x:v>
      </x:c>
      <x:c r="B12" s="1" t="str">
        <x:v>Ускоренная покупка из F</x:v>
      </x:c>
      <x:c r="C12" s="1" t="str">
        <x:v>Избранное</x:v>
      </x:c>
      <x:c r="D12" s="12" t="n">
        <x:f>IF('Расчёт'!S144=1,'Расчёт'!C144,"Исправить ввод")</x:f>
        <x:v>4160</x:v>
      </x:c>
      <x:c r="E12" s="12" t="n">
        <x:f>IF('Расчёт'!S144=1,'Расчёт'!U144,"Исправить ввод")</x:f>
        <x:v>42.41164423639566</x:v>
      </x:c>
      <x:c r="F12" s="16" t="n">
        <x:f>IF('Расчёт'!S144=1,'Расчёт'!V144*100,"Исправить ввод")</x:f>
        <x:v>0.04241164423639566</x:v>
      </x:c>
      <x:c r="G12" s="8" t="n">
        <x:f>IF('Расчёт'!S144=1,'Расчёт'!AF144,"Исправить ввод")</x:f>
        <x:v>0.0021100320515619734</x:v>
      </x:c>
      <x:c r="H12" s="24" t="str">
        <x:f>IF('Расчёт'!S144=1,IF('Расчёт'!AC144=1,"OK","Падение"),"Исправить ввод")</x:f>
        <x:v>OK</x:v>
      </x:c>
      <x:c r="I12" s="24" t="str">
        <x:f>IF('Расчёт'!S144=1,IF('Расчёт'!AD144=1,"OK","Падение"),"Исправить ввод")</x:f>
        <x:v>OK</x:v>
      </x:c>
      <x:c r="J12" s="24" t="str">
        <x:f>IF('Расчёт'!S144=1,IF('Расчёт'!AE144=1,"OK","Падение"),"Исправить ввод")</x:f>
        <x:v>OK</x:v>
      </x:c>
      <x:c r="K12" s="1" t="str">
        <x:f>IF('Расчёт'!S144=1,IF(AND(E12&gt;0,H12="OK",I12="OK",J12="OK"),"Проходит условно","Не проходит"),"Исправить ввод")</x:f>
        <x:v>Проходит условно</x:v>
      </x:c>
      <x:c r="L12" s="1"/>
      <x:c r="M12" s="1"/>
      <x:c r="N12" s="1"/>
      <x:c r="O12" s="1"/>
      <x:c r="P12" s="1"/>
      <x:c r="Q12" s="1"/>
      <x:c r="R12" s="1"/>
      <x:c r="S12" s="1"/>
    </x:row>
    <x:row r="13" ht="24" customHeight="1">
      <x:c r="A13" s="17" t="str">
        <x:v>H6</x:v>
      </x:c>
      <x:c r="B13" s="17" t="str">
        <x:v>Выбранная альтернатива H6</x:v>
      </x:c>
      <x:c r="C13" s="17" t="str">
        <x:v>Избранное</x:v>
      </x:c>
      <x:c r="D13" s="18" t="n">
        <x:f>CHOOSE('Параметры'!B5,D14,D15,D16)</x:f>
        <x:v>2340</x:v>
      </x:c>
      <x:c r="E13" s="18" t="n">
        <x:f>CHOOSE('Параметры'!B5,E14,E15,E16)</x:f>
        <x:v>24.260898186072154</x:v>
      </x:c>
      <x:c r="F13" s="19" t="n">
        <x:f>CHOOSE('Параметры'!B5,F14,F15,F16)</x:f>
        <x:v>0.024260898186072154</x:v>
      </x:c>
      <x:c r="G13" s="20" t="n">
        <x:f>CHOOSE('Параметры'!B5,G14,G15,G16)</x:f>
        <x:v>0.00120700986000359</x:v>
      </x:c>
      <x:c r="H13" s="25" t="str">
        <x:f>CHOOSE('Параметры'!B5,H14,H15,H16)</x:f>
        <x:v>OK</x:v>
      </x:c>
      <x:c r="I13" s="25" t="str">
        <x:f>CHOOSE('Параметры'!B5,I14,I15,I16)</x:f>
        <x:v>OK</x:v>
      </x:c>
      <x:c r="J13" s="25" t="str">
        <x:f>CHOOSE('Параметры'!B5,J14,J15,J16)</x:f>
        <x:v>OK</x:v>
      </x:c>
      <x:c r="K13" s="17" t="str">
        <x:f>CHOOSE('Параметры'!B5,K14,K15,K16)</x:f>
        <x:v>Проходит условно</x:v>
      </x:c>
      <x:c r="L13" s="1"/>
      <x:c r="M13" s="1"/>
      <x:c r="N13" s="1"/>
      <x:c r="O13" s="1"/>
      <x:c r="P13" s="1"/>
      <x:c r="Q13" s="1"/>
      <x:c r="R13" s="1"/>
      <x:c r="S13" s="1"/>
    </x:row>
    <x:row r="14" ht="24" customHeight="1">
      <x:c r="A14" s="1" t="str">
        <x:v>H6.1</x:v>
      </x:c>
      <x:c r="B14" s="1" t="str">
        <x:v>Сравнение сохранённых</x:v>
      </x:c>
      <x:c r="C14" s="1" t="str">
        <x:v>Избранное</x:v>
      </x:c>
      <x:c r="D14" s="12" t="n">
        <x:f>IF('Расчёт'!S145=1,'Расчёт'!C145,"Исправить ввод")</x:f>
        <x:v>2340</x:v>
      </x:c>
      <x:c r="E14" s="12" t="n">
        <x:f>IF('Расчёт'!S145=1,'Расчёт'!U145,"Исправить ввод")</x:f>
        <x:v>24.260898186072154</x:v>
      </x:c>
      <x:c r="F14" s="16" t="n">
        <x:f>IF('Расчёт'!S145=1,'Расчёт'!V145*100,"Исправить ввод")</x:f>
        <x:v>0.024260898186072154</x:v>
      </x:c>
      <x:c r="G14" s="8" t="n">
        <x:f>IF('Расчёт'!S145=1,'Расчёт'!AF145,"Исправить ввод")</x:f>
        <x:v>0.00120700986000359</x:v>
      </x:c>
      <x:c r="H14" s="24" t="str">
        <x:f>IF('Расчёт'!S145=1,IF('Расчёт'!AC145=1,"OK","Падение"),"Исправить ввод")</x:f>
        <x:v>OK</x:v>
      </x:c>
      <x:c r="I14" s="24" t="str">
        <x:f>IF('Расчёт'!S145=1,IF('Расчёт'!AD145=1,"OK","Падение"),"Исправить ввод")</x:f>
        <x:v>OK</x:v>
      </x:c>
      <x:c r="J14" s="24" t="str">
        <x:f>IF('Расчёт'!S145=1,IF('Расчёт'!AE145=1,"OK","Падение"),"Исправить ввод")</x:f>
        <x:v>OK</x:v>
      </x:c>
      <x:c r="K14" s="1" t="str">
        <x:f>IF('Расчёт'!S145=1,IF(AND(E14&gt;0,H14="OK",I14="OK",J14="OK"),"Проходит условно","Не проходит"),"Исправить ввод")</x:f>
        <x:v>Проходит условно</x:v>
      </x:c>
      <x:c r="L14" s="1"/>
      <x:c r="M14" s="1"/>
      <x:c r="N14" s="1"/>
      <x:c r="O14" s="1"/>
      <x:c r="P14" s="1"/>
      <x:c r="Q14" s="1"/>
      <x:c r="R14" s="1"/>
      <x:c r="S14" s="1"/>
    </x:row>
    <x:row r="15" ht="24" customHeight="1">
      <x:c r="A15" s="1" t="str">
        <x:v>H6.2</x:v>
      </x:c>
      <x:c r="B15" s="1" t="str">
        <x:v>Отбор по условиям покупки</x:v>
      </x:c>
      <x:c r="C15" s="1" t="str">
        <x:v>Избранное</x:v>
      </x:c>
      <x:c r="D15" s="12" t="n">
        <x:f>IF('Расчёт'!S146=1,'Расчёт'!C146,"Исправить ввод")</x:f>
        <x:v>2340</x:v>
      </x:c>
      <x:c r="E15" s="12" t="n">
        <x:f>IF('Расчёт'!S146=1,'Расчёт'!U146,"Исправить ввод")</x:f>
        <x:v>24.260898186072154</x:v>
      </x:c>
      <x:c r="F15" s="16" t="n">
        <x:f>IF('Расчёт'!S146=1,'Расчёт'!V146*100,"Исправить ввод")</x:f>
        <x:v>0.024260898186072154</x:v>
      </x:c>
      <x:c r="G15" s="8" t="n">
        <x:f>IF('Расчёт'!S146=1,'Расчёт'!AF146,"Исправить ввод")</x:f>
        <x:v>0.00120700986000359</x:v>
      </x:c>
      <x:c r="H15" s="24" t="str">
        <x:f>IF('Расчёт'!S146=1,IF('Расчёт'!AC146=1,"OK","Падение"),"Исправить ввод")</x:f>
        <x:v>OK</x:v>
      </x:c>
      <x:c r="I15" s="24" t="str">
        <x:f>IF('Расчёт'!S146=1,IF('Расчёт'!AD146=1,"OK","Падение"),"Исправить ввод")</x:f>
        <x:v>OK</x:v>
      </x:c>
      <x:c r="J15" s="24" t="str">
        <x:f>IF('Расчёт'!S146=1,IF('Расчёт'!AE146=1,"OK","Падение"),"Исправить ввод")</x:f>
        <x:v>OK</x:v>
      </x:c>
      <x:c r="K15" s="1" t="str">
        <x:f>IF('Расчёт'!S146=1,IF(AND(E15&gt;0,H15="OK",I15="OK",J15="OK"),"Проходит условно","Не проходит"),"Исправить ввод")</x:f>
        <x:v>Проходит условно</x:v>
      </x:c>
      <x:c r="L15" s="1"/>
      <x:c r="M15" s="1"/>
      <x:c r="N15" s="1"/>
      <x:c r="O15" s="1"/>
      <x:c r="P15" s="1"/>
      <x:c r="Q15" s="1"/>
      <x:c r="R15" s="1"/>
      <x:c r="S15" s="1"/>
    </x:row>
    <x:row r="16" ht="24" customHeight="1">
      <x:c r="A16" s="1" t="str">
        <x:v>H6.3</x:v>
      </x:c>
      <x:c r="B16" s="1" t="str">
        <x:v>Шорт-лист фаворитов</x:v>
      </x:c>
      <x:c r="C16" s="1" t="str">
        <x:v>Избранное</x:v>
      </x:c>
      <x:c r="D16" s="12" t="n">
        <x:f>IF('Расчёт'!S147=1,'Расчёт'!C147,"Исправить ввод")</x:f>
        <x:v>2340</x:v>
      </x:c>
      <x:c r="E16" s="12" t="n">
        <x:f>IF('Расчёт'!S147=1,'Расчёт'!U147,"Исправить ввод")</x:f>
        <x:v>24.260898186072154</x:v>
      </x:c>
      <x:c r="F16" s="16" t="n">
        <x:f>IF('Расчёт'!S147=1,'Расчёт'!V147*100,"Исправить ввод")</x:f>
        <x:v>0.024260898186072154</x:v>
      </x:c>
      <x:c r="G16" s="8" t="n">
        <x:f>IF('Расчёт'!S147=1,'Расчёт'!AF147,"Исправить ввод")</x:f>
        <x:v>0.00120700986000359</x:v>
      </x:c>
      <x:c r="H16" s="24" t="str">
        <x:f>IF('Расчёт'!S147=1,IF('Расчёт'!AC147=1,"OK","Падение"),"Исправить ввод")</x:f>
        <x:v>OK</x:v>
      </x:c>
      <x:c r="I16" s="24" t="str">
        <x:f>IF('Расчёт'!S147=1,IF('Расчёт'!AD147=1,"OK","Падение"),"Исправить ввод")</x:f>
        <x:v>OK</x:v>
      </x:c>
      <x:c r="J16" s="24" t="str">
        <x:f>IF('Расчёт'!S147=1,IF('Расчёт'!AE147=1,"OK","Падение"),"Исправить ввод")</x:f>
        <x:v>OK</x:v>
      </x:c>
      <x:c r="K16" s="1" t="str">
        <x:f>IF('Расчёт'!S147=1,IF(AND(E16&gt;0,H16="OK",I16="OK",J16="OK"),"Проходит условно","Не проходит"),"Исправить ввод")</x:f>
        <x:v>Проходит условно</x:v>
      </x:c>
      <x:c r="L16" s="1"/>
      <x:c r="M16" s="1"/>
      <x:c r="N16" s="1"/>
      <x:c r="O16" s="1"/>
      <x:c r="P16" s="1"/>
      <x:c r="Q16" s="1"/>
      <x:c r="R16" s="1"/>
      <x:c r="S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4" customHeight="1">
      <x:c r="A19" s="1" t="str">
        <x:v>H6 — одна альтернатива, а не сумма трёх. Нельзя складывать строки H и получать общий эффект.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4" customHeight="1">
      <x:c r="A20" s="1" t="str">
        <x:v>Охват C: 65 000, F: 13 000 при исходной нормировке. Избранное не расширяет охват Корзины автоматически.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50" customHeight="1">
      <x:c r="A23" s="7" t="str">
        <x:v>H</x:v>
      </x:c>
      <x:c r="B23" s="7" t="str">
        <x:v>Global CR0</x:v>
      </x:c>
      <x:c r="C23" s="7" t="str">
        <x:v>Global CR1</x:v>
      </x:c>
      <x:c r="D23" s="7" t="str">
        <x:v>CR C0</x:v>
      </x:c>
      <x:c r="E23" s="7" t="str">
        <x:v>CR C1</x:v>
      </x:c>
      <x:c r="F23" s="7" t="str">
        <x:v>CR F0</x:v>
      </x:c>
      <x:c r="G23" s="7" t="str">
        <x:v>CR F1</x:v>
      </x:c>
      <x:c r="H23" s="7" t="str">
        <x:v>ARPU0, ₽</x:v>
      </x:c>
      <x:c r="I23" s="7" t="str">
        <x:v>ARPU1, ₽</x:v>
      </x:c>
      <x:c r="J23" s="7" t="str">
        <x:v>Δ ARPU, %</x:v>
      </x:c>
      <x:c r="K23" s="7" t="str">
        <x:v>Потери базы, людей</x:v>
      </x:c>
      <x:c r="L23" s="1"/>
      <x:c r="M23" s="1"/>
      <x:c r="N23" s="1"/>
      <x:c r="O23" s="1"/>
      <x:c r="P23" s="1"/>
      <x:c r="Q23" s="1"/>
      <x:c r="R23" s="1"/>
      <x:c r="S23" s="1"/>
    </x:row>
    <x:row r="24" ht="24" customHeight="1">
      <x:c r="A24" s="1" t="str">
        <x:v>H1</x:v>
      </x:c>
      <x:c r="B24" s="8" t="n">
        <x:f>IF('Расчёт'!S140=1,'Параметры'!B27,"")</x:f>
        <x:v>0.201</x:v>
      </x:c>
      <x:c r="C24" s="8" t="n">
        <x:f>IF('Расчёт'!S140=1,'Расчёт'!T140,"")</x:f>
        <x:v>0.2025797396138092</x:v>
      </x:c>
      <x:c r="D24" s="8" t="n">
        <x:f>IF('Расчёт'!S140=1,'Расчёт'!W140,"")</x:f>
        <x:v>0.2783499122293739</x:v>
      </x:c>
      <x:c r="E24" s="8" t="n">
        <x:f>IF('Расчёт'!S140=1,'Расчёт'!X140,"")</x:f>
        <x:v>0.2807802808660035</x:v>
      </x:c>
      <x:c r="F24" s="8" t="n">
        <x:f>IF('Расчёт'!S140=1,'Расчёт'!Y140,"")</x:f>
        <x:v>0.16465769455822118</x:v>
      </x:c>
      <x:c r="G24" s="8" t="n">
        <x:f>IF('Расчёт'!S140=1,'Расчёт'!Z140,"")</x:f>
        <x:v>0.16602691632533645</x:v>
      </x:c>
      <x:c r="H24" s="12" t="n">
        <x:f>IF('Расчёт'!S140=1,'Расчёт'!AA140,"")</x:f>
        <x:v>200.99999999999991</x:v>
      </x:c>
      <x:c r="I24" s="12" t="n">
        <x:f>IF('Расчёт'!S140=1,'Расчёт'!AB140,"")</x:f>
        <x:v>202.57973961380918</x:v>
      </x:c>
      <x:c r="J24" s="8" t="n">
        <x:f>IF('Расчёт'!S140=1,IF(H24=0,"n.a.",I24/H24-1),"")</x:f>
        <x:v>0.007859401063727622</x:v>
      </x:c>
      <x:c r="K24" s="12" t="n">
        <x:f>IF('Расчёт'!S140=1,'Расчёт'!AI140,"")</x:f>
        <x:v>0</x:v>
      </x:c>
      <x:c r="L24" s="1"/>
      <x:c r="M24" s="1" t="str">
        <x:v>Вариант</x:v>
      </x:c>
      <x:c r="N24" s="1" t="str">
        <x:v>Δ global CR, п.п.</x:v>
      </x:c>
      <x:c r="O24" s="1"/>
      <x:c r="P24" s="1"/>
      <x:c r="Q24" s="1"/>
      <x:c r="R24" s="1"/>
      <x:c r="S24" s="1"/>
    </x:row>
    <x:row r="25" ht="24" customHeight="1">
      <x:c r="A25" s="1" t="str">
        <x:v>H2</x:v>
      </x:c>
      <x:c r="B25" s="8" t="n">
        <x:f>IF('Расчёт'!S141=1,'Параметры'!B27,"")</x:f>
        <x:v>0.201</x:v>
      </x:c>
      <x:c r="C25" s="8" t="n">
        <x:f>IF('Расчёт'!S141=1,'Расчёт'!T141,"")</x:f>
        <x:v>0.2032217762580456</x:v>
      </x:c>
      <x:c r="D25" s="8" t="n">
        <x:f>IF('Расчёт'!S141=1,'Расчёт'!W141,"")</x:f>
        <x:v>0.2783499122293739</x:v>
      </x:c>
      <x:c r="E25" s="8" t="n">
        <x:f>IF('Расчёт'!S141=1,'Расчёт'!X141,"")</x:f>
        <x:v>0.2817459771796372</x:v>
      </x:c>
      <x:c r="F25" s="8" t="n">
        <x:f>IF('Расчёт'!S141=1,'Расчёт'!Y141,"")</x:f>
        <x:v>0.16465769455822118</x:v>
      </x:c>
      <x:c r="G25" s="8" t="n">
        <x:f>IF('Расчёт'!S141=1,'Расчёт'!Z141,"")</x:f>
        <x:v>0.16785528818022236</x:v>
      </x:c>
      <x:c r="H25" s="12" t="n">
        <x:f>IF('Расчёт'!S141=1,'Расчёт'!AA141,"")</x:f>
        <x:v>200.99999999999991</x:v>
      </x:c>
      <x:c r="I25" s="12" t="n">
        <x:f>IF('Расчёт'!S141=1,'Расчёт'!AB141,"")</x:f>
        <x:v>203.2217762580456</x:v>
      </x:c>
      <x:c r="J25" s="8" t="n">
        <x:f>IF('Расчёт'!S141=1,IF(H25=0,"n.a.",I25/H25-1),"")</x:f>
        <x:v>0.011053613224107917</x:v>
      </x:c>
      <x:c r="K25" s="12" t="n">
        <x:f>IF('Расчёт'!S141=1,'Расчёт'!AI141,"")</x:f>
        <x:v>0</x:v>
      </x:c>
      <x:c r="L25" s="1"/>
      <x:c r="M25" s="1" t="str">
        <x:v>H1</x:v>
      </x:c>
      <x:c r="N25" s="16" t="n">
        <x:f>F8</x:f>
        <x:v>0.15797396138092518</x:v>
      </x:c>
      <x:c r="O25" s="1"/>
      <x:c r="P25" s="1"/>
      <x:c r="Q25" s="1"/>
      <x:c r="R25" s="1"/>
      <x:c r="S25" s="1"/>
    </x:row>
    <x:row r="26" ht="24" customHeight="1">
      <x:c r="A26" s="1" t="str">
        <x:v>H3</x:v>
      </x:c>
      <x:c r="B26" s="8" t="n">
        <x:f>IF('Расчёт'!S142=1,'Параметры'!B27,"")</x:f>
        <x:v>0.201</x:v>
      </x:c>
      <x:c r="C26" s="8" t="n">
        <x:f>IF('Расчёт'!S142=1,'Расчёт'!T142,"")</x:f>
        <x:v>0.20320252157694554</x:v>
      </x:c>
      <x:c r="D26" s="8" t="n">
        <x:f>IF('Расчёт'!S142=1,'Расчёт'!W142,"")</x:f>
        <x:v>0.2783499122293739</x:v>
      </x:c>
      <x:c r="E26" s="8" t="n">
        <x:f>IF('Расчёт'!S142=1,'Расчёт'!X142,"")</x:f>
        <x:v>0.2817384069631363</x:v>
      </x:c>
      <x:c r="F26" s="8" t="n">
        <x:f>IF('Расчёт'!S142=1,'Расчёт'!Y142,"")</x:f>
        <x:v>0.16465769455822118</x:v>
      </x:c>
      <x:c r="G26" s="8" t="n">
        <x:f>IF('Расчёт'!S142=1,'Расчёт'!Z142,"")</x:f>
        <x:v>0.16656670567583384</x:v>
      </x:c>
      <x:c r="H26" s="12" t="n">
        <x:f>IF('Расчёт'!S142=1,'Расчёт'!AA142,"")</x:f>
        <x:v>200.99999999999991</x:v>
      </x:c>
      <x:c r="I26" s="12" t="n">
        <x:f>IF('Расчёт'!S142=1,'Расчёт'!AB142,"")</x:f>
        <x:v>203.20252157694551</x:v>
      </x:c>
      <x:c r="J26" s="8" t="n">
        <x:f>IF('Расчёт'!S142=1,IF(H26=0,"n.a.",I26/H26-1),"")</x:f>
        <x:v>0.010957818790774176</x:v>
      </x:c>
      <x:c r="K26" s="12" t="n">
        <x:f>IF('Расчёт'!S142=1,'Расчёт'!AI142,"")</x:f>
        <x:v>0</x:v>
      </x:c>
      <x:c r="L26" s="1"/>
      <x:c r="M26" s="1" t="str">
        <x:v>H2</x:v>
      </x:c>
      <x:c r="N26" s="16" t="n">
        <x:f>F9</x:f>
        <x:v>0.22217762580456474</x:v>
      </x:c>
      <x:c r="O26" s="1"/>
      <x:c r="P26" s="1"/>
      <x:c r="Q26" s="1"/>
      <x:c r="R26" s="1"/>
      <x:c r="S26" s="1"/>
    </x:row>
    <x:row r="27" ht="24" customHeight="1">
      <x:c r="A27" s="1" t="str">
        <x:v>H4</x:v>
      </x:c>
      <x:c r="B27" s="8" t="n">
        <x:f>IF('Расчёт'!S143=1,'Параметры'!B27,"")</x:f>
        <x:v>0.201</x:v>
      </x:c>
      <x:c r="C27" s="8" t="n">
        <x:f>IF('Расчёт'!S143=1,'Расчёт'!T143,"")</x:f>
        <x:v>0.20360323288472787</x:v>
      </x:c>
      <x:c r="D27" s="8" t="n">
        <x:f>IF('Расчёт'!S143=1,'Расчёт'!W143,"")</x:f>
        <x:v>0.2783499122293739</x:v>
      </x:c>
      <x:c r="E27" s="8" t="n">
        <x:f>IF('Расчёт'!S143=1,'Расчёт'!X143,"")</x:f>
        <x:v>0.28233382094792275</x:v>
      </x:c>
      <x:c r="F27" s="8" t="n">
        <x:f>IF('Расчёт'!S143=1,'Расчёт'!Y143,"")</x:f>
        <x:v>0.16465769455822118</x:v>
      </x:c>
      <x:c r="G27" s="8" t="n">
        <x:f>IF('Расчёт'!S143=1,'Расчёт'!Z143,"")</x:f>
        <x:v>0.16809391456992395</x:v>
      </x:c>
      <x:c r="H27" s="12" t="n">
        <x:f>IF('Расчёт'!S143=1,'Расчёт'!AA143,"")</x:f>
        <x:v>200.99999999999991</x:v>
      </x:c>
      <x:c r="I27" s="12" t="n">
        <x:f>IF('Расчёт'!S143=1,'Расчёт'!AB143,"")</x:f>
        <x:v>203.60323288472782</x:v>
      </x:c>
      <x:c r="J27" s="8" t="n">
        <x:f>IF('Расчёт'!S143=1,IF(H27=0,"n.a.",I27/H27-1),"")</x:f>
        <x:v>0.012951407386706082</x:v>
      </x:c>
      <x:c r="K27" s="12" t="n">
        <x:f>IF('Расчёт'!S143=1,'Расчёт'!AI143,"")</x:f>
        <x:v>0</x:v>
      </x:c>
      <x:c r="L27" s="1"/>
      <x:c r="M27" s="1" t="str">
        <x:v>H3</x:v>
      </x:c>
      <x:c r="N27" s="16" t="n">
        <x:f>F10</x:f>
        <x:v>0.22025215769455828</x:v>
      </x:c>
      <x:c r="O27" s="1"/>
      <x:c r="P27" s="1"/>
      <x:c r="Q27" s="1"/>
      <x:c r="R27" s="1"/>
      <x:c r="S27" s="1"/>
    </x:row>
    <x:row r="28" ht="24" customHeight="1">
      <x:c r="A28" s="1" t="str">
        <x:v>H5</x:v>
      </x:c>
      <x:c r="B28" s="8" t="n">
        <x:f>IF('Расчёт'!S144=1,'Параметры'!B27,"")</x:f>
        <x:v>0.201</x:v>
      </x:c>
      <x:c r="C28" s="8" t="n">
        <x:f>IF('Расчёт'!S144=1,'Расчёт'!T144,"")</x:f>
        <x:v>0.2014241164423639</x:v>
      </x:c>
      <x:c r="D28" s="8" t="n">
        <x:f>IF('Расчёт'!S144=1,'Расчёт'!W144,"")</x:f>
        <x:v>0.2783499122293739</x:v>
      </x:c>
      <x:c r="E28" s="8" t="n">
        <x:f>IF('Расчёт'!S144=1,'Расчёт'!X144,"")</x:f>
        <x:v>0.2789713282621416</x:v>
      </x:c>
      <x:c r="F28" s="8" t="n">
        <x:f>IF('Расчёт'!S144=1,'Расчёт'!Y144,"")</x:f>
        <x:v>0.16465769455822118</x:v>
      </x:c>
      <x:c r="G28" s="8" t="n">
        <x:f>IF('Расчёт'!S144=1,'Расчёт'!Z144,"")</x:f>
        <x:v>0.1679201287302516</x:v>
      </x:c>
      <x:c r="H28" s="12" t="n">
        <x:f>IF('Расчёт'!S144=1,'Расчёт'!AA144,"")</x:f>
        <x:v>200.99999999999991</x:v>
      </x:c>
      <x:c r="I28" s="12" t="n">
        <x:f>IF('Расчёт'!S144=1,'Расчёт'!AB144,"")</x:f>
        <x:v>201.4241164423639</x:v>
      </x:c>
      <x:c r="J28" s="8" t="n">
        <x:f>IF('Расчёт'!S144=1,IF(H28=0,"n.a.",I28/H28-1),"")</x:f>
        <x:v>0.0021100320515621274</x:v>
      </x:c>
      <x:c r="K28" s="12" t="n">
        <x:f>IF('Расчёт'!S144=1,'Расчёт'!AI144,"")</x:f>
        <x:v>0</x:v>
      </x:c>
      <x:c r="L28" s="1"/>
      <x:c r="M28" s="1" t="str">
        <x:v>H4</x:v>
      </x:c>
      <x:c r="N28" s="16" t="n">
        <x:f>F11</x:f>
        <x:v>0.26032328847279135</x:v>
      </x:c>
      <x:c r="O28" s="1"/>
      <x:c r="P28" s="1"/>
      <x:c r="Q28" s="1"/>
      <x:c r="R28" s="1"/>
      <x:c r="S28" s="1"/>
    </x:row>
    <x:row r="29" ht="24" customHeight="1">
      <x:c r="A29" s="1" t="str">
        <x:v>H6.1</x:v>
      </x:c>
      <x:c r="B29" s="8" t="n">
        <x:f>IF('Расчёт'!S145=1,'Параметры'!B27,"")</x:f>
        <x:v>0.201</x:v>
      </x:c>
      <x:c r="C29" s="8" t="n">
        <x:f>IF('Расчёт'!S145=1,'Расчёт'!T145,"")</x:f>
        <x:v>0.2012426089818607</x:v>
      </x:c>
      <x:c r="D29" s="8" t="n">
        <x:f>IF('Расчёт'!S145=1,'Расчёт'!W145,"")</x:f>
        <x:v>0.2783499122293739</x:v>
      </x:c>
      <x:c r="E29" s="8" t="n">
        <x:f>IF('Расчёт'!S145=1,'Расчёт'!X145,"")</x:f>
        <x:v>0.2787053832650673</x:v>
      </x:c>
      <x:c r="F29" s="8" t="n">
        <x:f>IF('Расчёт'!S145=1,'Расчёт'!Y145,"")</x:f>
        <x:v>0.16465769455822118</x:v>
      </x:c>
      <x:c r="G29" s="8" t="n">
        <x:f>IF('Расчёт'!S145=1,'Расчёт'!Z145,"")</x:f>
        <x:v>0.16652391749561146</x:v>
      </x:c>
      <x:c r="H29" s="12" t="n">
        <x:f>IF('Расчёт'!S145=1,'Расчёт'!AA145,"")</x:f>
        <x:v>200.99999999999991</x:v>
      </x:c>
      <x:c r="I29" s="12" t="n">
        <x:f>IF('Расчёт'!S145=1,'Расчёт'!AB145,"")</x:f>
        <x:v>201.24260898186066</x:v>
      </x:c>
      <x:c r="J29" s="8" t="n">
        <x:f>IF('Расчёт'!S145=1,IF(H29=0,"n.a.",I29/H29-1),"")</x:f>
        <x:v>0.0012070098600036605</x:v>
      </x:c>
      <x:c r="K29" s="12" t="n">
        <x:f>IF('Расчёт'!S145=1,'Расчёт'!AI145,"")</x:f>
        <x:v>0</x:v>
      </x:c>
      <x:c r="L29" s="1"/>
      <x:c r="M29" s="1" t="str">
        <x:v>H5</x:v>
      </x:c>
      <x:c r="N29" s="16" t="n">
        <x:f>F12</x:f>
        <x:v>0.04241164423639566</x:v>
      </x:c>
      <x:c r="O29" s="1"/>
      <x:c r="P29" s="1"/>
      <x:c r="Q29" s="1"/>
      <x:c r="R29" s="1"/>
      <x:c r="S29" s="1"/>
    </x:row>
    <x:row r="30" ht="24" customHeight="1">
      <x:c r="A30" s="1" t="str">
        <x:v>H6.2</x:v>
      </x:c>
      <x:c r="B30" s="8" t="n">
        <x:f>IF('Расчёт'!S146=1,'Параметры'!B27,"")</x:f>
        <x:v>0.201</x:v>
      </x:c>
      <x:c r="C30" s="8" t="n">
        <x:f>IF('Расчёт'!S146=1,'Расчёт'!T146,"")</x:f>
        <x:v>0.2012426089818607</x:v>
      </x:c>
      <x:c r="D30" s="8" t="n">
        <x:f>IF('Расчёт'!S146=1,'Расчёт'!W146,"")</x:f>
        <x:v>0.2783499122293739</x:v>
      </x:c>
      <x:c r="E30" s="8" t="n">
        <x:f>IF('Расчёт'!S146=1,'Расчёт'!X146,"")</x:f>
        <x:v>0.2787053832650673</x:v>
      </x:c>
      <x:c r="F30" s="8" t="n">
        <x:f>IF('Расчёт'!S146=1,'Расчёт'!Y146,"")</x:f>
        <x:v>0.16465769455822118</x:v>
      </x:c>
      <x:c r="G30" s="8" t="n">
        <x:f>IF('Расчёт'!S146=1,'Расчёт'!Z146,"")</x:f>
        <x:v>0.16652391749561146</x:v>
      </x:c>
      <x:c r="H30" s="12" t="n">
        <x:f>IF('Расчёт'!S146=1,'Расчёт'!AA146,"")</x:f>
        <x:v>200.99999999999991</x:v>
      </x:c>
      <x:c r="I30" s="12" t="n">
        <x:f>IF('Расчёт'!S146=1,'Расчёт'!AB146,"")</x:f>
        <x:v>201.24260898186066</x:v>
      </x:c>
      <x:c r="J30" s="8" t="n">
        <x:f>IF('Расчёт'!S146=1,IF(H30=0,"n.a.",I30/H30-1),"")</x:f>
        <x:v>0.0012070098600036605</x:v>
      </x:c>
      <x:c r="K30" s="12" t="n">
        <x:f>IF('Расчёт'!S146=1,'Расчёт'!AI146,"")</x:f>
        <x:v>0</x:v>
      </x:c>
      <x:c r="L30" s="1"/>
      <x:c r="M30" s="1" t="str">
        <x:v>H6.1</x:v>
      </x:c>
      <x:c r="N30" s="16" t="n">
        <x:f>F14</x:f>
        <x:v>0.024260898186072154</x:v>
      </x:c>
      <x:c r="O30" s="1"/>
      <x:c r="P30" s="1"/>
      <x:c r="Q30" s="1"/>
      <x:c r="R30" s="1"/>
      <x:c r="S30" s="1"/>
    </x:row>
    <x:row r="31" ht="24" customHeight="1">
      <x:c r="A31" s="1" t="str">
        <x:v>H6.3</x:v>
      </x:c>
      <x:c r="B31" s="8" t="n">
        <x:f>IF('Расчёт'!S147=1,'Параметры'!B27,"")</x:f>
        <x:v>0.201</x:v>
      </x:c>
      <x:c r="C31" s="8" t="n">
        <x:f>IF('Расчёт'!S147=1,'Расчёт'!T147,"")</x:f>
        <x:v>0.2012426089818607</x:v>
      </x:c>
      <x:c r="D31" s="8" t="n">
        <x:f>IF('Расчёт'!S147=1,'Расчёт'!W147,"")</x:f>
        <x:v>0.2783499122293739</x:v>
      </x:c>
      <x:c r="E31" s="8" t="n">
        <x:f>IF('Расчёт'!S147=1,'Расчёт'!X147,"")</x:f>
        <x:v>0.2787053832650673</x:v>
      </x:c>
      <x:c r="F31" s="8" t="n">
        <x:f>IF('Расчёт'!S147=1,'Расчёт'!Y147,"")</x:f>
        <x:v>0.16465769455822118</x:v>
      </x:c>
      <x:c r="G31" s="8" t="n">
        <x:f>IF('Расчёт'!S147=1,'Расчёт'!Z147,"")</x:f>
        <x:v>0.16652391749561146</x:v>
      </x:c>
      <x:c r="H31" s="12" t="n">
        <x:f>IF('Расчёт'!S147=1,'Расчёт'!AA147,"")</x:f>
        <x:v>200.99999999999991</x:v>
      </x:c>
      <x:c r="I31" s="12" t="n">
        <x:f>IF('Расчёт'!S147=1,'Расчёт'!AB147,"")</x:f>
        <x:v>201.24260898186066</x:v>
      </x:c>
      <x:c r="J31" s="8" t="n">
        <x:f>IF('Расчёт'!S147=1,IF(H31=0,"n.a.",I31/H31-1),"")</x:f>
        <x:v>0.0012070098600036605</x:v>
      </x:c>
      <x:c r="K31" s="12" t="n">
        <x:f>IF('Расчёт'!S147=1,'Расчёт'!AI147,"")</x:f>
        <x:v>0</x:v>
      </x:c>
      <x:c r="L31" s="1"/>
      <x:c r="M31" s="1" t="str">
        <x:v>H6.2</x:v>
      </x:c>
      <x:c r="N31" s="16" t="n">
        <x:f>F15</x:f>
        <x:v>0.024260898186072154</x:v>
      </x:c>
      <x:c r="O31" s="1"/>
      <x:c r="P31" s="1"/>
      <x:c r="Q31" s="1"/>
      <x:c r="R31" s="1"/>
      <x:c r="S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 t="str">
        <x:v>H6.3</x:v>
      </x:c>
      <x:c r="N32" s="16" t="n">
        <x:f>F16</x:f>
        <x:v>0.024260898186072154</x:v>
      </x:c>
      <x:c r="O32" s="1"/>
      <x:c r="P32" s="1"/>
      <x:c r="Q32" s="1"/>
      <x:c r="R32" s="1"/>
      <x:c r="S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50" customHeight="1">
      <x:c r="A34" s="7" t="str">
        <x:v>Охват</x:v>
      </x:c>
      <x:c r="B34" s="7" t="str">
        <x:v>Корзина</x:v>
      </x:c>
      <x:c r="C34" s="7" t="str">
        <x:v>Избранное</x:v>
      </x:c>
      <x:c r="D34" s="7" t="str">
        <x:v>База</x:v>
      </x:c>
      <x:c r="E34" s="7" t="str">
        <x:v>Тип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4" customHeight="1">
      <x:c r="A35" s="1" t="str">
        <x:v>День</x:v>
      </x:c>
      <x:c r="B35" s="21" t="n">
        <x:f>'Параметры'!B31</x:f>
        <x:v>65000</x:v>
      </x:c>
      <x:c r="C35" s="21" t="n">
        <x:f>'Параметры'!B32</x:f>
        <x:v>13000</x:v>
      </x:c>
      <x:c r="D35" s="21" t="n">
        <x:f>'Параметры'!B8</x:f>
        <x:v>100000</x:v>
      </x:c>
      <x:c r="E35" s="1" t="str">
        <x:v>Расчёт из фактов и нормировки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4" customHeight="1">
      <x:c r="A36" s="1" t="str">
        <x:v>Месяц</x:v>
      </x:c>
      <x:c r="B36" s="21" t="n">
        <x:f>'Параметры'!B33</x:f>
        <x:v>364000</x:v>
      </x:c>
      <x:c r="C36" s="21" t="n">
        <x:f>'Параметры'!B34</x:f>
        <x:v>80000</x:v>
      </x:c>
      <x:c r="D36" s="21" t="n">
        <x:f>'Параметры'!B9</x:f>
        <x:v>400000</x:v>
      </x:c>
      <x:c r="E36" s="1" t="str">
        <x:v>Расчёт, в дневной CR не участвует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</x:sheetData>
  <x:conditionalFormatting sqref="H8:K16">
    <x:cfRule type="containsText" dxfId="5" priority="1" operator="containsText" text="Падение"/>
    <x:cfRule type="containsText" dxfId="6" priority="2" operator="containsText" text="Не проходит"/>
  </x:conditionalFormatting>
  <x:pageMargins left="0.7" right="0.7" top="0.75" bottom="0.75" header="0.3" footer="0.3"/>
  <x:drawing xmlns:r="http://schemas.openxmlformats.org/officeDocument/2006/relationships" r:id="R3a90a54ad28043b4"/>
</x:worksheet>
</file>

<file path=xl/worksheets/sheet2.xml><?xml version="1.0" encoding="utf-8"?>
<x:worksheet xmlns:x="http://schemas.openxmlformats.org/spreadsheetml/2006/main">
  <x:sheetPr>
    <x:tabColor rgb="FF3A5A8D"/>
  </x:sheetPr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22" hidden="0" customWidth="1"/>
    <x:col min="7" max="7" width="4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32" customHeight="1">
      <x:c r="A2" s="2" t="str">
        <x:v>Параметры</x:v>
      </x:c>
      <x:c r="B2" s="1"/>
      <x:c r="C2" s="1"/>
      <x:c r="D2" s="1"/>
      <x:c r="E2" s="1"/>
      <x:c r="F2" s="1"/>
      <x:c r="G2" s="1"/>
    </x:row>
    <x:row r="3" ht="24" customHeight="1">
      <x:c r="A3" s="1" t="str">
        <x:v>Сценарий</x:v>
      </x:c>
      <x:c r="B3" s="10" t="n">
        <x:v>2</x:v>
      </x:c>
      <x:c r="C3" s="1"/>
      <x:c r="D3" s="1" t="str">
        <x:v>1 Мало китов</x:v>
      </x:c>
      <x:c r="E3" s="1" t="str">
        <x:v>2 Базовый</x:v>
      </x:c>
      <x:c r="F3" s="1" t="str">
        <x:v>3 Много китов</x:v>
      </x:c>
      <x:c r="G3" s="1"/>
    </x:row>
    <x:row r="4" ht="24" customHeight="1">
      <x:c r="A4" s="1" t="str">
        <x:v>Якорь абсолютной CR</x:v>
      </x:c>
      <x:c r="B4" s="10" t="n">
        <x:v>1</x:v>
      </x:c>
      <x:c r="C4" s="1"/>
      <x:c r="D4" s="1" t="str">
        <x:v>1 CR китов</x:v>
      </x:c>
      <x:c r="E4" s="1" t="str">
        <x:v>2 Глобальная CR</x:v>
      </x:c>
      <x:c r="F4" s="1"/>
      <x:c r="G4" s="1"/>
    </x:row>
    <x:row r="5" ht="24" customHeight="1">
      <x:c r="A5" s="1" t="str">
        <x:v>Альтернатива H6</x:v>
      </x:c>
      <x:c r="B5" s="10" t="n">
        <x:v>1</x:v>
      </x:c>
      <x:c r="C5" s="1"/>
      <x:c r="D5" s="1" t="str">
        <x:v>1 Сравнение</x:v>
      </x:c>
      <x:c r="E5" s="1" t="str">
        <x:v>2 Фильтрация</x:v>
      </x:c>
      <x:c r="F5" s="1" t="str">
        <x:v>3 Шорт-лист</x:v>
      </x:c>
      <x:c r="G5" s="1"/>
    </x:row>
    <x:row r="6" ht="24" customHeight="1">
      <x:c r="A6" s="1"/>
      <x:c r="B6" s="1"/>
      <x:c r="C6" s="1"/>
      <x:c r="D6" s="1"/>
      <x:c r="E6" s="1"/>
      <x:c r="F6" s="1"/>
      <x:c r="G6" s="1"/>
    </x:row>
    <x:row r="7" ht="50" customHeight="1">
      <x:c r="A7" s="7" t="str">
        <x:v>Вход</x:v>
      </x:c>
      <x:c r="B7" s="7" t="str">
        <x:v>Значение</x:v>
      </x:c>
      <x:c r="C7" s="7" t="str">
        <x:v>Тип</x:v>
      </x:c>
      <x:c r="D7" s="7" t="str">
        <x:v>Основание</x:v>
      </x:c>
      <x:c r="E7" s="1"/>
      <x:c r="F7" s="1"/>
      <x:c r="G7" s="1"/>
    </x:row>
    <x:row r="8" ht="24" customHeight="1">
      <x:c r="A8" s="1" t="str">
        <x:v>DAU Ozon</x:v>
      </x:c>
      <x:c r="B8" s="10" t="n">
        <x:v>100000</x:v>
      </x:c>
      <x:c r="C8" s="1" t="str">
        <x:v>Допущение</x:v>
      </x:c>
      <x:c r="D8" s="1" t="str">
        <x:v>Нормировка из запроса</x:v>
      </x:c>
      <x:c r="E8" s="1"/>
      <x:c r="F8" s="1"/>
      <x:c r="G8" s="1"/>
    </x:row>
    <x:row r="9" ht="24" customHeight="1">
      <x:c r="A9" s="1" t="str">
        <x:v>MAU Ozon</x:v>
      </x:c>
      <x:c r="B9" s="10" t="n">
        <x:v>400000</x:v>
      </x:c>
      <x:c r="C9" s="1" t="str">
        <x:v>Допущение</x:v>
      </x:c>
      <x:c r="D9" s="1" t="str">
        <x:v>Только месячный охват, не дневная CR</x:v>
      </x:c>
      <x:c r="E9" s="1"/>
      <x:c r="F9" s="1"/>
      <x:c r="G9" s="1"/>
    </x:row>
    <x:row r="10" ht="24" customHeight="1">
      <x:c r="A10" s="1" t="str">
        <x:v>Uplift до штрафов</x:v>
      </x:c>
      <x:c r="B10" s="11" t="n">
        <x:v>0.1</x:v>
      </x:c>
      <x:c r="C10" s="1" t="str">
        <x:v>Допущение</x:v>
      </x:c>
      <x:c r="D10" s="1" t="str">
        <x:v>Единый мысленный эксперимент</x:v>
      </x:c>
      <x:c r="E10" s="1"/>
      <x:c r="F10" s="1"/>
      <x:c r="G10" s="1"/>
    </x:row>
    <x:row r="11" ht="24" customHeight="1">
      <x:c r="A11" s="1"/>
      <x:c r="B11" s="1"/>
      <x:c r="C11" s="1"/>
      <x:c r="D11" s="1"/>
      <x:c r="E11" s="1"/>
      <x:c r="F11" s="1"/>
      <x:c r="G11" s="1"/>
    </x:row>
    <x:row r="12" ht="24" customHeight="1">
      <x:c r="A12" s="1"/>
      <x:c r="B12" s="1"/>
      <x:c r="C12" s="1"/>
      <x:c r="D12" s="1"/>
      <x:c r="E12" s="1"/>
      <x:c r="F12" s="1"/>
      <x:c r="G12" s="1"/>
    </x:row>
    <x:row r="13" ht="24" customHeight="1">
      <x:c r="A13" s="1"/>
      <x:c r="B13" s="1"/>
      <x:c r="C13" s="1"/>
      <x:c r="D13" s="1"/>
      <x:c r="E13" s="1"/>
      <x:c r="F13" s="1"/>
      <x:c r="G13" s="1"/>
    </x:row>
    <x:row r="14" ht="50" customHeight="1">
      <x:c r="A14" s="7" t="str">
        <x:v>Драйвер</x:v>
      </x:c>
      <x:c r="B14" s="7" t="str">
        <x:v>Активный расчёт</x:v>
      </x:c>
      <x:c r="C14" s="7" t="str">
        <x:v>Мало китов</x:v>
      </x:c>
      <x:c r="D14" s="7" t="str">
        <x:v>Базовый</x:v>
      </x:c>
      <x:c r="E14" s="7" t="str">
        <x:v>Много китов</x:v>
      </x:c>
      <x:c r="F14" s="7" t="str">
        <x:v>Тип входов</x:v>
      </x:c>
      <x:c r="G14" s="7" t="str">
        <x:v>Комментарий</x:v>
      </x:c>
    </x:row>
    <x:row r="15" ht="24" customHeight="1">
      <x:c r="A15" s="1" t="str">
        <x:v>Доля: киты</x:v>
      </x:c>
      <x:c r="B15" s="8" t="n">
        <x:f>IF(CHOOSE($B$3,ISNUMBER(C15),ISNUMBER(D15),ISNUMBER(E15)),CHOOSE($B$3,C15,D15,E15),"")</x:f>
        <x:v>0.2</x:v>
      </x:c>
      <x:c r="C15" s="11" t="n">
        <x:v>0.1</x:v>
      </x:c>
      <x:c r="D15" s="11" t="n">
        <x:v>0.2</x:v>
      </x:c>
      <x:c r="E15" s="11" t="n">
        <x:v>0.3</x:v>
      </x:c>
      <x:c r="F15" s="1" t="str">
        <x:v>Допущение</x:v>
      </x:c>
      <x:c r="G15" s="1" t="str">
        <x:v>Численность неизвестна</x:v>
      </x:c>
    </x:row>
    <x:row r="16" ht="24" customHeight="1">
      <x:c r="A16" s="1" t="str">
        <x:v>Доля: большая C / большая F</x:v>
      </x:c>
      <x:c r="B16" s="8" t="n">
        <x:f>IF(CHOOSE($B$3,ISNUMBER(C16),ISNUMBER(D16),ISNUMBER(E16)),CHOOSE($B$3,C16,D16,E16),"")</x:f>
        <x:v>0.2</x:v>
      </x:c>
      <x:c r="C16" s="11" t="n">
        <x:v>0.15</x:v>
      </x:c>
      <x:c r="D16" s="11" t="n">
        <x:v>0.2</x:v>
      </x:c>
      <x:c r="E16" s="11" t="n">
        <x:v>0.25</x:v>
      </x:c>
      <x:c r="F16" s="1" t="str">
        <x:v>Допущение</x:v>
      </x:c>
      <x:c r="G16" s="1" t="str">
        <x:v>Численность неизвестна</x:v>
      </x:c>
    </x:row>
    <x:row r="17" ht="24" customHeight="1">
      <x:c r="A17" s="1" t="str">
        <x:v>Доля: большая C / малая F</x:v>
      </x:c>
      <x:c r="B17" s="8" t="n">
        <x:f>IF(CHOOSE($B$3,ISNUMBER(C17),ISNUMBER(D17),ISNUMBER(E17)),CHOOSE($B$3,C17,D17,E17),"")</x:f>
        <x:v>0.3</x:v>
      </x:c>
      <x:c r="C17" s="11" t="n">
        <x:v>0.35</x:v>
      </x:c>
      <x:c r="D17" s="11" t="n">
        <x:v>0.3</x:v>
      </x:c>
      <x:c r="E17" s="11" t="n">
        <x:v>0.25</x:v>
      </x:c>
      <x:c r="F17" s="1" t="str">
        <x:v>Допущение</x:v>
      </x:c>
      <x:c r="G17" s="1" t="str">
        <x:v>Численность неизвестна</x:v>
      </x:c>
    </x:row>
    <x:row r="18" ht="24" customHeight="1">
      <x:c r="A18" s="1" t="str">
        <x:v>Доля: малая C / малая F</x:v>
      </x:c>
      <x:c r="B18" s="8" t="n">
        <x:f>IF(CHOOSE($B$3,ISNUMBER(C18),ISNUMBER(D18),ISNUMBER(E18)),CHOOSE($B$3,C18,D18,E18),"")</x:f>
        <x:v>0.3</x:v>
      </x:c>
      <x:c r="C18" s="11" t="n">
        <x:v>0.4</x:v>
      </x:c>
      <x:c r="D18" s="11" t="n">
        <x:v>0.3</x:v>
      </x:c>
      <x:c r="E18" s="11" t="n">
        <x:v>0.2</x:v>
      </x:c>
      <x:c r="F18" s="1" t="str">
        <x:v>Допущение</x:v>
      </x:c>
      <x:c r="G18" s="1" t="str">
        <x:v>Численность неизвестна</x:v>
      </x:c>
    </x:row>
    <x:row r="19" ht="24" customHeight="1">
      <x:c r="A19" s="1" t="str">
        <x:v>Якорная CR китов</x:v>
      </x:c>
      <x:c r="B19" s="8" t="n">
        <x:f>IF(CHOOSE($B$3,ISNUMBER(C19),ISNUMBER(D19),ISNUMBER(E19)),CHOOSE($B$3,C19,D19,E19),"")</x:f>
        <x:v>0.3</x:v>
      </x:c>
      <x:c r="C19" s="11" t="n">
        <x:v>0.25</x:v>
      </x:c>
      <x:c r="D19" s="11" t="n">
        <x:v>0.3</x:v>
      </x:c>
      <x:c r="E19" s="11" t="n">
        <x:v>0.4</x:v>
      </x:c>
      <x:c r="F19" s="1" t="str">
        <x:v>Допущение</x:v>
      </x:c>
      <x:c r="G19" s="1" t="str">
        <x:v>Используется при якоре 1</x:v>
      </x:c>
    </x:row>
    <x:row r="20" ht="24" customHeight="1">
      <x:c r="A20" s="1" t="str">
        <x:v>Якорная глобальная CR</x:v>
      </x:c>
      <x:c r="B20" s="8" t="n">
        <x:f>IF(CHOOSE($B$3,ISNUMBER(C20),ISNUMBER(D20),ISNUMBER(E20)),CHOOSE($B$3,C20,D20,E20),"")</x:f>
        <x:v>0.18</x:v>
      </x:c>
      <x:c r="C20" s="11" t="n">
        <x:v>0.12</x:v>
      </x:c>
      <x:c r="D20" s="11" t="n">
        <x:v>0.18</x:v>
      </x:c>
      <x:c r="E20" s="11" t="n">
        <x:v>0.25</x:v>
      </x:c>
      <x:c r="F20" s="1" t="str">
        <x:v>Допущение</x:v>
      </x:c>
      <x:c r="G20" s="1" t="str">
        <x:v>Используется при якоре 2</x:v>
      </x:c>
    </x:row>
    <x:row r="21" ht="24" customHeight="1">
      <x:c r="A21" s="1" t="str">
        <x:v>Владельцы F в малом F</x:v>
      </x:c>
      <x:c r="B21" s="8" t="n">
        <x:f>IF(CHOOSE($B$3,ISNUMBER(C21),ISNUMBER(D21),ISNUMBER(E21)),CHOOSE($B$3,C21,D21,E21),"")</x:f>
        <x:v>0.5</x:v>
      </x:c>
      <x:c r="C21" s="11" t="n">
        <x:v>0.6</x:v>
      </x:c>
      <x:c r="D21" s="11" t="n">
        <x:v>0.5</x:v>
      </x:c>
      <x:c r="E21" s="11" t="n">
        <x:v>0.4</x:v>
      </x:c>
      <x:c r="F21" s="1" t="str">
        <x:v>Допущение</x:v>
      </x:c>
      <x:c r="G21" s="1" t="str">
        <x:v>Малый F включает пустой список</x:v>
      </x:c>
    </x:row>
    <x:row r="22" ht="24" customHeight="1">
      <x:c r="A22" s="1"/>
      <x:c r="B22" s="1"/>
      <x:c r="C22" s="1"/>
      <x:c r="D22" s="1"/>
      <x:c r="E22" s="1"/>
      <x:c r="F22" s="1"/>
      <x:c r="G22" s="1"/>
    </x:row>
    <x:row r="23" ht="24" customHeight="1">
      <x:c r="A23" s="1"/>
      <x:c r="B23" s="1"/>
      <x:c r="C23" s="1"/>
      <x:c r="D23" s="1"/>
      <x:c r="E23" s="1"/>
      <x:c r="F23" s="1"/>
      <x:c r="G23" s="1"/>
    </x:row>
    <x:row r="24" ht="24" customHeight="1">
      <x:c r="A24" s="1" t="str">
        <x:v>Активная база</x:v>
      </x:c>
      <x:c r="B24" s="1" t="str">
        <x:v>Расчёт</x:v>
      </x:c>
      <x:c r="C24" s="1" t="str">
        <x:v>Тип</x:v>
      </x:c>
      <x:c r="D24" s="1"/>
      <x:c r="E24" s="1"/>
      <x:c r="F24" s="1"/>
      <x:c r="G24" s="1"/>
    </x:row>
    <x:row r="25" ht="24" customHeight="1">
      <x:c r="A25" s="1" t="str">
        <x:v>Взвешенный разрыв, доля CR</x:v>
      </x:c>
      <x:c r="B25" s="16" t="n">
        <x:f>-(B16*'Исходные'!B17+B17*'Исходные'!B18+B18*'Исходные'!B19)/100</x:f>
        <x:v>0.09899999999999999</x:v>
      </x:c>
      <x:c r="C25" s="1" t="str">
        <x:v>Расчёт</x:v>
      </x:c>
      <x:c r="D25" s="1"/>
      <x:c r="E25" s="1"/>
      <x:c r="F25" s="1"/>
      <x:c r="G25" s="1"/>
    </x:row>
    <x:row r="26" ht="24" customHeight="1">
      <x:c r="A26" s="1" t="str">
        <x:v>CR китов для расчёта</x:v>
      </x:c>
      <x:c r="B26" s="8" t="n">
        <x:f>IF(B4=1,B19,B20+B25)</x:f>
        <x:v>0.3</x:v>
      </x:c>
      <x:c r="C26" s="1" t="str">
        <x:v>Расчёт из выбранного якоря</x:v>
      </x:c>
      <x:c r="D26" s="1"/>
      <x:c r="E26" s="1"/>
      <x:c r="F26" s="1"/>
      <x:c r="G26" s="1"/>
    </x:row>
    <x:row r="27" ht="24" customHeight="1">
      <x:c r="A27" s="1" t="str">
        <x:v>Глобальная CR базы</x:v>
      </x:c>
      <x:c r="B27" s="8" t="n">
        <x:f>B26-B25</x:f>
        <x:v>0.201</x:v>
      </x:c>
      <x:c r="C27" s="1" t="str">
        <x:v>Расчёт, не второй независимый ввод</x:v>
      </x:c>
      <x:c r="D27" s="1"/>
      <x:c r="E27" s="1"/>
      <x:c r="F27" s="1"/>
      <x:c r="G27" s="1"/>
    </x:row>
    <x:row r="28" ht="24" customHeight="1">
      <x:c r="A28" s="1" t="str">
        <x:v>Допустимость параметров</x:v>
      </x:c>
      <x:c r="B28" s="1" t="n">
        <x:f>IF(AND(COUNT(B8:B10)=3,COUNT(B15:B18)=4,COUNT(B21)=1,IF(B4=1,ISNUMBER(B19),ISNUMBER(B20)),OR(B3=1,B3=2,B3=3),OR(B4=1,B4=2),OR(B5=1,B5=2,B5=3),B8&gt;0,B9&gt;=B8,B10&gt;=0,B10&lt;=1,ABS(SUM(B15:B18)-1)&lt;0.00000001,MIN(B15:B18)&gt;=0,MAX(B15:B18)&lt;=1,B21&gt;=0,B21&lt;=1,B26&gt;=0.18,B26&lt;=1,B27&gt;=0,B27&lt;=1),1,0)</x:f>
        <x:v>1</x:v>
      </x:c>
      <x:c r="C28" s="1"/>
      <x:c r="D28" s="1"/>
      <x:c r="E28" s="1"/>
      <x:c r="F28" s="1"/>
      <x:c r="G28" s="1"/>
    </x:row>
    <x:row r="29" ht="24" customHeight="1">
      <x:c r="A29" s="1"/>
      <x:c r="B29" s="1"/>
      <x:c r="C29" s="1"/>
      <x:c r="D29" s="1"/>
      <x:c r="E29" s="1"/>
      <x:c r="F29" s="1"/>
      <x:c r="G29" s="1"/>
    </x:row>
    <x:row r="30" ht="24" customHeight="1">
      <x:c r="A30" s="1"/>
      <x:c r="B30" s="1"/>
      <x:c r="C30" s="1"/>
      <x:c r="D30" s="1"/>
      <x:c r="E30" s="1"/>
      <x:c r="F30" s="1"/>
      <x:c r="G30" s="1"/>
    </x:row>
    <x:row r="31" ht="24" customHeight="1">
      <x:c r="A31" s="1" t="str">
        <x:v>DAU Корзины</x:v>
      </x:c>
      <x:c r="B31" s="12" t="n">
        <x:f>B8*'Исходные'!B5</x:f>
        <x:v>65000</x:v>
      </x:c>
      <x:c r="C31" s="1" t="str">
        <x:v>Расчёт</x:v>
      </x:c>
      <x:c r="D31" s="1"/>
      <x:c r="E31" s="1"/>
      <x:c r="F31" s="1"/>
      <x:c r="G31" s="1"/>
    </x:row>
    <x:row r="32" ht="24" customHeight="1">
      <x:c r="A32" s="1" t="str">
        <x:v>DAU Избранного</x:v>
      </x:c>
      <x:c r="B32" s="12" t="n">
        <x:f>B8*'Исходные'!B6</x:f>
        <x:v>13000</x:v>
      </x:c>
      <x:c r="C32" s="1" t="str">
        <x:v>Расчёт</x:v>
      </x:c>
      <x:c r="D32" s="1"/>
      <x:c r="E32" s="1"/>
      <x:c r="F32" s="1"/>
      <x:c r="G32" s="1"/>
    </x:row>
    <x:row r="33" ht="24" customHeight="1">
      <x:c r="A33" s="1" t="str">
        <x:v>MAU Корзины</x:v>
      </x:c>
      <x:c r="B33" s="12" t="n">
        <x:f>B9*'Исходные'!B7</x:f>
        <x:v>364000</x:v>
      </x:c>
      <x:c r="C33" s="1" t="str">
        <x:v>Расчёт</x:v>
      </x:c>
      <x:c r="D33" s="1"/>
      <x:c r="E33" s="1"/>
      <x:c r="F33" s="1"/>
      <x:c r="G33" s="1"/>
    </x:row>
    <x:row r="34" ht="24" customHeight="1">
      <x:c r="A34" s="1" t="str">
        <x:v>MAU Избранного</x:v>
      </x:c>
      <x:c r="B34" s="12" t="n">
        <x:f>B9*'Исходные'!B8</x:f>
        <x:v>80000</x:v>
      </x:c>
      <x:c r="C34" s="1" t="str">
        <x:v>Расчёт</x:v>
      </x:c>
      <x:c r="D34" s="1"/>
      <x:c r="E34" s="1"/>
      <x:c r="F34" s="1"/>
      <x:c r="G34" s="1"/>
    </x:row>
    <x:row r="35" ht="24" customHeight="1">
      <x:c r="A35" s="1"/>
      <x:c r="B35" s="1"/>
      <x:c r="C35" s="1"/>
      <x:c r="D35" s="1"/>
      <x:c r="E35" s="1"/>
      <x:c r="F35" s="1"/>
      <x:c r="G35" s="1"/>
    </x:row>
    <x:row r="36" ht="24" customHeight="1">
      <x:c r="A36" s="1"/>
      <x:c r="B36" s="1"/>
      <x:c r="C36" s="1"/>
      <x:c r="D36" s="1"/>
      <x:c r="E36" s="1"/>
      <x:c r="F36" s="1"/>
      <x:c r="G36" s="1"/>
    </x:row>
    <x:row r="37" ht="24" customHeight="1">
      <x:c r="A37" s="1" t="str">
        <x:v>Жёлтые ячейки — допущения. Факты на листе «Исходные», все прочие результаты — расчёт.</x:v>
      </x:c>
      <x:c r="B37" s="1"/>
      <x:c r="C37" s="1"/>
      <x:c r="D37" s="1"/>
      <x:c r="E37" s="1"/>
      <x:c r="F37" s="1"/>
      <x:c r="G37" s="1"/>
    </x:row>
    <x:row r="38" ht="24" customHeight="1">
      <x:c r="A38" s="1" t="str">
        <x:v>CR отнесена к уникальным заказчикам за день: это рабочая интерпретация знаменателя разрывов из PDF.</x:v>
      </x:c>
      <x:c r="B38" s="1"/>
      <x:c r="C38" s="1"/>
      <x:c r="D38" s="1"/>
      <x:c r="E38" s="1"/>
      <x:c r="F38" s="1"/>
      <x:c r="G38" s="1"/>
    </x:row>
  </x:sheetData>
  <x:conditionalFormatting sqref="B28:B28">
    <x:cfRule type="cellIs" dxfId="0" priority="1" operator="equal">
      <x:formula>0</x:formula>
    </x:cfRule>
  </x:conditionalFormatting>
  <x:dataValidations count="3">
    <x:dataValidation type="list" sqref="B3">
      <x:formula1>"1,2,3"</x:formula1>
    </x:dataValidation>
    <x:dataValidation type="list" sqref="B5">
      <x:formula1>"1,2,3"</x:formula1>
    </x:dataValidation>
    <x:dataValidation type="list" sqref="B4">
      <x:formula1>"1,2"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A5A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4" customHeight="1">
      <x:c r="A1" s="1" t="str">
        <x:v>Сценарий</x:v>
      </x:c>
      <x:c r="B1" s="1" t="str">
        <x:f>'Итоги'!B3</x:f>
        <x:v>Базовый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32" customHeight="1">
      <x:c r="A2" s="2" t="str">
        <x:v>Когорты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 ht="50" customHeight="1">
      <x:c r="A4" s="7" t="str">
        <x:v>ID</x:v>
      </x:c>
      <x:c r="B4" s="7" t="str">
        <x:v>Размер C / F</x:v>
      </x:c>
      <x:c r="C4" s="7" t="str">
        <x:v>Доля DAU</x:v>
      </x:c>
      <x:c r="D4" s="7" t="str">
        <x:v>Людей</x:v>
      </x:c>
      <x:c r="E4" s="7" t="str">
        <x:v>Разрыв, п.п.</x:v>
      </x:c>
      <x:c r="F4" s="7" t="str">
        <x:v>CR когорты</x:v>
      </x:c>
      <x:c r="G4" s="7" t="str">
        <x:v>Владельцы F</x:v>
      </x:c>
      <x:c r="H4" s="7" t="str">
        <x:v>P(визит C)</x:v>
      </x:c>
      <x:c r="I4" s="7" t="str">
        <x:v>P(визит F)</x:v>
      </x:c>
      <x:c r="J4" s="7" t="str">
        <x:v>P(C | визит F)</x:v>
      </x:c>
      <x:c r="K4" s="7" t="str">
        <x:v>Оба</x:v>
      </x:c>
      <x:c r="L4" s="7" t="str">
        <x:v>Только C</x:v>
      </x:c>
      <x:c r="M4" s="7" t="str">
        <x:v>Только F</x:v>
      </x:c>
      <x:c r="N4" s="7" t="str">
        <x:v>Ни один</x:v>
      </x:c>
      <x:c r="O4" s="7" t="str">
        <x:v>Вес CR: только C</x:v>
      </x:c>
      <x:c r="P4" s="7" t="str">
        <x:v>Вес CR: только F</x:v>
      </x:c>
      <x:c r="Q4" s="7" t="str">
        <x:v>Вес CR: оба</x:v>
      </x:c>
      <x:c r="R4" s="7" t="str">
        <x:v>Вес CR: вне</x:v>
      </x:c>
      <x:c r="S4" s="7" t="str">
        <x:v>Норма весов</x:v>
      </x:c>
      <x:c r="T4" s="7" t="str">
        <x:v>Доход/покуп., ₽</x:v>
      </x:c>
      <x:c r="U4" s="7" t="str">
        <x:v>Визитёров C</x:v>
      </x:c>
      <x:c r="V4" s="7" t="str">
        <x:v>Визитёров F</x:v>
      </x:c>
      <x:c r="W4" s="7" t="str">
        <x:v>C с товарами F</x:v>
      </x:c>
      <x:c r="X4" s="7" t="str">
        <x:v>Допустимость</x:v>
      </x:c>
    </x:row>
    <x:row r="5" ht="24" customHeight="1">
      <x:c r="A5" s="1" t="str">
        <x:v>S1</x:v>
      </x:c>
      <x:c r="B5" s="1" t="str">
        <x:v>Малая C / большая F · киты</x:v>
      </x:c>
      <x:c r="C5" s="8" t="n">
        <x:f>'Параметры'!B15</x:f>
        <x:v>0.2</x:v>
      </x:c>
      <x:c r="D5" s="12" t="n">
        <x:f>C5*'Параметры'!$B$8</x:f>
        <x:v>20000</x:v>
      </x:c>
      <x:c r="E5" s="1" t="n">
        <x:f>0</x:f>
        <x:v>0</x:v>
      </x:c>
      <x:c r="F5" s="8" t="n">
        <x:f>'Параметры'!$B$26+E5/100</x:f>
        <x:v>0.3</x:v>
      </x:c>
      <x:c r="G5" s="8" t="n">
        <x:f>1</x:f>
        <x:v>1</x:v>
      </x:c>
      <x:c r="H5" s="11" t="n">
        <x:v>0.65</x:v>
      </x:c>
      <x:c r="I5" s="11" t="n">
        <x:v>0.13</x:v>
      </x:c>
      <x:c r="J5" s="11" t="n">
        <x:v>0.8</x:v>
      </x:c>
      <x:c r="K5" s="8" t="n">
        <x:f>I5*J5</x:f>
        <x:v>0.10400000000000001</x:v>
      </x:c>
      <x:c r="L5" s="8" t="n">
        <x:f>H5-K5</x:f>
        <x:v>0.546</x:v>
      </x:c>
      <x:c r="M5" s="8" t="n">
        <x:f>I5-K5</x:f>
        <x:v>0.025999999999999995</x:v>
      </x:c>
      <x:c r="N5" s="8" t="n">
        <x:f>1-H5-I5+K5</x:f>
        <x:v>0.32399999999999995</x:v>
      </x:c>
      <x:c r="O5" s="10" t="n">
        <x:v>1.5</x:v>
      </x:c>
      <x:c r="P5" s="10" t="n">
        <x:v>0.2</x:v>
      </x:c>
      <x:c r="Q5" s="10" t="n">
        <x:v>1</x:v>
      </x:c>
      <x:c r="R5" s="10" t="n">
        <x:v>0.3</x:v>
      </x:c>
      <x:c r="S5" s="1" t="n">
        <x:f>L5*O5+M5*P5+K5*Q5+N5*R5</x:f>
        <x:v>1.0254</x:v>
      </x:c>
      <x:c r="T5" s="13" t="n">
        <x:v>1000</x:v>
      </x:c>
      <x:c r="U5" s="12" t="n">
        <x:f>D5*H5</x:f>
        <x:v>13000</x:v>
      </x:c>
      <x:c r="V5" s="12" t="n">
        <x:f>D5*I5</x:f>
        <x:v>2600</x:v>
      </x:c>
      <x:c r="W5" s="12" t="n">
        <x:f>U5*G5</x:f>
        <x:v>13000</x:v>
      </x:c>
      <x:c r="X5" s="1" t="n">
        <x:f>IF(AND(COUNT(H5:J5)=3,COUNT(O5:R5)=4,ISNUMBER(T5),MIN(H5:N5)&gt;=0,MAX(H5:N5)&lt;=1,I5&lt;=G5,K5&lt;=H5*G5,ABS(SUM(K5:N5)-1)&lt;0.00000001,MIN(O5:R5)&gt;=0,S5&gt;0,T5&gt;=0,F5&gt;=0,F5&lt;=1,F5*MAX(O5:R5)/S5&lt;=1),1,0)</x:f>
        <x:v>1</x:v>
      </x:c>
    </x:row>
    <x:row r="6" ht="24" customHeight="1">
      <x:c r="A6" s="1" t="str">
        <x:v>S2</x:v>
      </x:c>
      <x:c r="B6" s="1" t="str">
        <x:v>Большая C / большая F</x:v>
      </x:c>
      <x:c r="C6" s="8" t="n">
        <x:f>'Параметры'!B16</x:f>
        <x:v>0.2</x:v>
      </x:c>
      <x:c r="D6" s="12" t="n">
        <x:f>C6*'Параметры'!$B$8</x:f>
        <x:v>20000</x:v>
      </x:c>
      <x:c r="E6" s="1" t="n">
        <x:f>'Исходные'!B17</x:f>
        <x:v>-9</x:v>
      </x:c>
      <x:c r="F6" s="8" t="n">
        <x:f>'Параметры'!$B$26+E6/100</x:f>
        <x:v>0.21</x:v>
      </x:c>
      <x:c r="G6" s="8" t="n">
        <x:f>1</x:f>
        <x:v>1</x:v>
      </x:c>
      <x:c r="H6" s="11" t="n">
        <x:v>0.65</x:v>
      </x:c>
      <x:c r="I6" s="11" t="n">
        <x:v>0.13</x:v>
      </x:c>
      <x:c r="J6" s="11" t="n">
        <x:v>0.8</x:v>
      </x:c>
      <x:c r="K6" s="8" t="n">
        <x:f>I6*J6</x:f>
        <x:v>0.10400000000000001</x:v>
      </x:c>
      <x:c r="L6" s="8" t="n">
        <x:f>H6-K6</x:f>
        <x:v>0.546</x:v>
      </x:c>
      <x:c r="M6" s="8" t="n">
        <x:f>I6-K6</x:f>
        <x:v>0.025999999999999995</x:v>
      </x:c>
      <x:c r="N6" s="8" t="n">
        <x:f>1-H6-I6+K6</x:f>
        <x:v>0.32399999999999995</x:v>
      </x:c>
      <x:c r="O6" s="10" t="n">
        <x:v>1.5</x:v>
      </x:c>
      <x:c r="P6" s="10" t="n">
        <x:v>0.2</x:v>
      </x:c>
      <x:c r="Q6" s="10" t="n">
        <x:v>1</x:v>
      </x:c>
      <x:c r="R6" s="10" t="n">
        <x:v>0.3</x:v>
      </x:c>
      <x:c r="S6" s="1" t="n">
        <x:f>L6*O6+M6*P6+K6*Q6+N6*R6</x:f>
        <x:v>1.0254</x:v>
      </x:c>
      <x:c r="T6" s="13" t="n">
        <x:v>1000</x:v>
      </x:c>
      <x:c r="U6" s="12" t="n">
        <x:f>D6*H6</x:f>
        <x:v>13000</x:v>
      </x:c>
      <x:c r="V6" s="12" t="n">
        <x:f>D6*I6</x:f>
        <x:v>2600</x:v>
      </x:c>
      <x:c r="W6" s="12" t="n">
        <x:f>U6*G6</x:f>
        <x:v>13000</x:v>
      </x:c>
      <x:c r="X6" s="1" t="n">
        <x:f>IF(AND(COUNT(H6:J6)=3,COUNT(O6:R6)=4,ISNUMBER(T6),MIN(H6:N6)&gt;=0,MAX(H6:N6)&lt;=1,I6&lt;=G6,K6&lt;=H6*G6,ABS(SUM(K6:N6)-1)&lt;0.00000001,MIN(O6:R6)&gt;=0,S6&gt;0,T6&gt;=0,F6&gt;=0,F6&lt;=1,F6*MAX(O6:R6)/S6&lt;=1),1,0)</x:f>
        <x:v>1</x:v>
      </x:c>
    </x:row>
    <x:row r="7" ht="24" customHeight="1">
      <x:c r="A7" s="1" t="str">
        <x:v>S3</x:v>
      </x:c>
      <x:c r="B7" s="1" t="str">
        <x:v>Большая C / малая F</x:v>
      </x:c>
      <x:c r="C7" s="8" t="n">
        <x:f>'Параметры'!B17</x:f>
        <x:v>0.3</x:v>
      </x:c>
      <x:c r="D7" s="12" t="n">
        <x:f>C7*'Параметры'!$B$8</x:f>
        <x:v>30000</x:v>
      </x:c>
      <x:c r="E7" s="1" t="n">
        <x:f>'Исходные'!B18</x:f>
        <x:v>-18</x:v>
      </x:c>
      <x:c r="F7" s="8" t="n">
        <x:f>'Параметры'!$B$26+E7/100</x:f>
        <x:v>0.12</x:v>
      </x:c>
      <x:c r="G7" s="8" t="n">
        <x:f>'Параметры'!$B$21</x:f>
        <x:v>0.5</x:v>
      </x:c>
      <x:c r="H7" s="11" t="n">
        <x:v>0.65</x:v>
      </x:c>
      <x:c r="I7" s="11" t="n">
        <x:v>0.13</x:v>
      </x:c>
      <x:c r="J7" s="11" t="n">
        <x:v>0.8</x:v>
      </x:c>
      <x:c r="K7" s="8" t="n">
        <x:f>I7*J7</x:f>
        <x:v>0.10400000000000001</x:v>
      </x:c>
      <x:c r="L7" s="8" t="n">
        <x:f>H7-K7</x:f>
        <x:v>0.546</x:v>
      </x:c>
      <x:c r="M7" s="8" t="n">
        <x:f>I7-K7</x:f>
        <x:v>0.025999999999999995</x:v>
      </x:c>
      <x:c r="N7" s="8" t="n">
        <x:f>1-H7-I7+K7</x:f>
        <x:v>0.32399999999999995</x:v>
      </x:c>
      <x:c r="O7" s="10" t="n">
        <x:v>1.5</x:v>
      </x:c>
      <x:c r="P7" s="10" t="n">
        <x:v>0.2</x:v>
      </x:c>
      <x:c r="Q7" s="10" t="n">
        <x:v>1</x:v>
      </x:c>
      <x:c r="R7" s="10" t="n">
        <x:v>0.3</x:v>
      </x:c>
      <x:c r="S7" s="1" t="n">
        <x:f>L7*O7+M7*P7+K7*Q7+N7*R7</x:f>
        <x:v>1.0254</x:v>
      </x:c>
      <x:c r="T7" s="13" t="n">
        <x:v>1000</x:v>
      </x:c>
      <x:c r="U7" s="12" t="n">
        <x:f>D7*H7</x:f>
        <x:v>19500</x:v>
      </x:c>
      <x:c r="V7" s="12" t="n">
        <x:f>D7*I7</x:f>
        <x:v>3900</x:v>
      </x:c>
      <x:c r="W7" s="12" t="n">
        <x:f>U7*G7</x:f>
        <x:v>9750</x:v>
      </x:c>
      <x:c r="X7" s="1" t="n">
        <x:f>IF(AND(COUNT(H7:J7)=3,COUNT(O7:R7)=4,ISNUMBER(T7),MIN(H7:N7)&gt;=0,MAX(H7:N7)&lt;=1,I7&lt;=G7,K7&lt;=H7*G7,ABS(SUM(K7:N7)-1)&lt;0.00000001,MIN(O7:R7)&gt;=0,S7&gt;0,T7&gt;=0,F7&gt;=0,F7&lt;=1,F7*MAX(O7:R7)/S7&lt;=1),1,0)</x:f>
        <x:v>1</x:v>
      </x:c>
    </x:row>
    <x:row r="8" ht="24" customHeight="1">
      <x:c r="A8" s="1" t="str">
        <x:v>S4</x:v>
      </x:c>
      <x:c r="B8" s="1" t="str">
        <x:v>Малая C / малая F</x:v>
      </x:c>
      <x:c r="C8" s="8" t="n">
        <x:f>'Параметры'!B18</x:f>
        <x:v>0.3</x:v>
      </x:c>
      <x:c r="D8" s="12" t="n">
        <x:f>C8*'Параметры'!$B$8</x:f>
        <x:v>30000</x:v>
      </x:c>
      <x:c r="E8" s="1" t="n">
        <x:f>'Исходные'!B19</x:f>
        <x:v>-9</x:v>
      </x:c>
      <x:c r="F8" s="8" t="n">
        <x:f>'Параметры'!$B$26+E8/100</x:f>
        <x:v>0.21</x:v>
      </x:c>
      <x:c r="G8" s="8" t="n">
        <x:f>'Параметры'!$B$21</x:f>
        <x:v>0.5</x:v>
      </x:c>
      <x:c r="H8" s="11" t="n">
        <x:v>0.65</x:v>
      </x:c>
      <x:c r="I8" s="11" t="n">
        <x:v>0.13</x:v>
      </x:c>
      <x:c r="J8" s="11" t="n">
        <x:v>0.8</x:v>
      </x:c>
      <x:c r="K8" s="8" t="n">
        <x:f>I8*J8</x:f>
        <x:v>0.10400000000000001</x:v>
      </x:c>
      <x:c r="L8" s="8" t="n">
        <x:f>H8-K8</x:f>
        <x:v>0.546</x:v>
      </x:c>
      <x:c r="M8" s="8" t="n">
        <x:f>I8-K8</x:f>
        <x:v>0.025999999999999995</x:v>
      </x:c>
      <x:c r="N8" s="8" t="n">
        <x:f>1-H8-I8+K8</x:f>
        <x:v>0.32399999999999995</x:v>
      </x:c>
      <x:c r="O8" s="10" t="n">
        <x:v>1.5</x:v>
      </x:c>
      <x:c r="P8" s="10" t="n">
        <x:v>0.2</x:v>
      </x:c>
      <x:c r="Q8" s="10" t="n">
        <x:v>1</x:v>
      </x:c>
      <x:c r="R8" s="10" t="n">
        <x:v>0.3</x:v>
      </x:c>
      <x:c r="S8" s="1" t="n">
        <x:f>L8*O8+M8*P8+K8*Q8+N8*R8</x:f>
        <x:v>1.0254</x:v>
      </x:c>
      <x:c r="T8" s="13" t="n">
        <x:v>1000</x:v>
      </x:c>
      <x:c r="U8" s="12" t="n">
        <x:f>D8*H8</x:f>
        <x:v>19500</x:v>
      </x:c>
      <x:c r="V8" s="12" t="n">
        <x:f>D8*I8</x:f>
        <x:v>3900</x:v>
      </x:c>
      <x:c r="W8" s="12" t="n">
        <x:f>U8*G8</x:f>
        <x:v>9750</x:v>
      </x:c>
      <x:c r="X8" s="1" t="n">
        <x:f>IF(AND(COUNT(H8:J8)=3,COUNT(O8:R8)=4,ISNUMBER(T8),MIN(H8:N8)&gt;=0,MAX(H8:N8)&lt;=1,I8&lt;=G8,K8&lt;=H8*G8,ABS(SUM(K8:N8)-1)&lt;0.00000001,MIN(O8:R8)&gt;=0,S8&gt;0,T8&gt;=0,F8&gt;=0,F8&lt;=1,F8*MAX(O8:R8)/S8&lt;=1),1,0)</x:f>
        <x:v>1</x:v>
      </x:c>
    </x:row>
    <x:row r="9" ht="24" customHeight="1">
      <x:c r="A9" s="1"/>
      <x:c r="B9" s="1"/>
      <x:c r="C9" s="8"/>
      <x:c r="D9" s="12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2"/>
      <x:c r="U9" s="12"/>
      <x:c r="V9" s="12"/>
      <x:c r="W9" s="12"/>
      <x:c r="X9" s="1"/>
    </x:row>
    <x:row r="10" ht="24" customHeight="1">
      <x:c r="A10" s="1" t="str">
        <x:v>Итого</x:v>
      </x:c>
      <x:c r="B10" s="1"/>
      <x:c r="C10" s="8" t="n">
        <x:f>SUM(C5:C8)</x:f>
        <x:v>1</x:v>
      </x:c>
      <x:c r="D10" s="12" t="n">
        <x:f>SUM(D5:D8)</x:f>
        <x:v>100000</x:v>
      </x:c>
      <x:c r="E10" s="1"/>
      <x:c r="F10" s="8" t="n">
        <x:f>SUMPRODUCT(C5:C8,F5:F8)</x:f>
        <x:v>0.201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2"/>
      <x:c r="U10" s="12" t="n">
        <x:f>SUM(U5:U8)</x:f>
        <x:v>65000</x:v>
      </x:c>
      <x:c r="V10" s="12" t="n">
        <x:f>SUM(V5:V8)</x:f>
        <x:v>13000</x:v>
      </x:c>
      <x:c r="W10" s="12" t="n">
        <x:f>SUM(W5:W8)</x:f>
        <x:v>45500</x:v>
      </x:c>
      <x:c r="X10" s="1" t="n">
        <x:f>IF(AND(MIN(X5:X8)=1,ABS(C10-1)&lt;0.00000001,ABS(F10-'Параметры'!B27)&lt;0.00000001,ABS(U10-'Параметры'!B31)&lt;0.00001,ABS(V10-'Параметры'!B32)&lt;0.00001,U10&gt;0,W10/U10&gt;='Исходные'!B9,W10/U10&lt;='Исходные'!B10,'Параметры'!B31&lt;='Параметры'!B33,'Параметры'!B32&lt;='Параметры'!B34),1,0)</x:f>
        <x:v>1</x:v>
      </x:c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</x:row>
    <x:row r="12" ht="24" customHeight="1">
      <x:c r="A12" s="1" t="str">
        <x:v>Жёлтые — допущения. Разрывы — факт кейса. Доли, CR, люди и пересечения — расчёт.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</x:row>
    <x:row r="13" ht="24" customHeight="1">
      <x:c r="A13" s="1" t="str">
        <x:v>Веса O:R распределяют CR внутри когорты по посещению; нормировка сохраняет точную когортную CR.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</x:row>
    <x:row r="14" ht="24" customHeight="1">
      <x:c r="A14" s="1" t="str">
        <x:v>Доли визитов и цель внутри них неизвестны. Малый список включает нулевой; большой F означает наличие товаров.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</x:row>
    <x:row r="15" ht="24" customHeight="1">
      <x:c r="A15" s="1" t="str">
        <x:v>Проверяются 65% / 13% суммарного DAU и 60–80% владельцев F среди посетителей C, а не среди всех Ozon.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</x:row>
  </x:sheetData>
  <x:conditionalFormatting sqref="X5:X10">
    <x:cfRule type="cellIs" dxfId="1" priority="1" operator="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A5A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7" hidden="0" customWidth="1"/>
    <x:col min="3" max="3" width="20" hidden="0" customWidth="1"/>
    <x:col min="4" max="4" width="18" hidden="0" customWidth="1"/>
    <x:col min="5" max="5" width="18" hidden="0" customWidth="1"/>
    <x:col min="6" max="6" width="85" hidden="0" customWidth="1"/>
    <x:col min="7" max="7" width="44" hidden="0" customWidth="1"/>
    <x:col min="8" max="8" width="36" hidden="0" customWidth="1"/>
    <x:col min="9" max="9" width="18" hidden="0" customWidth="1"/>
    <x:col min="11" max="11" width="20" hidden="0" customWidth="1"/>
    <x:col min="12" max="12" width="20" hidden="0" customWidth="1"/>
  </x:cols>
  <x:sheetData>
    <x:row r="1" ht="24" customHeight="1">
      <x:c r="A1" s="1" t="str">
        <x:v>Сценарий</x:v>
      </x:c>
      <x:c r="B1" s="1" t="str">
        <x:f>'Итоги'!B3</x:f>
        <x:v>Базовый</x:v>
      </x:c>
      <x:c r="C1" s="1"/>
      <x:c r="D1" s="1"/>
      <x:c r="E1" s="1"/>
      <x:c r="F1" s="1"/>
      <x:c r="G1" s="1"/>
      <x:c r="H1" s="1"/>
      <x:c r="I1" s="1"/>
    </x:row>
    <x:row r="2" ht="32" customHeight="1">
      <x:c r="A2" s="2" t="str">
        <x:v>Гипотезы</x:v>
      </x:c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4" customHeight="1">
      <x:c r="A4" s="7" t="str">
        <x:v>ID</x:v>
      </x:c>
      <x:c r="B4" s="7" t="str">
        <x:v>Решение</x:v>
      </x:c>
      <x:c r="C4" s="7" t="str">
        <x:v>Вход</x:v>
      </x:c>
      <x:c r="D4" s="7" t="str">
        <x:v>Поведенч. штраф</x:v>
      </x:c>
      <x:c r="E4" s="7" t="str">
        <x:v>Продукт. штраф</x:v>
      </x:c>
      <x:c r="F4" s="7" t="str">
        <x:v>Риски и ограничения</x:v>
      </x:c>
      <x:c r="G4" s="7" t="str">
        <x:v>Источник</x:v>
      </x:c>
      <x:c r="H4" s="7" t="str">
        <x:v>Тип</x:v>
      </x:c>
      <x:c r="I4" s="7" t="str">
        <x:v>Допустимость</x:v>
      </x:c>
      <x:c r="K4" s="14" t="str">
        <x:v>Шкала штрафов</x:v>
      </x:c>
      <x:c r="L4" s="14" t="str">
        <x:v>Тип</x:v>
      </x:c>
    </x:row>
    <x:row r="5" ht="54" customHeight="1">
      <x:c r="A5" s="1" t="str">
        <x:v>H1</x:v>
      </x:c>
      <x:c r="B5" s="1" t="str">
        <x:v>Поиск и фильтры в Корзине</x:v>
      </x:c>
      <x:c r="C5" s="1" t="str">
        <x:v>Корзина</x:v>
      </x:c>
      <x:c r="D5" s="11" t="n">
        <x:v>0.25</x:v>
      </x:c>
      <x:c r="E5" s="11" t="n">
        <x:v>0.25</x:v>
      </x:c>
      <x:c r="F5" s="26" t="str">
        <x:v>40+ SKU — лишь часть больших корзин. Дополнительные элементы и задержка загрузки.</x:v>
      </x:c>
      <x:c r="G5" s="26" t="str">
        <x:v>UX, этап 4, H1; PDF с. 13</x:v>
      </x:c>
      <x:c r="H5" s="1" t="str">
        <x:v>Допущение: гипотеза и штрафы</x:v>
      </x:c>
      <x:c r="I5" s="1" t="n">
        <x:f>IF(AND(ISNUMBER(D5),ISNUMBER(E5),OR(D5=0,D5=0.25,D5=0.5),OR(E5=0,E5=0.25,E5=0.5)),1,0)</x:f>
        <x:v>1</x:v>
      </x:c>
      <x:c r="K5" s="15" t="n">
        <x:v>0</x:v>
      </x:c>
      <x:c r="L5" s="14" t="str">
        <x:v>Допущение</x:v>
      </x:c>
    </x:row>
    <x:row r="6" ht="54" customHeight="1">
      <x:c r="A6" s="1" t="str">
        <x:v>H2</x:v>
      </x:c>
      <x:c r="B6" s="1" t="str">
        <x:v>Сохранение выбранного SKU</x:v>
      </x:c>
      <x:c r="C6" s="1" t="str">
        <x:v>Оба раздела</x:v>
      </x:c>
      <x:c r="D6" s="11" t="n">
        <x:v>0.25</x:v>
      </x:c>
      <x:c r="E6" s="11" t="n">
        <x:v>0.25</x:v>
      </x:c>
      <x:c r="F6" s="26" t="str">
        <x:v>Спрос отложен. Цена/наличие меняются. Не удалять товар из C автоматически; риск перераспределения трафика.</x:v>
      </x:c>
      <x:c r="G6" s="26" t="str">
        <x:v>UX, этап 4, H2; PDF с. 14</x:v>
      </x:c>
      <x:c r="H6" s="1" t="str">
        <x:v>Допущение: гипотеза и штрафы</x:v>
      </x:c>
      <x:c r="I6" s="1" t="n">
        <x:f>IF(AND(ISNUMBER(D6),ISNUMBER(E6),OR(D6=0,D6=0.25,D6=0.5),OR(E6=0,E6=0.25,E6=0.5)),1,0)</x:f>
        <x:v>1</x:v>
      </x:c>
      <x:c r="K6" s="15" t="n">
        <x:v>0.25</x:v>
      </x:c>
      <x:c r="L6" s="14" t="str">
        <x:v>Допущение</x:v>
      </x:c>
    </x:row>
    <x:row r="7" ht="54" customHeight="1">
      <x:c r="A7" s="1" t="str">
        <x:v>H3</x:v>
      </x:c>
      <x:c r="B7" s="1" t="str">
        <x:v>Купить сейчас / На потом</x:v>
      </x:c>
      <x:c r="C7" s="1" t="str">
        <x:v>Корзина</x:v>
      </x:c>
      <x:c r="D7" s="11" t="n">
        <x:v>0.25</x:v>
      </x:c>
      <x:c r="E7" s="11" t="n">
        <x:v>0.25</x:v>
      </x:c>
      <x:c r="F7" s="26" t="str">
        <x:v>Старые товары могут не иметь спроса. Скрытие лонгтейла не увеличило CR C. Группировка добровольная.</x:v>
      </x:c>
      <x:c r="G7" s="26" t="str">
        <x:v>UX, этап 4, H3; PDF с. 11–12</x:v>
      </x:c>
      <x:c r="H7" s="1" t="str">
        <x:v>Допущение: гипотеза и штрафы</x:v>
      </x:c>
      <x:c r="I7" s="1" t="n">
        <x:f>IF(AND(ISNUMBER(D7),ISNUMBER(E7),OR(D7=0,D7=0.25,D7=0.5),OR(E7=0,E7=0.25,E7=0.5)),1,0)</x:f>
        <x:v>1</x:v>
      </x:c>
      <x:c r="K7" s="15" t="n">
        <x:v>0.5</x:v>
      </x:c>
      <x:c r="L7" s="14" t="str">
        <x:v>Допущение</x:v>
      </x:c>
    </x:row>
    <x:row r="8" ht="54" customHeight="1">
      <x:c r="A8" s="1" t="str">
        <x:v>H4</x:v>
      </x:c>
      <x:c r="B8" s="1" t="str">
        <x:v>Сквозной поиск</x:v>
      </x:c>
      <x:c r="C8" s="1" t="str">
        <x:v>Оба раздела</x:v>
      </x:c>
      <x:c r="D8" s="11" t="n">
        <x:v>0.25</x:v>
      </x:c>
      <x:c r="E8" s="11" t="n">
        <x:v>0.25</x:v>
      </x:c>
      <x:c r="F8" s="26" t="str">
        <x:v>Задача может быть редкой; F уже имеет поиск. Владение двумя списками не равно двойному визиту.</x:v>
      </x:c>
      <x:c r="G8" s="26" t="str">
        <x:v>UX, этап 4, H4; PDF с. 8,14</x:v>
      </x:c>
      <x:c r="H8" s="1" t="str">
        <x:v>Допущение: гипотеза и штрафы</x:v>
      </x:c>
      <x:c r="I8" s="1" t="n">
        <x:f>IF(AND(ISNUMBER(D8),ISNUMBER(E8),OR(D8=0,D8=0.25,D8=0.5),OR(E8=0,E8=0.25,E8=0.5)),1,0)</x:f>
        <x:v>1</x:v>
      </x:c>
    </x:row>
    <x:row r="9" ht="54" customHeight="1">
      <x:c r="A9" s="1" t="str">
        <x:v>H5</x:v>
      </x:c>
      <x:c r="B9" s="1" t="str">
        <x:v>Ускоренная покупка из F</x:v>
      </x:c>
      <x:c r="C9" s="1" t="str">
        <x:v>Избранное</x:v>
      </x:c>
      <x:c r="D9" s="11" t="n">
        <x:v>0.25</x:v>
      </x:c>
      <x:c r="E9" s="11" t="n">
        <x:v>0.25</x:v>
      </x:c>
      <x:c r="F9" s="26" t="str">
        <x:v>Ограниченный дневной вход. Cart &amp; Fav снизил CR F; актуальность SKU, цены, наличия, доставки.</x:v>
      </x:c>
      <x:c r="G9" s="26" t="str">
        <x:v>UX, этап 4, H5; PDF с. 12,14</x:v>
      </x:c>
      <x:c r="H9" s="1" t="str">
        <x:v>Допущение: гипотеза и штрафы</x:v>
      </x:c>
      <x:c r="I9" s="1" t="n">
        <x:f>IF(AND(ISNUMBER(D9),ISNUMBER(E9),OR(D9=0,D9=0.25,D9=0.5),OR(E9=0,E9=0.25,E9=0.5)),1,0)</x:f>
        <x:v>1</x:v>
      </x:c>
    </x:row>
    <x:row r="10" ht="54" customHeight="1">
      <x:c r="A10" s="1" t="str">
        <x:v>H6.1</x:v>
      </x:c>
      <x:c r="B10" s="1" t="str">
        <x:v>Сравнение сохранённых</x:v>
      </x:c>
      <x:c r="C10" s="1" t="str">
        <x:v>Избранное</x:v>
      </x:c>
      <x:c r="D10" s="11" t="n">
        <x:v>0.25</x:v>
      </x:c>
      <x:c r="E10" s="11" t="n">
        <x:v>0.25</x:v>
      </x:c>
      <x:c r="F10" s="26" t="str">
        <x:v>Есть намерение купить не у всех. Переиспользовать сравнение; дополнительные шаги могут задержать решение.</x:v>
      </x:c>
      <x:c r="G10" s="26" t="str">
        <x:v>Приложенный текст H6, разделы 2,5</x:v>
      </x:c>
      <x:c r="H10" s="1" t="str">
        <x:v>Допущение: гипотеза и штрафы</x:v>
      </x:c>
      <x:c r="I10" s="1" t="n">
        <x:f>IF(AND(ISNUMBER(D10),ISNUMBER(E10),OR(D10=0,D10=0.25,D10=0.5),OR(E10=0,E10=0.25,E10=0.5)),1,0)</x:f>
        <x:v>1</x:v>
      </x:c>
    </x:row>
    <x:row r="11" ht="54" customHeight="1">
      <x:c r="A11" s="1" t="str">
        <x:v>H6.2</x:v>
      </x:c>
      <x:c r="B11" s="1" t="str">
        <x:v>Отбор по условиям покупки</x:v>
      </x:c>
      <x:c r="C11" s="1" t="str">
        <x:v>Избранное</x:v>
      </x:c>
      <x:c r="D11" s="11" t="n">
        <x:v>0.25</x:v>
      </x:c>
      <x:c r="E11" s="11" t="n">
        <x:v>0.25</x:v>
      </x:c>
      <x:c r="F11" s="26" t="str">
        <x:v>Поиск и фильтры F уже существуют. Добавить актуальные условия, не дублировать; нет доказанной массовости.</x:v>
      </x:c>
      <x:c r="G11" s="26" t="str">
        <x:v>Приложенный текст H6, разделы 2,5</x:v>
      </x:c>
      <x:c r="H11" s="1" t="str">
        <x:v>Допущение: гипотеза и штрафы</x:v>
      </x:c>
      <x:c r="I11" s="1" t="n">
        <x:f>IF(AND(ISNUMBER(D11),ISNUMBER(E11),OR(D11=0,D11=0.25,D11=0.5),OR(E11=0,E11=0.25,E11=0.5)),1,0)</x:f>
        <x:v>1</x:v>
      </x:c>
    </x:row>
    <x:row r="12" ht="54" customHeight="1">
      <x:c r="A12" s="1" t="str">
        <x:v>H6.3</x:v>
      </x:c>
      <x:c r="B12" s="1" t="str">
        <x:v>Шорт-лист фаворитов</x:v>
      </x:c>
      <x:c r="C12" s="1" t="str">
        <x:v>Избранное</x:v>
      </x:c>
      <x:c r="D12" s="11" t="n">
        <x:v>0.25</x:v>
      </x:c>
      <x:c r="E12" s="11" t="n">
        <x:v>0.25</x:v>
      </x:c>
      <x:c r="F12" s="26" t="str">
        <x:v>Требует самоорганизации. Большое F не доказывает готовность купить; покупки могли состояться и без функции.</x:v>
      </x:c>
      <x:c r="G12" s="26" t="str">
        <x:v>Приложенный текст H6, разделы 2,5</x:v>
      </x:c>
      <x:c r="H12" s="1" t="str">
        <x:v>Допущение: гипотеза и штрафы</x:v>
      </x:c>
      <x:c r="I12" s="1" t="n">
        <x:f>IF(AND(ISNUMBER(D12),ISNUMBER(E12),OR(D12=0,D12=0.25,D12=0.5),OR(E12=0,E12=0.25,E12=0.5)),1,0)</x:f>
        <x:v>1</x:v>
      </x:c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</x:row>
    <x:row r="15" ht="24" customHeight="1">
      <x:c r="A15" s="1" t="str">
        <x:v>H6 «Помощь с выбором» = одна из H6.1/H6.2/H6.3. Выбор на Параметры!B5. Эффекты не складываются.</x:v>
      </x:c>
      <x:c r="B15" s="1"/>
      <x:c r="C15" s="1"/>
      <x:c r="D15" s="1"/>
      <x:c r="E15" s="1"/>
      <x:c r="F15" s="1"/>
      <x:c r="G15" s="1"/>
      <x:c r="H15" s="1"/>
      <x:c r="I15" s="1"/>
    </x:row>
    <x:row r="16" ht="24" customHeight="1">
      <x:c r="A16" s="1" t="str">
        <x:v>У всех вариантов одинаковые +10% до штрафов. Причины рисков не превращены в измеренные коэффициенты.</x:v>
      </x:c>
      <x:c r="B16" s="1"/>
      <x:c r="C16" s="1"/>
      <x:c r="D16" s="1"/>
      <x:c r="E16" s="1"/>
      <x:c r="F16" s="1"/>
      <x:c r="G16" s="1"/>
      <x:c r="H16" s="1"/>
      <x:c r="I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</x:row>
  </x:sheetData>
  <x:conditionalFormatting sqref="I5:I12">
    <x:cfRule type="cellIs" dxfId="2" priority="1" operator="equal">
      <x:formula>0</x:formula>
    </x:cfRule>
  </x:conditionalFormatting>
  <x:dataValidations count="1">
    <x:dataValidation type="list" sqref="D5:E12">
      <x:formula1>$K$5:$K$7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A5A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6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1" t="str">
        <x:v>Сценарий</x:v>
      </x:c>
      <x:c r="B1" s="1" t="str">
        <x:f>'Итоги'!B3</x:f>
        <x:v>Базовый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2" customHeight="1">
      <x:c r="A2" s="2" t="str">
        <x:v>Воздействие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50" customHeight="1">
      <x:c r="A4" s="7" t="str">
        <x:v>H</x:v>
      </x:c>
      <x:c r="B4" s="7" t="str">
        <x:v>Когорта</x:v>
      </x:c>
      <x:c r="C4" s="7" t="str">
        <x:v>Цель среди C</x:v>
      </x:c>
      <x:c r="D4" s="7" t="str">
        <x:v>Цель среди F</x:v>
      </x:c>
      <x:c r="E4" s="7" t="str">
        <x:v>Цель C∩F среди обоих</x:v>
      </x:c>
      <x:c r="F4" s="7" t="str">
        <x:v>Потеря базовой CR C</x:v>
      </x:c>
      <x:c r="G4" s="7" t="str">
        <x:v>Потеря базовой CR F</x:v>
      </x:c>
      <x:c r="H4" s="7" t="str">
        <x:v>Δ дохода на покупат.</x:v>
      </x:c>
      <x:c r="I4" s="7" t="str">
        <x:v>Причина / трактовка</x:v>
      </x:c>
      <x:c r="J4" s="7" t="str">
        <x:v>Тип вводов</x:v>
      </x:c>
      <x:c r="K4" s="7" t="str">
        <x:v>Допустимость</x:v>
      </x:c>
      <x:c r="L4" s="7" t="str">
        <x:v>Целевых, людей</x:v>
      </x:c>
      <x:c r="M4" s="7" t="str">
        <x:v>Δ покупателей</x:v>
      </x:c>
      <x:c r="N4" s="7" t="str">
        <x:v>Δ global CR, п.п.</x:v>
      </x:c>
    </x:row>
    <x:row r="5" ht="24" customHeight="1">
      <x:c r="A5" s="1" t="str">
        <x:v>H1</x:v>
      </x:c>
      <x:c r="B5" s="1" t="str">
        <x:v>S1</x:v>
      </x:c>
      <x:c r="C5" s="11" t="n">
        <x:v>0</x:v>
      </x:c>
      <x:c r="D5" s="11" t="n">
        <x:v>0</x:v>
      </x:c>
      <x:c r="E5" s="11" t="n">
        <x:v>0</x:v>
      </x:c>
      <x:c r="F5" s="11" t="n">
        <x:v>0</x:v>
      </x:c>
      <x:c r="G5" s="11" t="n">
        <x:v>0</x:v>
      </x:c>
      <x:c r="H5" s="11" t="n">
        <x:v>0</x:v>
      </x:c>
      <x:c r="I5" s="10" t="str">
        <x:v>40+ и актуальная потребность — неизвестная доля</x:v>
      </x:c>
      <x:c r="J5" s="1" t="str">
        <x:v>Допущение</x:v>
      </x:c>
      <x:c r="K5" s="1" t="n">
        <x:f>IF(AND(COUNT(C5:H5)=6,MIN(C5:G5)&gt;=0,MAX(C5:G5)&lt;=1,H5&gt;=-1,H5&lt;=1,E5&gt;=MAX(0,C5+D5-1),E5&lt;=MIN(C5,D5)),1,0)</x:f>
        <x:v>1</x:v>
      </x:c>
      <x:c r="L5" s="12" t="n">
        <x:f>IF('Расчёт'!S140=1,SUM('Расчёт'!Z5:Z8),"")</x:f>
        <x:v>0</x:v>
      </x:c>
      <x:c r="M5" s="12" t="n">
        <x:f>IF('Расчёт'!S140=1,SUM('Расчёт'!U5:U8),"")</x:f>
        <x:v>0</x:v>
      </x:c>
      <x:c r="N5" s="16" t="n">
        <x:f>IF('Расчёт'!S140=1,SUM('Расчёт'!U5:U8)/'Параметры'!$B$8*100,"")</x:f>
        <x:v>0</x:v>
      </x:c>
    </x:row>
    <x:row r="6" ht="24" customHeight="1">
      <x:c r="A6" s="1" t="str">
        <x:v>H1</x:v>
      </x:c>
      <x:c r="B6" s="1" t="str">
        <x:v>S2</x:v>
      </x:c>
      <x:c r="C6" s="11" t="n">
        <x:v>0.4</x:v>
      </x:c>
      <x:c r="D6" s="11" t="n">
        <x:v>0</x:v>
      </x:c>
      <x:c r="E6" s="11" t="n">
        <x:v>0</x:v>
      </x:c>
      <x:c r="F6" s="11" t="n">
        <x:v>0</x:v>
      </x:c>
      <x:c r="G6" s="11" t="n">
        <x:v>0</x:v>
      </x:c>
      <x:c r="H6" s="11" t="n">
        <x:v>0</x:v>
      </x:c>
      <x:c r="I6" s="10" t="str">
        <x:v>40+ и актуальная потребность — неизвестная доля</x:v>
      </x:c>
      <x:c r="J6" s="1" t="str">
        <x:v>Допущение</x:v>
      </x:c>
      <x:c r="K6" s="1" t="n">
        <x:f>IF(AND(COUNT(C6:H6)=6,MIN(C6:G6)&gt;=0,MAX(C6:G6)&lt;=1,H6&gt;=-1,H6&lt;=1,E6&gt;=MAX(0,C6+D6-1),E6&lt;=MIN(C6,D6)),1,0)</x:f>
        <x:v>1</x:v>
      </x:c>
      <x:c r="L6" s="12" t="n">
        <x:f>IF('Расчёт'!S140=1,SUM('Расчёт'!Z9:Z12),"")</x:f>
        <x:v>5200</x:v>
      </x:c>
      <x:c r="M6" s="12" t="n">
        <x:f>IF('Расчёт'!S140=1,SUM('Расчёт'!U9:U12),"")</x:f>
        <x:v>85.06290228203642</x:v>
      </x:c>
      <x:c r="N6" s="16" t="n">
        <x:f>IF('Расчёт'!S140=1,SUM('Расчёт'!U9:U12)/'Параметры'!$B$8*100,"")</x:f>
        <x:v>0.08506290228203642</x:v>
      </x:c>
    </x:row>
    <x:row r="7" ht="24" customHeight="1">
      <x:c r="A7" s="1" t="str">
        <x:v>H1</x:v>
      </x:c>
      <x:c r="B7" s="1" t="str">
        <x:v>S3</x:v>
      </x:c>
      <x:c r="C7" s="11" t="n">
        <x:v>0.4</x:v>
      </x:c>
      <x:c r="D7" s="11" t="n">
        <x:v>0</x:v>
      </x:c>
      <x:c r="E7" s="11" t="n">
        <x:v>0</x:v>
      </x:c>
      <x:c r="F7" s="11" t="n">
        <x:v>0</x:v>
      </x:c>
      <x:c r="G7" s="11" t="n">
        <x:v>0</x:v>
      </x:c>
      <x:c r="H7" s="11" t="n">
        <x:v>0</x:v>
      </x:c>
      <x:c r="I7" s="10" t="str">
        <x:v>40+ и актуальная потребность — неизвестная доля</x:v>
      </x:c>
      <x:c r="J7" s="1" t="str">
        <x:v>Допущение</x:v>
      </x:c>
      <x:c r="K7" s="1" t="n">
        <x:f>IF(AND(COUNT(C7:H7)=6,MIN(C7:G7)&gt;=0,MAX(C7:G7)&lt;=1,H7&gt;=-1,H7&lt;=1,E7&gt;=MAX(0,C7+D7-1),E7&lt;=MIN(C7,D7)),1,0)</x:f>
        <x:v>1</x:v>
      </x:c>
      <x:c r="L7" s="12" t="n">
        <x:f>IF('Расчёт'!S140=1,SUM('Расчёт'!Z13:Z16),"")</x:f>
        <x:v>7800.000000000001</x:v>
      </x:c>
      <x:c r="M7" s="12" t="n">
        <x:f>IF('Расчёт'!S140=1,SUM('Расчёт'!U13:U16),"")</x:f>
        <x:v>72.91105909888842</x:v>
      </x:c>
      <x:c r="N7" s="16" t="n">
        <x:f>IF('Расчёт'!S140=1,SUM('Расчёт'!U13:U16)/'Параметры'!$B$8*100,"")</x:f>
        <x:v>0.07291105909888841</x:v>
      </x:c>
    </x:row>
    <x:row r="8" ht="24" customHeight="1">
      <x:c r="A8" s="1" t="str">
        <x:v>H1</x:v>
      </x:c>
      <x:c r="B8" s="1" t="str">
        <x:v>S4</x:v>
      </x:c>
      <x:c r="C8" s="11" t="n">
        <x:v>0</x:v>
      </x:c>
      <x:c r="D8" s="11" t="n">
        <x:v>0</x:v>
      </x:c>
      <x:c r="E8" s="11" t="n">
        <x:v>0</x:v>
      </x:c>
      <x:c r="F8" s="11" t="n">
        <x:v>0</x:v>
      </x:c>
      <x:c r="G8" s="11" t="n">
        <x:v>0</x:v>
      </x:c>
      <x:c r="H8" s="11" t="n">
        <x:v>0</x:v>
      </x:c>
      <x:c r="I8" s="10" t="str">
        <x:v>40+ и актуальная потребность — неизвестная доля</x:v>
      </x:c>
      <x:c r="J8" s="1" t="str">
        <x:v>Допущение</x:v>
      </x:c>
      <x:c r="K8" s="1" t="n">
        <x:f>IF(AND(COUNT(C8:H8)=6,MIN(C8:G8)&gt;=0,MAX(C8:G8)&lt;=1,H8&gt;=-1,H8&lt;=1,E8&gt;=MAX(0,C8+D8-1),E8&lt;=MIN(C8,D8)),1,0)</x:f>
        <x:v>1</x:v>
      </x:c>
      <x:c r="L8" s="12" t="n">
        <x:f>IF('Расчёт'!S140=1,SUM('Расчёт'!Z17:Z20),"")</x:f>
        <x:v>0</x:v>
      </x:c>
      <x:c r="M8" s="12" t="n">
        <x:f>IF('Расчёт'!S140=1,SUM('Расчёт'!U17:U20),"")</x:f>
        <x:v>0</x:v>
      </x:c>
      <x:c r="N8" s="16" t="n">
        <x:f>IF('Расчёт'!S140=1,SUM('Расчёт'!U17:U20)/'Параметры'!$B$8*100,"")</x:f>
        <x:v>0</x:v>
      </x:c>
    </x:row>
    <x:row r="9" ht="24" customHeight="1">
      <x:c r="A9" s="1" t="str">
        <x:v>H2</x:v>
      </x:c>
      <x:c r="B9" s="1" t="str">
        <x:v>S1</x:v>
      </x:c>
      <x:c r="C9" s="11" t="n">
        <x:v>0.2</x:v>
      </x:c>
      <x:c r="D9" s="11" t="n">
        <x:v>0.25</x:v>
      </x:c>
      <x:c r="E9" s="11" t="n">
        <x:v>0.1</x:v>
      </x:c>
      <x:c r="F9" s="11" t="n">
        <x:v>0</x:v>
      </x:c>
      <x:c r="G9" s="11" t="n">
        <x:v>0</x:v>
      </x:c>
      <x:c r="H9" s="11" t="n">
        <x:v>0</x:v>
      </x:c>
      <x:c r="I9" s="10" t="str">
        <x:v>Нужный сценарий — неизвестная доля</x:v>
      </x:c>
      <x:c r="J9" s="1" t="str">
        <x:v>Допущение</x:v>
      </x:c>
      <x:c r="K9" s="1" t="n">
        <x:f>IF(AND(COUNT(C9:H9)=6,MIN(C9:G9)&gt;=0,MAX(C9:G9)&lt;=1,H9&gt;=-1,H9&lt;=1,E9&gt;=MAX(0,C9+D9-1),E9&lt;=MIN(C9,D9)),1,0)</x:f>
        <x:v>1</x:v>
      </x:c>
      <x:c r="L9" s="12" t="n">
        <x:f>IF('Расчёт'!S141=1,SUM('Расчёт'!Z21:Z24),"")</x:f>
        <x:v>3042</x:v>
      </x:c>
      <x:c r="M9" s="12" t="n">
        <x:f>IF('Расчёт'!S141=1,SUM('Расчёт'!U21:U24),"")</x:f>
        <x:v>66.32167934464623</x:v>
      </x:c>
      <x:c r="N9" s="16" t="n">
        <x:f>IF('Расчёт'!S141=1,SUM('Расчёт'!U21:U24)/'Параметры'!$B$8*100,"")</x:f>
        <x:v>0.06632167934464622</x:v>
      </x:c>
    </x:row>
    <x:row r="10" ht="24" customHeight="1">
      <x:c r="A10" s="1" t="str">
        <x:v>H2</x:v>
      </x:c>
      <x:c r="B10" s="1" t="str">
        <x:v>S2</x:v>
      </x:c>
      <x:c r="C10" s="11" t="n">
        <x:v>0.2</x:v>
      </x:c>
      <x:c r="D10" s="11" t="n">
        <x:v>0.25</x:v>
      </x:c>
      <x:c r="E10" s="11" t="n">
        <x:v>0.1</x:v>
      </x:c>
      <x:c r="F10" s="11" t="n">
        <x:v>0</x:v>
      </x:c>
      <x:c r="G10" s="11" t="n">
        <x:v>0</x:v>
      </x:c>
      <x:c r="H10" s="11" t="n">
        <x:v>0</x:v>
      </x:c>
      <x:c r="I10" s="10" t="str">
        <x:v>Нужный сценарий — неизвестная доля</x:v>
      </x:c>
      <x:c r="J10" s="1" t="str">
        <x:v>Допущение</x:v>
      </x:c>
      <x:c r="K10" s="1" t="n">
        <x:f>IF(AND(COUNT(C10:H10)=6,MIN(C10:G10)&gt;=0,MAX(C10:G10)&lt;=1,H10&gt;=-1,H10&lt;=1,E10&gt;=MAX(0,C10+D10-1),E10&lt;=MIN(C10,D10)),1,0)</x:f>
        <x:v>1</x:v>
      </x:c>
      <x:c r="L10" s="12" t="n">
        <x:f>IF('Расчёт'!S141=1,SUM('Расчёт'!Z25:Z28),"")</x:f>
        <x:v>3042</x:v>
      </x:c>
      <x:c r="M10" s="12" t="n">
        <x:f>IF('Расчёт'!S141=1,SUM('Расчёт'!U25:U28),"")</x:f>
        <x:v>46.42517554125228</x:v>
      </x:c>
      <x:c r="N10" s="16" t="n">
        <x:f>IF('Расчёт'!S141=1,SUM('Расчёт'!U25:U28)/'Параметры'!$B$8*100,"")</x:f>
        <x:v>0.04642517554125228</x:v>
      </x:c>
    </x:row>
    <x:row r="11" ht="24" customHeight="1">
      <x:c r="A11" s="1" t="str">
        <x:v>H2</x:v>
      </x:c>
      <x:c r="B11" s="1" t="str">
        <x:v>S3</x:v>
      </x:c>
      <x:c r="C11" s="11" t="n">
        <x:v>0.2</x:v>
      </x:c>
      <x:c r="D11" s="11" t="n">
        <x:v>0.25</x:v>
      </x:c>
      <x:c r="E11" s="11" t="n">
        <x:v>0.1</x:v>
      </x:c>
      <x:c r="F11" s="11" t="n">
        <x:v>0</x:v>
      </x:c>
      <x:c r="G11" s="11" t="n">
        <x:v>0</x:v>
      </x:c>
      <x:c r="H11" s="11" t="n">
        <x:v>0</x:v>
      </x:c>
      <x:c r="I11" s="10" t="str">
        <x:v>Нужный сценарий — неизвестная доля</x:v>
      </x:c>
      <x:c r="J11" s="1" t="str">
        <x:v>Допущение</x:v>
      </x:c>
      <x:c r="K11" s="1" t="n">
        <x:f>IF(AND(COUNT(C11:H11)=6,MIN(C11:G11)&gt;=0,MAX(C11:G11)&lt;=1,H11&gt;=-1,H11&lt;=1,E11&gt;=MAX(0,C11+D11-1),E11&lt;=MIN(C11,D11)),1,0)</x:f>
        <x:v>1</x:v>
      </x:c>
      <x:c r="L11" s="12" t="n">
        <x:f>IF('Расчёт'!S141=1,SUM('Расчёт'!Z29:Z32),"")</x:f>
        <x:v>4563</x:v>
      </x:c>
      <x:c r="M11" s="12" t="n">
        <x:f>IF('Расчёт'!S141=1,SUM('Расчёт'!U29:U32),"")</x:f>
        <x:v>39.7930076067875</x:v>
      </x:c>
      <x:c r="N11" s="16" t="n">
        <x:f>IF('Расчёт'!S141=1,SUM('Расчёт'!U29:U32)/'Параметры'!$B$8*100,"")</x:f>
        <x:v>0.0397930076067875</x:v>
      </x:c>
    </x:row>
    <x:row r="12" ht="24" customHeight="1">
      <x:c r="A12" s="1" t="str">
        <x:v>H2</x:v>
      </x:c>
      <x:c r="B12" s="1" t="str">
        <x:v>S4</x:v>
      </x:c>
      <x:c r="C12" s="11" t="n">
        <x:v>0.2</x:v>
      </x:c>
      <x:c r="D12" s="11" t="n">
        <x:v>0.25</x:v>
      </x:c>
      <x:c r="E12" s="11" t="n">
        <x:v>0.1</x:v>
      </x:c>
      <x:c r="F12" s="11" t="n">
        <x:v>0</x:v>
      </x:c>
      <x:c r="G12" s="11" t="n">
        <x:v>0</x:v>
      </x:c>
      <x:c r="H12" s="11" t="n">
        <x:v>0</x:v>
      </x:c>
      <x:c r="I12" s="10" t="str">
        <x:v>Нужный сценарий — неизвестная доля</x:v>
      </x:c>
      <x:c r="J12" s="1" t="str">
        <x:v>Допущение</x:v>
      </x:c>
      <x:c r="K12" s="1" t="n">
        <x:f>IF(AND(COUNT(C12:H12)=6,MIN(C12:G12)&gt;=0,MAX(C12:G12)&lt;=1,H12&gt;=-1,H12&lt;=1,E12&gt;=MAX(0,C12+D12-1),E12&lt;=MIN(C12,D12)),1,0)</x:f>
        <x:v>1</x:v>
      </x:c>
      <x:c r="L12" s="12" t="n">
        <x:f>IF('Расчёт'!S141=1,SUM('Расчёт'!Z33:Z36),"")</x:f>
        <x:v>4563</x:v>
      </x:c>
      <x:c r="M12" s="12" t="n">
        <x:f>IF('Расчёт'!S141=1,SUM('Расчёт'!U33:U36),"")</x:f>
        <x:v>69.6377633118779</x:v>
      </x:c>
      <x:c r="N12" s="16" t="n">
        <x:f>IF('Расчёт'!S141=1,SUM('Расчёт'!U33:U36)/'Параметры'!$B$8*100,"")</x:f>
        <x:v>0.0696377633118779</x:v>
      </x:c>
    </x:row>
    <x:row r="13" ht="24" customHeight="1">
      <x:c r="A13" s="1" t="str">
        <x:v>H3</x:v>
      </x:c>
      <x:c r="B13" s="1" t="str">
        <x:v>S1</x:v>
      </x:c>
      <x:c r="C13" s="11" t="n">
        <x:v>0.1</x:v>
      </x:c>
      <x:c r="D13" s="11" t="n">
        <x:v>0</x:v>
      </x:c>
      <x:c r="E13" s="11" t="n">
        <x:v>0</x:v>
      </x:c>
      <x:c r="F13" s="11" t="n">
        <x:v>0</x:v>
      </x:c>
      <x:c r="G13" s="11" t="n">
        <x:v>0</x:v>
      </x:c>
      <x:c r="H13" s="11" t="n">
        <x:v>0</x:v>
      </x:c>
      <x:c r="I13" s="10" t="str">
        <x:v>Нужный сценарий — неизвестная доля</x:v>
      </x:c>
      <x:c r="J13" s="1" t="str">
        <x:v>Допущение</x:v>
      </x:c>
      <x:c r="K13" s="1" t="n">
        <x:f>IF(AND(COUNT(C13:H13)=6,MIN(C13:G13)&gt;=0,MAX(C13:G13)&lt;=1,H13&gt;=-1,H13&lt;=1,E13&gt;=MAX(0,C13+D13-1),E13&lt;=MIN(C13,D13)),1,0)</x:f>
        <x:v>1</x:v>
      </x:c>
      <x:c r="L13" s="12" t="n">
        <x:f>IF('Расчёт'!S142=1,SUM('Расчёт'!Z37:Z40),"")</x:f>
        <x:v>1300</x:v>
      </x:c>
      <x:c r="M13" s="12" t="n">
        <x:f>IF('Расчёт'!S142=1,SUM('Расчёт'!U37:U40),"")</x:f>
        <x:v>30.37960795786978</x:v>
      </x:c>
      <x:c r="N13" s="16" t="n">
        <x:f>IF('Расчёт'!S142=1,SUM('Расчёт'!U37:U40)/'Параметры'!$B$8*100,"")</x:f>
        <x:v>0.03037960795786978</x:v>
      </x:c>
    </x:row>
    <x:row r="14" ht="24" customHeight="1">
      <x:c r="A14" s="1" t="str">
        <x:v>H3</x:v>
      </x:c>
      <x:c r="B14" s="1" t="str">
        <x:v>S2</x:v>
      </x:c>
      <x:c r="C14" s="11" t="n">
        <x:v>0.4</x:v>
      </x:c>
      <x:c r="D14" s="11" t="n">
        <x:v>0</x:v>
      </x:c>
      <x:c r="E14" s="11" t="n">
        <x:v>0</x:v>
      </x:c>
      <x:c r="F14" s="11" t="n">
        <x:v>0</x:v>
      </x:c>
      <x:c r="G14" s="11" t="n">
        <x:v>0</x:v>
      </x:c>
      <x:c r="H14" s="11" t="n">
        <x:v>0</x:v>
      </x:c>
      <x:c r="I14" s="10" t="str">
        <x:v>Нужный сценарий — неизвестная доля</x:v>
      </x:c>
      <x:c r="J14" s="1" t="str">
        <x:v>Допущение</x:v>
      </x:c>
      <x:c r="K14" s="1" t="n">
        <x:f>IF(AND(COUNT(C14:H14)=6,MIN(C14:G14)&gt;=0,MAX(C14:G14)&lt;=1,H14&gt;=-1,H14&lt;=1,E14&gt;=MAX(0,C14+D14-1),E14&lt;=MIN(C14,D14)),1,0)</x:f>
        <x:v>1</x:v>
      </x:c>
      <x:c r="L14" s="12" t="n">
        <x:f>IF('Расчёт'!S142=1,SUM('Расчёт'!Z41:Z44),"")</x:f>
        <x:v>5200</x:v>
      </x:c>
      <x:c r="M14" s="12" t="n">
        <x:f>IF('Расчёт'!S142=1,SUM('Расчёт'!U41:U44),"")</x:f>
        <x:v>85.06290228203642</x:v>
      </x:c>
      <x:c r="N14" s="16" t="n">
        <x:f>IF('Расчёт'!S142=1,SUM('Расчёт'!U41:U44)/'Параметры'!$B$8*100,"")</x:f>
        <x:v>0.08506290228203642</x:v>
      </x:c>
    </x:row>
    <x:row r="15" ht="24" customHeight="1">
      <x:c r="A15" s="1" t="str">
        <x:v>H3</x:v>
      </x:c>
      <x:c r="B15" s="1" t="str">
        <x:v>S3</x:v>
      </x:c>
      <x:c r="C15" s="11" t="n">
        <x:v>0.4</x:v>
      </x:c>
      <x:c r="D15" s="11" t="n">
        <x:v>0</x:v>
      </x:c>
      <x:c r="E15" s="11" t="n">
        <x:v>0</x:v>
      </x:c>
      <x:c r="F15" s="11" t="n">
        <x:v>0</x:v>
      </x:c>
      <x:c r="G15" s="11" t="n">
        <x:v>0</x:v>
      </x:c>
      <x:c r="H15" s="11" t="n">
        <x:v>0</x:v>
      </x:c>
      <x:c r="I15" s="10" t="str">
        <x:v>Нужный сценарий — неизвестная доля</x:v>
      </x:c>
      <x:c r="J15" s="1" t="str">
        <x:v>Допущение</x:v>
      </x:c>
      <x:c r="K15" s="1" t="n">
        <x:f>IF(AND(COUNT(C15:H15)=6,MIN(C15:G15)&gt;=0,MAX(C15:G15)&lt;=1,H15&gt;=-1,H15&lt;=1,E15&gt;=MAX(0,C15+D15-1),E15&lt;=MIN(C15,D15)),1,0)</x:f>
        <x:v>1</x:v>
      </x:c>
      <x:c r="L15" s="12" t="n">
        <x:f>IF('Расчёт'!S142=1,SUM('Расчёт'!Z45:Z48),"")</x:f>
        <x:v>7800.000000000001</x:v>
      </x:c>
      <x:c r="M15" s="12" t="n">
        <x:f>IF('Расчёт'!S142=1,SUM('Расчёт'!U45:U48),"")</x:f>
        <x:v>72.91105909888842</x:v>
      </x:c>
      <x:c r="N15" s="16" t="n">
        <x:f>IF('Расчёт'!S142=1,SUM('Расчёт'!U45:U48)/'Параметры'!$B$8*100,"")</x:f>
        <x:v>0.07291105909888841</x:v>
      </x:c>
    </x:row>
    <x:row r="16" ht="24" customHeight="1">
      <x:c r="A16" s="1" t="str">
        <x:v>H3</x:v>
      </x:c>
      <x:c r="B16" s="1" t="str">
        <x:v>S4</x:v>
      </x:c>
      <x:c r="C16" s="11" t="n">
        <x:v>0.1</x:v>
      </x:c>
      <x:c r="D16" s="11" t="n">
        <x:v>0</x:v>
      </x:c>
      <x:c r="E16" s="11" t="n">
        <x:v>0</x:v>
      </x:c>
      <x:c r="F16" s="11" t="n">
        <x:v>0</x:v>
      </x:c>
      <x:c r="G16" s="11" t="n">
        <x:v>0</x:v>
      </x:c>
      <x:c r="H16" s="11" t="n">
        <x:v>0</x:v>
      </x:c>
      <x:c r="I16" s="10" t="str">
        <x:v>Нужный сценарий — неизвестная доля</x:v>
      </x:c>
      <x:c r="J16" s="1" t="str">
        <x:v>Допущение</x:v>
      </x:c>
      <x:c r="K16" s="1" t="n">
        <x:f>IF(AND(COUNT(C16:H16)=6,MIN(C16:G16)&gt;=0,MAX(C16:G16)&lt;=1,H16&gt;=-1,H16&lt;=1,E16&gt;=MAX(0,C16+D16-1),E16&lt;=MIN(C16,D16)),1,0)</x:f>
        <x:v>1</x:v>
      </x:c>
      <x:c r="L16" s="12" t="n">
        <x:f>IF('Расчёт'!S142=1,SUM('Расчёт'!Z49:Z52),"")</x:f>
        <x:v>1950.0000000000002</x:v>
      </x:c>
      <x:c r="M16" s="12" t="n">
        <x:f>IF('Расчёт'!S142=1,SUM('Расчёт'!U49:U52),"")</x:f>
        <x:v>31.898588355763877</x:v>
      </x:c>
      <x:c r="N16" s="16" t="n">
        <x:f>IF('Расчёт'!S142=1,SUM('Расчёт'!U49:U52)/'Параметры'!$B$8*100,"")</x:f>
        <x:v>0.031898588355763875</x:v>
      </x:c>
    </x:row>
    <x:row r="17" ht="24" customHeight="1">
      <x:c r="A17" s="1" t="str">
        <x:v>H4</x:v>
      </x:c>
      <x:c r="B17" s="1" t="str">
        <x:v>S1</x:v>
      </x:c>
      <x:c r="C17" s="11" t="n">
        <x:v>0.2</x:v>
      </x:c>
      <x:c r="D17" s="11" t="n">
        <x:v>0.2</x:v>
      </x:c>
      <x:c r="E17" s="11" t="n">
        <x:v>0.1</x:v>
      </x:c>
      <x:c r="F17" s="11" t="n">
        <x:v>0</x:v>
      </x:c>
      <x:c r="G17" s="11" t="n">
        <x:v>0</x:v>
      </x:c>
      <x:c r="H17" s="11" t="n">
        <x:v>0</x:v>
      </x:c>
      <x:c r="I17" s="10" t="str">
        <x:v>Нужный сценарий — неизвестная доля</x:v>
      </x:c>
      <x:c r="J17" s="1" t="str">
        <x:v>Допущение</x:v>
      </x:c>
      <x:c r="K17" s="1" t="n">
        <x:f>IF(AND(COUNT(C17:H17)=6,MIN(C17:G17)&gt;=0,MAX(C17:G17)&lt;=1,H17&gt;=-1,H17&lt;=1,E17&gt;=MAX(0,C17+D17-1),E17&lt;=MIN(C17,D17)),1,0)</x:f>
        <x:v>1</x:v>
      </x:c>
      <x:c r="L17" s="12" t="n">
        <x:f>IF('Расчёт'!S143=1,SUM('Расчёт'!Z53:Z56),"")</x:f>
        <x:v>2912</x:v>
      </x:c>
      <x:c r="M17" s="12" t="n">
        <x:f>IF('Расчёт'!S143=1,SUM('Расчёт'!U53:U56),"")</x:f>
        <x:v>64.52457577530748</x:v>
      </x:c>
      <x:c r="N17" s="16" t="n">
        <x:f>IF('Расчёт'!S143=1,SUM('Расчёт'!U53:U56)/'Параметры'!$B$8*100,"")</x:f>
        <x:v>0.06452457577530749</x:v>
      </x:c>
    </x:row>
    <x:row r="18" ht="24" customHeight="1">
      <x:c r="A18" s="1" t="str">
        <x:v>H4</x:v>
      </x:c>
      <x:c r="B18" s="1" t="str">
        <x:v>S2</x:v>
      </x:c>
      <x:c r="C18" s="11" t="n">
        <x:v>0.3</x:v>
      </x:c>
      <x:c r="D18" s="11" t="n">
        <x:v>0.3</x:v>
      </x:c>
      <x:c r="E18" s="11" t="n">
        <x:v>0.1</x:v>
      </x:c>
      <x:c r="F18" s="11" t="n">
        <x:v>0</x:v>
      </x:c>
      <x:c r="G18" s="11" t="n">
        <x:v>0</x:v>
      </x:c>
      <x:c r="H18" s="11" t="n">
        <x:v>0</x:v>
      </x:c>
      <x:c r="I18" s="10" t="str">
        <x:v>Нужный сценарий — неизвестная доля</x:v>
      </x:c>
      <x:c r="J18" s="1" t="str">
        <x:v>Допущение</x:v>
      </x:c>
      <x:c r="K18" s="1" t="n">
        <x:f>IF(AND(COUNT(C18:H18)=6,MIN(C18:G18)&gt;=0,MAX(C18:G18)&lt;=1,H18&gt;=-1,H18&lt;=1,E18&gt;=MAX(0,C18+D18-1),E18&lt;=MIN(C18,D18)),1,0)</x:f>
        <x:v>1</x:v>
      </x:c>
      <x:c r="L18" s="12" t="n">
        <x:f>IF('Расчёт'!S143=1,SUM('Расчёт'!Z57:Z60),"")</x:f>
        <x:v>4472</x:v>
      </x:c>
      <x:c r="M18" s="12" t="n">
        <x:f>IF('Расчёт'!S143=1,SUM('Расчёт'!U57:U60),"")</x:f>
        <x:v>68.94887361029853</x:v>
      </x:c>
      <x:c r="N18" s="16" t="n">
        <x:f>IF('Расчёт'!S143=1,SUM('Расчёт'!U57:U60)/'Параметры'!$B$8*100,"")</x:f>
        <x:v>0.06894887361029854</x:v>
      </x:c>
    </x:row>
    <x:row r="19" ht="24" customHeight="1">
      <x:c r="A19" s="1" t="str">
        <x:v>H4</x:v>
      </x:c>
      <x:c r="B19" s="1" t="str">
        <x:v>S3</x:v>
      </x:c>
      <x:c r="C19" s="11" t="n">
        <x:v>0.3</x:v>
      </x:c>
      <x:c r="D19" s="11" t="n">
        <x:v>0.3</x:v>
      </x:c>
      <x:c r="E19" s="11" t="n">
        <x:v>0.1</x:v>
      </x:c>
      <x:c r="F19" s="11" t="n">
        <x:v>0</x:v>
      </x:c>
      <x:c r="G19" s="11" t="n">
        <x:v>0</x:v>
      </x:c>
      <x:c r="H19" s="11" t="n">
        <x:v>0</x:v>
      </x:c>
      <x:c r="I19" s="10" t="str">
        <x:v>Нужный сценарий — неизвестная доля</x:v>
      </x:c>
      <x:c r="J19" s="1" t="str">
        <x:v>Допущение</x:v>
      </x:c>
      <x:c r="K19" s="1" t="n">
        <x:f>IF(AND(COUNT(C19:H19)=6,MIN(C19:G19)&gt;=0,MAX(C19:G19)&lt;=1,H19&gt;=-1,H19&lt;=1,E19&gt;=MAX(0,C19+D19-1),E19&lt;=MIN(C19,D19)),1,0)</x:f>
        <x:v>1</x:v>
      </x:c>
      <x:c r="L19" s="12" t="n">
        <x:f>IF('Расчёт'!S143=1,SUM('Расчёт'!Z61:Z64),"")</x:f>
        <x:v>6708</x:v>
      </x:c>
      <x:c r="M19" s="12" t="n">
        <x:f>IF('Расчёт'!S143=1,SUM('Расчёт'!U61:U64),"")</x:f>
        <x:v>59.09903452311295</x:v>
      </x:c>
      <x:c r="N19" s="16" t="n">
        <x:f>IF('Расчёт'!S143=1,SUM('Расчёт'!U61:U64)/'Параметры'!$B$8*100,"")</x:f>
        <x:v>0.05909903452311295</x:v>
      </x:c>
    </x:row>
    <x:row r="20" ht="24" customHeight="1">
      <x:c r="A20" s="1" t="str">
        <x:v>H4</x:v>
      </x:c>
      <x:c r="B20" s="1" t="str">
        <x:v>S4</x:v>
      </x:c>
      <x:c r="C20" s="11" t="n">
        <x:v>0.2</x:v>
      </x:c>
      <x:c r="D20" s="11" t="n">
        <x:v>0.2</x:v>
      </x:c>
      <x:c r="E20" s="11" t="n">
        <x:v>0.1</x:v>
      </x:c>
      <x:c r="F20" s="11" t="n">
        <x:v>0</x:v>
      </x:c>
      <x:c r="G20" s="11" t="n">
        <x:v>0</x:v>
      </x:c>
      <x:c r="H20" s="11" t="n">
        <x:v>0</x:v>
      </x:c>
      <x:c r="I20" s="10" t="str">
        <x:v>Нужный сценарий — неизвестная доля</x:v>
      </x:c>
      <x:c r="J20" s="1" t="str">
        <x:v>Допущение</x:v>
      </x:c>
      <x:c r="K20" s="1" t="n">
        <x:f>IF(AND(COUNT(C20:H20)=6,MIN(C20:G20)&gt;=0,MAX(C20:G20)&lt;=1,H20&gt;=-1,H20&lt;=1,E20&gt;=MAX(0,C20+D20-1),E20&lt;=MIN(C20,D20)),1,0)</x:f>
        <x:v>1</x:v>
      </x:c>
      <x:c r="L20" s="12" t="n">
        <x:f>IF('Расчёт'!S143=1,SUM('Расчёт'!Z65:Z68),"")</x:f>
        <x:v>4368.000000000001</x:v>
      </x:c>
      <x:c r="M20" s="12" t="n">
        <x:f>IF('Расчёт'!S143=1,SUM('Расчёт'!U65:U68),"")</x:f>
        <x:v>67.75080456407218</x:v>
      </x:c>
      <x:c r="N20" s="16" t="n">
        <x:f>IF('Расчёт'!S143=1,SUM('Расчёт'!U65:U68)/'Параметры'!$B$8*100,"")</x:f>
        <x:v>0.06775080456407219</x:v>
      </x:c>
    </x:row>
    <x:row r="21" ht="24" customHeight="1">
      <x:c r="A21" s="1" t="str">
        <x:v>H5</x:v>
      </x:c>
      <x:c r="B21" s="1" t="str">
        <x:v>S1</x:v>
      </x:c>
      <x:c r="C21" s="11" t="n">
        <x:v>0</x:v>
      </x:c>
      <x:c r="D21" s="11" t="n">
        <x:v>0.5</x:v>
      </x:c>
      <x:c r="E21" s="11" t="n">
        <x:v>0</x:v>
      </x:c>
      <x:c r="F21" s="11" t="n">
        <x:v>0</x:v>
      </x:c>
      <x:c r="G21" s="11" t="n">
        <x:v>0</x:v>
      </x:c>
      <x:c r="H21" s="11" t="n">
        <x:v>0</x:v>
      </x:c>
      <x:c r="I21" s="10" t="str">
        <x:v>Нужный сценарий — неизвестная доля</x:v>
      </x:c>
      <x:c r="J21" s="1" t="str">
        <x:v>Допущение</x:v>
      </x:c>
      <x:c r="K21" s="1" t="n">
        <x:f>IF(AND(COUNT(C21:H21)=6,MIN(C21:G21)&gt;=0,MAX(C21:G21)&lt;=1,H21&gt;=-1,H21&lt;=1,E21&gt;=MAX(0,C21+D21-1),E21&lt;=MIN(C21,D21)),1,0)</x:f>
        <x:v>1</x:v>
      </x:c>
      <x:c r="L21" s="12" t="n">
        <x:f>IF('Расчёт'!S144=1,SUM('Расчёт'!Z69:Z72),"")</x:f>
        <x:v>1300</x:v>
      </x:c>
      <x:c r="M21" s="12" t="n">
        <x:f>IF('Расчёт'!S144=1,SUM('Расчёт'!U69:U72),"")</x:f>
        <x:v>17.9710356933879</x:v>
      </x:c>
      <x:c r="N21" s="16" t="n">
        <x:f>IF('Расчёт'!S144=1,SUM('Расчёт'!U69:U72)/'Параметры'!$B$8*100,"")</x:f>
        <x:v>0.017971035693387902</x:v>
      </x:c>
    </x:row>
    <x:row r="22" ht="24" customHeight="1">
      <x:c r="A22" s="1" t="str">
        <x:v>H5</x:v>
      </x:c>
      <x:c r="B22" s="1" t="str">
        <x:v>S2</x:v>
      </x:c>
      <x:c r="C22" s="11" t="n">
        <x:v>0</x:v>
      </x:c>
      <x:c r="D22" s="11" t="n">
        <x:v>0.5</x:v>
      </x:c>
      <x:c r="E22" s="11" t="n">
        <x:v>0</x:v>
      </x:c>
      <x:c r="F22" s="11" t="n">
        <x:v>0</x:v>
      </x:c>
      <x:c r="G22" s="11" t="n">
        <x:v>0</x:v>
      </x:c>
      <x:c r="H22" s="11" t="n">
        <x:v>0</x:v>
      </x:c>
      <x:c r="I22" s="10" t="str">
        <x:v>Нужный сценарий — неизвестная доля</x:v>
      </x:c>
      <x:c r="J22" s="1" t="str">
        <x:v>Допущение</x:v>
      </x:c>
      <x:c r="K22" s="1" t="n">
        <x:f>IF(AND(COUNT(C22:H22)=6,MIN(C22:G22)&gt;=0,MAX(C22:G22)&lt;=1,H22&gt;=-1,H22&lt;=1,E22&gt;=MAX(0,C22+D22-1),E22&lt;=MIN(C22,D22)),1,0)</x:f>
        <x:v>1</x:v>
      </x:c>
      <x:c r="L22" s="12" t="n">
        <x:f>IF('Расчёт'!S144=1,SUM('Расчёт'!Z73:Z76),"")</x:f>
        <x:v>1300</x:v>
      </x:c>
      <x:c r="M22" s="12" t="n">
        <x:f>IF('Расчёт'!S144=1,SUM('Расчёт'!U73:U76),"")</x:f>
        <x:v>12.579724985371552</x:v>
      </x:c>
      <x:c r="N22" s="16" t="n">
        <x:f>IF('Расчёт'!S144=1,SUM('Расчёт'!U73:U76)/'Параметры'!$B$8*100,"")</x:f>
        <x:v>0.012579724985371552</x:v>
      </x:c>
    </x:row>
    <x:row r="23" ht="24" customHeight="1">
      <x:c r="A23" s="1" t="str">
        <x:v>H5</x:v>
      </x:c>
      <x:c r="B23" s="1" t="str">
        <x:v>S3</x:v>
      </x:c>
      <x:c r="C23" s="11" t="n">
        <x:v>0</x:v>
      </x:c>
      <x:c r="D23" s="11" t="n">
        <x:v>0.2</x:v>
      </x:c>
      <x:c r="E23" s="11" t="n">
        <x:v>0</x:v>
      </x:c>
      <x:c r="F23" s="11" t="n">
        <x:v>0</x:v>
      </x:c>
      <x:c r="G23" s="11" t="n">
        <x:v>0</x:v>
      </x:c>
      <x:c r="H23" s="11" t="n">
        <x:v>0</x:v>
      </x:c>
      <x:c r="I23" s="10" t="str">
        <x:v>Нужный сценарий — неизвестная доля</x:v>
      </x:c>
      <x:c r="J23" s="1" t="str">
        <x:v>Допущение</x:v>
      </x:c>
      <x:c r="K23" s="1" t="n">
        <x:f>IF(AND(COUNT(C23:H23)=6,MIN(C23:G23)&gt;=0,MAX(C23:G23)&lt;=1,H23&gt;=-1,H23&lt;=1,E23&gt;=MAX(0,C23+D23-1),E23&lt;=MIN(C23,D23)),1,0)</x:f>
        <x:v>1</x:v>
      </x:c>
      <x:c r="L23" s="12" t="n">
        <x:f>IF('Расчёт'!S144=1,SUM('Расчёт'!Z77:Z80),"")</x:f>
        <x:v>780.0000000000001</x:v>
      </x:c>
      <x:c r="M23" s="12" t="n">
        <x:f>IF('Расчёт'!S144=1,SUM('Расчёт'!U77:U80),"")</x:f>
        <x:v>4.313048566413123</x:v>
      </x:c>
      <x:c r="N23" s="16" t="n">
        <x:f>IF('Расчёт'!S144=1,SUM('Расчёт'!U77:U80)/'Параметры'!$B$8*100,"")</x:f>
        <x:v>0.004313048566413123</x:v>
      </x:c>
    </x:row>
    <x:row r="24" ht="24" customHeight="1">
      <x:c r="A24" s="1" t="str">
        <x:v>H5</x:v>
      </x:c>
      <x:c r="B24" s="1" t="str">
        <x:v>S4</x:v>
      </x:c>
      <x:c r="C24" s="11" t="n">
        <x:v>0</x:v>
      </x:c>
      <x:c r="D24" s="11" t="n">
        <x:v>0.2</x:v>
      </x:c>
      <x:c r="E24" s="11" t="n">
        <x:v>0</x:v>
      </x:c>
      <x:c r="F24" s="11" t="n">
        <x:v>0</x:v>
      </x:c>
      <x:c r="G24" s="11" t="n">
        <x:v>0</x:v>
      </x:c>
      <x:c r="H24" s="11" t="n">
        <x:v>0</x:v>
      </x:c>
      <x:c r="I24" s="10" t="str">
        <x:v>Нужный сценарий — неизвестная доля</x:v>
      </x:c>
      <x:c r="J24" s="1" t="str">
        <x:v>Допущение</x:v>
      </x:c>
      <x:c r="K24" s="1" t="n">
        <x:f>IF(AND(COUNT(C24:H24)=6,MIN(C24:G24)&gt;=0,MAX(C24:G24)&lt;=1,H24&gt;=-1,H24&lt;=1,E24&gt;=MAX(0,C24+D24-1),E24&lt;=MIN(C24,D24)),1,0)</x:f>
        <x:v>1</x:v>
      </x:c>
      <x:c r="L24" s="12" t="n">
        <x:f>IF('Расчёт'!S144=1,SUM('Расчёт'!Z81:Z84),"")</x:f>
        <x:v>780.0000000000001</x:v>
      </x:c>
      <x:c r="M24" s="12" t="n">
        <x:f>IF('Расчёт'!S144=1,SUM('Расчёт'!U81:U84),"")</x:f>
        <x:v>7.54783499122291</x:v>
      </x:c>
      <x:c r="N24" s="16" t="n">
        <x:f>IF('Расчёт'!S144=1,SUM('Расчёт'!U81:U84)/'Параметры'!$B$8*100,"")</x:f>
        <x:v>0.00754783499122291</x:v>
      </x:c>
    </x:row>
    <x:row r="25" ht="24" customHeight="1">
      <x:c r="A25" s="1" t="str">
        <x:v>H6.1</x:v>
      </x:c>
      <x:c r="B25" s="1" t="str">
        <x:v>S1</x:v>
      </x:c>
      <x:c r="C25" s="11" t="n">
        <x:v>0</x:v>
      </x:c>
      <x:c r="D25" s="11" t="n">
        <x:v>0.3</x:v>
      </x:c>
      <x:c r="E25" s="11" t="n">
        <x:v>0</x:v>
      </x:c>
      <x:c r="F25" s="11" t="n">
        <x:v>0</x:v>
      </x:c>
      <x:c r="G25" s="11" t="n">
        <x:v>0</x:v>
      </x:c>
      <x:c r="H25" s="11" t="n">
        <x:v>0</x:v>
      </x:c>
      <x:c r="I25" s="10" t="str">
        <x:v>Готовность покупать и трудность выбора неизвестны</x:v>
      </x:c>
      <x:c r="J25" s="1" t="str">
        <x:v>Допущение</x:v>
      </x:c>
      <x:c r="K25" s="1" t="n">
        <x:f>IF(AND(COUNT(C25:H25)=6,MIN(C25:G25)&gt;=0,MAX(C25:G25)&lt;=1,H25&gt;=-1,H25&lt;=1,E25&gt;=MAX(0,C25+D25-1),E25&lt;=MIN(C25,D25)),1,0)</x:f>
        <x:v>1</x:v>
      </x:c>
      <x:c r="L25" s="12" t="n">
        <x:f>IF('Расчёт'!S145=1,SUM('Расчёт'!Z85:Z88),"")</x:f>
        <x:v>780</x:v>
      </x:c>
      <x:c r="M25" s="12" t="n">
        <x:f>IF('Расчёт'!S145=1,SUM('Расчёт'!U85:U88),"")</x:f>
        <x:v>10.782621416032807</x:v>
      </x:c>
      <x:c r="N25" s="16" t="n">
        <x:f>IF('Расчёт'!S145=1,SUM('Расчёт'!U85:U88)/'Параметры'!$B$8*100,"")</x:f>
        <x:v>0.010782621416032806</x:v>
      </x:c>
    </x:row>
    <x:row r="26" ht="24" customHeight="1">
      <x:c r="A26" s="1" t="str">
        <x:v>H6.1</x:v>
      </x:c>
      <x:c r="B26" s="1" t="str">
        <x:v>S2</x:v>
      </x:c>
      <x:c r="C26" s="11" t="n">
        <x:v>0</x:v>
      </x:c>
      <x:c r="D26" s="11" t="n">
        <x:v>0.3</x:v>
      </x:c>
      <x:c r="E26" s="11" t="n">
        <x:v>0</x:v>
      </x:c>
      <x:c r="F26" s="11" t="n">
        <x:v>0</x:v>
      </x:c>
      <x:c r="G26" s="11" t="n">
        <x:v>0</x:v>
      </x:c>
      <x:c r="H26" s="11" t="n">
        <x:v>0</x:v>
      </x:c>
      <x:c r="I26" s="10" t="str">
        <x:v>Готовность покупать и трудность выбора неизвестны</x:v>
      </x:c>
      <x:c r="J26" s="1" t="str">
        <x:v>Допущение</x:v>
      </x:c>
      <x:c r="K26" s="1" t="n">
        <x:f>IF(AND(COUNT(C26:H26)=6,MIN(C26:G26)&gt;=0,MAX(C26:G26)&lt;=1,H26&gt;=-1,H26&lt;=1,E26&gt;=MAX(0,C26+D26-1),E26&lt;=MIN(C26,D26)),1,0)</x:f>
        <x:v>1</x:v>
      </x:c>
      <x:c r="L26" s="12" t="n">
        <x:f>IF('Расчёт'!S145=1,SUM('Расчёт'!Z89:Z92),"")</x:f>
        <x:v>780</x:v>
      </x:c>
      <x:c r="M26" s="12" t="n">
        <x:f>IF('Расчёт'!S145=1,SUM('Расчёт'!U89:U92),"")</x:f>
        <x:v>7.54783499122291</x:v>
      </x:c>
      <x:c r="N26" s="16" t="n">
        <x:f>IF('Расчёт'!S145=1,SUM('Расчёт'!U89:U92)/'Параметры'!$B$8*100,"")</x:f>
        <x:v>0.00754783499122291</x:v>
      </x:c>
    </x:row>
    <x:row r="27" ht="24" customHeight="1">
      <x:c r="A27" s="1" t="str">
        <x:v>H6.1</x:v>
      </x:c>
      <x:c r="B27" s="1" t="str">
        <x:v>S3</x:v>
      </x:c>
      <x:c r="C27" s="11" t="n">
        <x:v>0</x:v>
      </x:c>
      <x:c r="D27" s="11" t="n">
        <x:v>0.1</x:v>
      </x:c>
      <x:c r="E27" s="11" t="n">
        <x:v>0</x:v>
      </x:c>
      <x:c r="F27" s="11" t="n">
        <x:v>0</x:v>
      </x:c>
      <x:c r="G27" s="11" t="n">
        <x:v>0</x:v>
      </x:c>
      <x:c r="H27" s="11" t="n">
        <x:v>0</x:v>
      </x:c>
      <x:c r="I27" s="10" t="str">
        <x:v>Готовность покупать и трудность выбора неизвестны</x:v>
      </x:c>
      <x:c r="J27" s="1" t="str">
        <x:v>Допущение</x:v>
      </x:c>
      <x:c r="K27" s="1" t="n">
        <x:f>IF(AND(COUNT(C27:H27)=6,MIN(C27:G27)&gt;=0,MAX(C27:G27)&lt;=1,H27&gt;=-1,H27&lt;=1,E27&gt;=MAX(0,C27+D27-1),E27&lt;=MIN(C27,D27)),1,0)</x:f>
        <x:v>1</x:v>
      </x:c>
      <x:c r="L27" s="12" t="n">
        <x:f>IF('Расчёт'!S145=1,SUM('Расчёт'!Z93:Z96),"")</x:f>
        <x:v>390.00000000000006</x:v>
      </x:c>
      <x:c r="M27" s="12" t="n">
        <x:f>IF('Расчёт'!S145=1,SUM('Расчёт'!U93:U96),"")</x:f>
        <x:v>2.1565242832065614</x:v>
      </x:c>
      <x:c r="N27" s="16" t="n">
        <x:f>IF('Расчёт'!S145=1,SUM('Расчёт'!U93:U96)/'Параметры'!$B$8*100,"")</x:f>
        <x:v>0.0021565242832065614</x:v>
      </x:c>
    </x:row>
    <x:row r="28" ht="24" customHeight="1">
      <x:c r="A28" s="1" t="str">
        <x:v>H6.1</x:v>
      </x:c>
      <x:c r="B28" s="1" t="str">
        <x:v>S4</x:v>
      </x:c>
      <x:c r="C28" s="11" t="n">
        <x:v>0</x:v>
      </x:c>
      <x:c r="D28" s="11" t="n">
        <x:v>0.1</x:v>
      </x:c>
      <x:c r="E28" s="11" t="n">
        <x:v>0</x:v>
      </x:c>
      <x:c r="F28" s="11" t="n">
        <x:v>0</x:v>
      </x:c>
      <x:c r="G28" s="11" t="n">
        <x:v>0</x:v>
      </x:c>
      <x:c r="H28" s="11" t="n">
        <x:v>0</x:v>
      </x:c>
      <x:c r="I28" s="10" t="str">
        <x:v>Готовность покупать и трудность выбора неизвестны</x:v>
      </x:c>
      <x:c r="J28" s="1" t="str">
        <x:v>Допущение</x:v>
      </x:c>
      <x:c r="K28" s="1" t="n">
        <x:f>IF(AND(COUNT(C28:H28)=6,MIN(C28:G28)&gt;=0,MAX(C28:G28)&lt;=1,H28&gt;=-1,H28&lt;=1,E28&gt;=MAX(0,C28+D28-1),E28&lt;=MIN(C28,D28)),1,0)</x:f>
        <x:v>1</x:v>
      </x:c>
      <x:c r="L28" s="12" t="n">
        <x:f>IF('Расчёт'!S145=1,SUM('Расчёт'!Z97:Z100),"")</x:f>
        <x:v>390.00000000000006</x:v>
      </x:c>
      <x:c r="M28" s="12" t="n">
        <x:f>IF('Расчёт'!S145=1,SUM('Расчёт'!U97:U100),"")</x:f>
        <x:v>3.773917495611453</x:v>
      </x:c>
      <x:c r="N28" s="16" t="n">
        <x:f>IF('Расчёт'!S145=1,SUM('Расчёт'!U97:U100)/'Параметры'!$B$8*100,"")</x:f>
        <x:v>0.003773917495611453</x:v>
      </x:c>
    </x:row>
    <x:row r="29" ht="24" customHeight="1">
      <x:c r="A29" s="1" t="str">
        <x:v>H6.2</x:v>
      </x:c>
      <x:c r="B29" s="1" t="str">
        <x:v>S1</x:v>
      </x:c>
      <x:c r="C29" s="11" t="n">
        <x:v>0</x:v>
      </x:c>
      <x:c r="D29" s="11" t="n">
        <x:v>0.3</x:v>
      </x:c>
      <x:c r="E29" s="11" t="n">
        <x:v>0</x:v>
      </x:c>
      <x:c r="F29" s="11" t="n">
        <x:v>0</x:v>
      </x:c>
      <x:c r="G29" s="11" t="n">
        <x:v>0</x:v>
      </x:c>
      <x:c r="H29" s="11" t="n">
        <x:v>0</x:v>
      </x:c>
      <x:c r="I29" s="10" t="str">
        <x:v>Готовность покупать и трудность выбора неизвестны</x:v>
      </x:c>
      <x:c r="J29" s="1" t="str">
        <x:v>Допущение</x:v>
      </x:c>
      <x:c r="K29" s="1" t="n">
        <x:f>IF(AND(COUNT(C29:H29)=6,MIN(C29:G29)&gt;=0,MAX(C29:G29)&lt;=1,H29&gt;=-1,H29&lt;=1,E29&gt;=MAX(0,C29+D29-1),E29&lt;=MIN(C29,D29)),1,0)</x:f>
        <x:v>1</x:v>
      </x:c>
      <x:c r="L29" s="12" t="n">
        <x:f>IF('Расчёт'!S146=1,SUM('Расчёт'!Z101:Z104),"")</x:f>
        <x:v>780</x:v>
      </x:c>
      <x:c r="M29" s="12" t="n">
        <x:f>IF('Расчёт'!S146=1,SUM('Расчёт'!U101:U104),"")</x:f>
        <x:v>10.782621416032807</x:v>
      </x:c>
      <x:c r="N29" s="16" t="n">
        <x:f>IF('Расчёт'!S146=1,SUM('Расчёт'!U101:U104)/'Параметры'!$B$8*100,"")</x:f>
        <x:v>0.010782621416032806</x:v>
      </x:c>
    </x:row>
    <x:row r="30" ht="24" customHeight="1">
      <x:c r="A30" s="1" t="str">
        <x:v>H6.2</x:v>
      </x:c>
      <x:c r="B30" s="1" t="str">
        <x:v>S2</x:v>
      </x:c>
      <x:c r="C30" s="11" t="n">
        <x:v>0</x:v>
      </x:c>
      <x:c r="D30" s="11" t="n">
        <x:v>0.3</x:v>
      </x:c>
      <x:c r="E30" s="11" t="n">
        <x:v>0</x:v>
      </x:c>
      <x:c r="F30" s="11" t="n">
        <x:v>0</x:v>
      </x:c>
      <x:c r="G30" s="11" t="n">
        <x:v>0</x:v>
      </x:c>
      <x:c r="H30" s="11" t="n">
        <x:v>0</x:v>
      </x:c>
      <x:c r="I30" s="10" t="str">
        <x:v>Готовность покупать и трудность выбора неизвестны</x:v>
      </x:c>
      <x:c r="J30" s="1" t="str">
        <x:v>Допущение</x:v>
      </x:c>
      <x:c r="K30" s="1" t="n">
        <x:f>IF(AND(COUNT(C30:H30)=6,MIN(C30:G30)&gt;=0,MAX(C30:G30)&lt;=1,H30&gt;=-1,H30&lt;=1,E30&gt;=MAX(0,C30+D30-1),E30&lt;=MIN(C30,D30)),1,0)</x:f>
        <x:v>1</x:v>
      </x:c>
      <x:c r="L30" s="12" t="n">
        <x:f>IF('Расчёт'!S146=1,SUM('Расчёт'!Z105:Z108),"")</x:f>
        <x:v>780</x:v>
      </x:c>
      <x:c r="M30" s="12" t="n">
        <x:f>IF('Расчёт'!S146=1,SUM('Расчёт'!U105:U108),"")</x:f>
        <x:v>7.54783499122291</x:v>
      </x:c>
      <x:c r="N30" s="16" t="n">
        <x:f>IF('Расчёт'!S146=1,SUM('Расчёт'!U105:U108)/'Параметры'!$B$8*100,"")</x:f>
        <x:v>0.00754783499122291</x:v>
      </x:c>
    </x:row>
    <x:row r="31" ht="24" customHeight="1">
      <x:c r="A31" s="1" t="str">
        <x:v>H6.2</x:v>
      </x:c>
      <x:c r="B31" s="1" t="str">
        <x:v>S3</x:v>
      </x:c>
      <x:c r="C31" s="11" t="n">
        <x:v>0</x:v>
      </x:c>
      <x:c r="D31" s="11" t="n">
        <x:v>0.1</x:v>
      </x:c>
      <x:c r="E31" s="11" t="n">
        <x:v>0</x:v>
      </x:c>
      <x:c r="F31" s="11" t="n">
        <x:v>0</x:v>
      </x:c>
      <x:c r="G31" s="11" t="n">
        <x:v>0</x:v>
      </x:c>
      <x:c r="H31" s="11" t="n">
        <x:v>0</x:v>
      </x:c>
      <x:c r="I31" s="10" t="str">
        <x:v>Готовность покупать и трудность выбора неизвестны</x:v>
      </x:c>
      <x:c r="J31" s="1" t="str">
        <x:v>Допущение</x:v>
      </x:c>
      <x:c r="K31" s="1" t="n">
        <x:f>IF(AND(COUNT(C31:H31)=6,MIN(C31:G31)&gt;=0,MAX(C31:G31)&lt;=1,H31&gt;=-1,H31&lt;=1,E31&gt;=MAX(0,C31+D31-1),E31&lt;=MIN(C31,D31)),1,0)</x:f>
        <x:v>1</x:v>
      </x:c>
      <x:c r="L31" s="12" t="n">
        <x:f>IF('Расчёт'!S146=1,SUM('Расчёт'!Z109:Z112),"")</x:f>
        <x:v>390.00000000000006</x:v>
      </x:c>
      <x:c r="M31" s="12" t="n">
        <x:f>IF('Расчёт'!S146=1,SUM('Расчёт'!U109:U112),"")</x:f>
        <x:v>2.1565242832065614</x:v>
      </x:c>
      <x:c r="N31" s="16" t="n">
        <x:f>IF('Расчёт'!S146=1,SUM('Расчёт'!U109:U112)/'Параметры'!$B$8*100,"")</x:f>
        <x:v>0.0021565242832065614</x:v>
      </x:c>
    </x:row>
    <x:row r="32" ht="24" customHeight="1">
      <x:c r="A32" s="1" t="str">
        <x:v>H6.2</x:v>
      </x:c>
      <x:c r="B32" s="1" t="str">
        <x:v>S4</x:v>
      </x:c>
      <x:c r="C32" s="11" t="n">
        <x:v>0</x:v>
      </x:c>
      <x:c r="D32" s="11" t="n">
        <x:v>0.1</x:v>
      </x:c>
      <x:c r="E32" s="11" t="n">
        <x:v>0</x:v>
      </x:c>
      <x:c r="F32" s="11" t="n">
        <x:v>0</x:v>
      </x:c>
      <x:c r="G32" s="11" t="n">
        <x:v>0</x:v>
      </x:c>
      <x:c r="H32" s="11" t="n">
        <x:v>0</x:v>
      </x:c>
      <x:c r="I32" s="10" t="str">
        <x:v>Готовность покупать и трудность выбора неизвестны</x:v>
      </x:c>
      <x:c r="J32" s="1" t="str">
        <x:v>Допущение</x:v>
      </x:c>
      <x:c r="K32" s="1" t="n">
        <x:f>IF(AND(COUNT(C32:H32)=6,MIN(C32:G32)&gt;=0,MAX(C32:G32)&lt;=1,H32&gt;=-1,H32&lt;=1,E32&gt;=MAX(0,C32+D32-1),E32&lt;=MIN(C32,D32)),1,0)</x:f>
        <x:v>1</x:v>
      </x:c>
      <x:c r="L32" s="12" t="n">
        <x:f>IF('Расчёт'!S146=1,SUM('Расчёт'!Z113:Z116),"")</x:f>
        <x:v>390.00000000000006</x:v>
      </x:c>
      <x:c r="M32" s="12" t="n">
        <x:f>IF('Расчёт'!S146=1,SUM('Расчёт'!U113:U116),"")</x:f>
        <x:v>3.773917495611453</x:v>
      </x:c>
      <x:c r="N32" s="16" t="n">
        <x:f>IF('Расчёт'!S146=1,SUM('Расчёт'!U113:U116)/'Параметры'!$B$8*100,"")</x:f>
        <x:v>0.003773917495611453</x:v>
      </x:c>
    </x:row>
    <x:row r="33" ht="24" customHeight="1">
      <x:c r="A33" s="1" t="str">
        <x:v>H6.3</x:v>
      </x:c>
      <x:c r="B33" s="1" t="str">
        <x:v>S1</x:v>
      </x:c>
      <x:c r="C33" s="11" t="n">
        <x:v>0</x:v>
      </x:c>
      <x:c r="D33" s="11" t="n">
        <x:v>0.3</x:v>
      </x:c>
      <x:c r="E33" s="11" t="n">
        <x:v>0</x:v>
      </x:c>
      <x:c r="F33" s="11" t="n">
        <x:v>0</x:v>
      </x:c>
      <x:c r="G33" s="11" t="n">
        <x:v>0</x:v>
      </x:c>
      <x:c r="H33" s="11" t="n">
        <x:v>0</x:v>
      </x:c>
      <x:c r="I33" s="10" t="str">
        <x:v>Готовность покупать и трудность выбора неизвестны</x:v>
      </x:c>
      <x:c r="J33" s="1" t="str">
        <x:v>Допущение</x:v>
      </x:c>
      <x:c r="K33" s="1" t="n">
        <x:f>IF(AND(COUNT(C33:H33)=6,MIN(C33:G33)&gt;=0,MAX(C33:G33)&lt;=1,H33&gt;=-1,H33&lt;=1,E33&gt;=MAX(0,C33+D33-1),E33&lt;=MIN(C33,D33)),1,0)</x:f>
        <x:v>1</x:v>
      </x:c>
      <x:c r="L33" s="12" t="n">
        <x:f>IF('Расчёт'!S147=1,SUM('Расчёт'!Z117:Z120),"")</x:f>
        <x:v>780</x:v>
      </x:c>
      <x:c r="M33" s="12" t="n">
        <x:f>IF('Расчёт'!S147=1,SUM('Расчёт'!U117:U120),"")</x:f>
        <x:v>10.782621416032807</x:v>
      </x:c>
      <x:c r="N33" s="16" t="n">
        <x:f>IF('Расчёт'!S147=1,SUM('Расчёт'!U117:U120)/'Параметры'!$B$8*100,"")</x:f>
        <x:v>0.010782621416032806</x:v>
      </x:c>
    </x:row>
    <x:row r="34" ht="24" customHeight="1">
      <x:c r="A34" s="1" t="str">
        <x:v>H6.3</x:v>
      </x:c>
      <x:c r="B34" s="1" t="str">
        <x:v>S2</x:v>
      </x:c>
      <x:c r="C34" s="11" t="n">
        <x:v>0</x:v>
      </x:c>
      <x:c r="D34" s="11" t="n">
        <x:v>0.3</x:v>
      </x:c>
      <x:c r="E34" s="11" t="n">
        <x:v>0</x:v>
      </x:c>
      <x:c r="F34" s="11" t="n">
        <x:v>0</x:v>
      </x:c>
      <x:c r="G34" s="11" t="n">
        <x:v>0</x:v>
      </x:c>
      <x:c r="H34" s="11" t="n">
        <x:v>0</x:v>
      </x:c>
      <x:c r="I34" s="10" t="str">
        <x:v>Готовность покупать и трудность выбора неизвестны</x:v>
      </x:c>
      <x:c r="J34" s="1" t="str">
        <x:v>Допущение</x:v>
      </x:c>
      <x:c r="K34" s="1" t="n">
        <x:f>IF(AND(COUNT(C34:H34)=6,MIN(C34:G34)&gt;=0,MAX(C34:G34)&lt;=1,H34&gt;=-1,H34&lt;=1,E34&gt;=MAX(0,C34+D34-1),E34&lt;=MIN(C34,D34)),1,0)</x:f>
        <x:v>1</x:v>
      </x:c>
      <x:c r="L34" s="12" t="n">
        <x:f>IF('Расчёт'!S147=1,SUM('Расчёт'!Z121:Z124),"")</x:f>
        <x:v>780</x:v>
      </x:c>
      <x:c r="M34" s="12" t="n">
        <x:f>IF('Расчёт'!S147=1,SUM('Расчёт'!U121:U124),"")</x:f>
        <x:v>7.54783499122291</x:v>
      </x:c>
      <x:c r="N34" s="16" t="n">
        <x:f>IF('Расчёт'!S147=1,SUM('Расчёт'!U121:U124)/'Параметры'!$B$8*100,"")</x:f>
        <x:v>0.00754783499122291</x:v>
      </x:c>
    </x:row>
    <x:row r="35" ht="24" customHeight="1">
      <x:c r="A35" s="1" t="str">
        <x:v>H6.3</x:v>
      </x:c>
      <x:c r="B35" s="1" t="str">
        <x:v>S3</x:v>
      </x:c>
      <x:c r="C35" s="11" t="n">
        <x:v>0</x:v>
      </x:c>
      <x:c r="D35" s="11" t="n">
        <x:v>0.1</x:v>
      </x:c>
      <x:c r="E35" s="11" t="n">
        <x:v>0</x:v>
      </x:c>
      <x:c r="F35" s="11" t="n">
        <x:v>0</x:v>
      </x:c>
      <x:c r="G35" s="11" t="n">
        <x:v>0</x:v>
      </x:c>
      <x:c r="H35" s="11" t="n">
        <x:v>0</x:v>
      </x:c>
      <x:c r="I35" s="10" t="str">
        <x:v>Готовность покупать и трудность выбора неизвестны</x:v>
      </x:c>
      <x:c r="J35" s="1" t="str">
        <x:v>Допущение</x:v>
      </x:c>
      <x:c r="K35" s="1" t="n">
        <x:f>IF(AND(COUNT(C35:H35)=6,MIN(C35:G35)&gt;=0,MAX(C35:G35)&lt;=1,H35&gt;=-1,H35&lt;=1,E35&gt;=MAX(0,C35+D35-1),E35&lt;=MIN(C35,D35)),1,0)</x:f>
        <x:v>1</x:v>
      </x:c>
      <x:c r="L35" s="12" t="n">
        <x:f>IF('Расчёт'!S147=1,SUM('Расчёт'!Z125:Z128),"")</x:f>
        <x:v>390.00000000000006</x:v>
      </x:c>
      <x:c r="M35" s="12" t="n">
        <x:f>IF('Расчёт'!S147=1,SUM('Расчёт'!U125:U128),"")</x:f>
        <x:v>2.1565242832065614</x:v>
      </x:c>
      <x:c r="N35" s="16" t="n">
        <x:f>IF('Расчёт'!S147=1,SUM('Расчёт'!U125:U128)/'Параметры'!$B$8*100,"")</x:f>
        <x:v>0.0021565242832065614</x:v>
      </x:c>
    </x:row>
    <x:row r="36" ht="24" customHeight="1">
      <x:c r="A36" s="1" t="str">
        <x:v>H6.3</x:v>
      </x:c>
      <x:c r="B36" s="1" t="str">
        <x:v>S4</x:v>
      </x:c>
      <x:c r="C36" s="11" t="n">
        <x:v>0</x:v>
      </x:c>
      <x:c r="D36" s="11" t="n">
        <x:v>0.1</x:v>
      </x:c>
      <x:c r="E36" s="11" t="n">
        <x:v>0</x:v>
      </x:c>
      <x:c r="F36" s="11" t="n">
        <x:v>0</x:v>
      </x:c>
      <x:c r="G36" s="11" t="n">
        <x:v>0</x:v>
      </x:c>
      <x:c r="H36" s="11" t="n">
        <x:v>0</x:v>
      </x:c>
      <x:c r="I36" s="10" t="str">
        <x:v>Готовность покупать и трудность выбора неизвестны</x:v>
      </x:c>
      <x:c r="J36" s="1" t="str">
        <x:v>Допущение</x:v>
      </x:c>
      <x:c r="K36" s="1" t="n">
        <x:f>IF(AND(COUNT(C36:H36)=6,MIN(C36:G36)&gt;=0,MAX(C36:G36)&lt;=1,H36&gt;=-1,H36&lt;=1,E36&gt;=MAX(0,C36+D36-1),E36&lt;=MIN(C36,D36)),1,0)</x:f>
        <x:v>1</x:v>
      </x:c>
      <x:c r="L36" s="12" t="n">
        <x:f>IF('Расчёт'!S147=1,SUM('Расчёт'!Z129:Z132),"")</x:f>
        <x:v>390.00000000000006</x:v>
      </x:c>
      <x:c r="M36" s="12" t="n">
        <x:f>IF('Расчёт'!S147=1,SUM('Расчёт'!U129:U132),"")</x:f>
        <x:v>3.773917495611453</x:v>
      </x:c>
      <x:c r="N36" s="16" t="n">
        <x:f>IF('Расчёт'!S147=1,SUM('Расчёт'!U129:U132)/'Параметры'!$B$8*100,"")</x:f>
        <x:v>0.003773917495611453</x:v>
      </x:c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4" customHeight="1">
      <x:c r="A39" s="1" t="str">
        <x:v>C:H — сценарные допущения. Нулевые потери CR и дохода не означают отсутствия риска.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4" customHeight="1">
      <x:c r="A40" s="1" t="str">
        <x:v>При двух входах E предотвращает двойной счёт: max(0,C+D−1) ≤ E ≤ min(C,D). Нет суммирования H.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4" customHeight="1">
      <x:c r="A41" s="1" t="str">
        <x:v>Большая C не равна 40+ SKU. H1 адресует 40% её посетителей только как пример; пороговые объёмы неизвестны.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</x:sheetData>
  <x:conditionalFormatting sqref="K5:K36">
    <x:cfRule type="cellIs" dxfId="3" priority="1" operator="equal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A5A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50" hidden="0" customWidth="1"/>
  </x:cols>
  <x:sheetData>
    <x:row r="1" ht="24" customHeight="1">
      <x:c r="A1" s="1" t="str">
        <x:v>Сценарий</x:v>
      </x:c>
      <x:c r="B1" s="1" t="str">
        <x:f>'Итоги'!B3</x:f>
        <x:v>Базовый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2" customHeight="1">
      <x:c r="A2" s="2" t="str">
        <x:v>Штрафы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50" customHeight="1">
      <x:c r="A4" s="7" t="str">
        <x:v>H</x:v>
      </x:c>
      <x:c r="B4" s="7" t="str">
        <x:v>Поведенч. штраф</x:v>
      </x:c>
      <x:c r="C4" s="7" t="str">
        <x:v>Продукт. штраф</x:v>
      </x:c>
      <x:c r="D4" s="7" t="str">
        <x:v>Осталось uplift</x:v>
      </x:c>
      <x:c r="E4" s="7" t="str">
        <x:v>Δ покупателей</x:v>
      </x:c>
      <x:c r="F4" s="7" t="str">
        <x:v>Δ global CR, п.п.</x:v>
      </x:c>
      <x:c r="G4" s="7" t="str">
        <x:v>Δ global CR, %</x:v>
      </x:c>
      <x:c r="H4" s="7" t="str">
        <x:v>Guard CR C</x:v>
      </x:c>
      <x:c r="I4" s="7" t="str">
        <x:v>Guard CR F</x:v>
      </x:c>
      <x:c r="J4" s="7" t="str">
        <x:v>Guard ARPU</x:v>
      </x:c>
      <x:c r="K4" s="7" t="str">
        <x:v>Сценарий</x:v>
      </x:c>
      <x:c r="L4" s="7" t="str">
        <x:v>Тип</x:v>
      </x:c>
    </x:row>
    <x:row r="5" ht="24" customHeight="1">
      <x:c r="A5" s="1" t="str">
        <x:v>H1</x:v>
      </x:c>
      <x:c r="B5" s="8" t="n">
        <x:v>0</x:v>
      </x:c>
      <x:c r="C5" s="8" t="n">
        <x:v>0</x:v>
      </x:c>
      <x:c r="D5" s="8" t="n">
        <x:f>(1-B5)*(1-C5)</x:f>
        <x:v>1</x:v>
      </x:c>
      <x:c r="E5" s="12" t="n">
        <x:f>IF('Расчёт'!S140=1,'Расчёт'!E140+'Расчёт'!F140*D5-'Расчёт'!B140,"Исправить ввод")</x:f>
        <x:v>280.8425980105312</x:v>
      </x:c>
      <x:c r="F5" s="16" t="n">
        <x:f>IF('Расчёт'!S140=1,E5/'Параметры'!$B$8*100,"Исправить ввод")</x:f>
        <x:v>0.28084259801053124</x:v>
      </x:c>
      <x:c r="G5" s="8" t="n">
        <x:f>IF('Расчёт'!S140=1,IF('Расчёт'!B140=0,"n.a.",E5/'Расчёт'!B140),"Исправить ввод")</x:f>
        <x:v>0.013972268557737874</x:v>
      </x:c>
      <x:c r="H5" s="24" t="str">
        <x:f>IF('Расчёт'!S140=1,IF('Расчёт'!K140+'Расчёт'!L140*D5+0.00000001&gt;='Расчёт'!J140,"OK","Падение"),"Исправить ввод")</x:f>
        <x:v>OK</x:v>
      </x:c>
      <x:c r="I5" s="24" t="str">
        <x:f>IF('Расчёт'!S140=1,IF('Расчёт'!N140+'Расчёт'!O140*D5+0.00000001&gt;='Расчёт'!M140,"OK","Падение"),"Исправить ввод")</x:f>
        <x:v>OK</x:v>
      </x:c>
      <x:c r="J5" s="24" t="str">
        <x:f>IF('Расчёт'!S140=1,IF('Расчёт'!H140+'Расчёт'!I140*D5+0.000001&gt;='Расчёт'!G140,"OK","Падение"),"Исправить ввод")</x:f>
        <x:v>OK</x:v>
      </x:c>
      <x:c r="K5" s="24" t="str">
        <x:f>IF('Расчёт'!S140=1,IF(AND(E5&gt;0,H5="OK",I5="OK",J5="OK"),"Проходит","Не проходит"),"Исправить ввод")</x:f>
        <x:v>Проходит</x:v>
      </x:c>
      <x:c r="L5" s="1" t="str">
        <x:v>Штрафы — допущение; эффект — расчёт</x:v>
      </x:c>
    </x:row>
    <x:row r="6" ht="24" customHeight="1">
      <x:c r="A6" s="1" t="str">
        <x:v>H1</x:v>
      </x:c>
      <x:c r="B6" s="8" t="n">
        <x:v>0</x:v>
      </x:c>
      <x:c r="C6" s="8" t="n">
        <x:v>0.25</x:v>
      </x:c>
      <x:c r="D6" s="8" t="n">
        <x:f>(1-B6)*(1-C6)</x:f>
        <x:v>0.75</x:v>
      </x:c>
      <x:c r="E6" s="12" t="n">
        <x:f>IF('Расчёт'!S140=1,'Расчёт'!E140+'Расчёт'!F140*D6-'Расчёт'!B140,"Исправить ввод")</x:f>
        <x:v>210.63194850790023</x:v>
      </x:c>
      <x:c r="F6" s="16" t="n">
        <x:f>IF('Расчёт'!S140=1,E6/'Параметры'!$B$8*100,"Исправить ввод")</x:f>
        <x:v>0.21063194850790024</x:v>
      </x:c>
      <x:c r="G6" s="8" t="n">
        <x:f>IF('Расчёт'!S140=1,IF('Расчёт'!B140=0,"n.a.",E6/'Расчёт'!B140),"Исправить ввод")</x:f>
        <x:v>0.010479201418303496</x:v>
      </x:c>
      <x:c r="H6" s="24" t="str">
        <x:f>IF('Расчёт'!S140=1,IF('Расчёт'!K140+'Расчёт'!L140*D6+0.00000001&gt;='Расчёт'!J140,"OK","Падение"),"Исправить ввод")</x:f>
        <x:v>OK</x:v>
      </x:c>
      <x:c r="I6" s="24" t="str">
        <x:f>IF('Расчёт'!S140=1,IF('Расчёт'!N140+'Расчёт'!O140*D6+0.00000001&gt;='Расчёт'!M140,"OK","Падение"),"Исправить ввод")</x:f>
        <x:v>OK</x:v>
      </x:c>
      <x:c r="J6" s="24" t="str">
        <x:f>IF('Расчёт'!S140=1,IF('Расчёт'!H140+'Расчёт'!I140*D6+0.000001&gt;='Расчёт'!G140,"OK","Падение"),"Исправить ввод")</x:f>
        <x:v>OK</x:v>
      </x:c>
      <x:c r="K6" s="24" t="str">
        <x:f>IF('Расчёт'!S140=1,IF(AND(E6&gt;0,H6="OK",I6="OK",J6="OK"),"Проходит","Не проходит"),"Исправить ввод")</x:f>
        <x:v>Проходит</x:v>
      </x:c>
      <x:c r="L6" s="1" t="str">
        <x:v>Штрафы — допущение; эффект — расчёт</x:v>
      </x:c>
    </x:row>
    <x:row r="7" ht="24" customHeight="1">
      <x:c r="A7" s="1" t="str">
        <x:v>H1</x:v>
      </x:c>
      <x:c r="B7" s="8" t="n">
        <x:v>0</x:v>
      </x:c>
      <x:c r="C7" s="8" t="n">
        <x:v>0.5</x:v>
      </x:c>
      <x:c r="D7" s="8" t="n">
        <x:f>(1-B7)*(1-C7)</x:f>
        <x:v>0.5</x:v>
      </x:c>
      <x:c r="E7" s="12" t="n">
        <x:f>IF('Расчёт'!S140=1,'Расчёт'!E140+'Расчёт'!F140*D7-'Расчёт'!B140,"Исправить ввод")</x:f>
        <x:v>140.4212990052656</x:v>
      </x:c>
      <x:c r="F7" s="16" t="n">
        <x:f>IF('Расчёт'!S140=1,E7/'Параметры'!$B$8*100,"Исправить ввод")</x:f>
        <x:v>0.14042129900526562</x:v>
      </x:c>
      <x:c r="G7" s="8" t="n">
        <x:f>IF('Расчёт'!S140=1,IF('Расчёт'!B140=0,"n.a.",E7/'Расчёт'!B140),"Исправить ввод")</x:f>
        <x:v>0.006986134278868937</x:v>
      </x:c>
      <x:c r="H7" s="24" t="str">
        <x:f>IF('Расчёт'!S140=1,IF('Расчёт'!K140+'Расчёт'!L140*D7+0.00000001&gt;='Расчёт'!J140,"OK","Падение"),"Исправить ввод")</x:f>
        <x:v>OK</x:v>
      </x:c>
      <x:c r="I7" s="24" t="str">
        <x:f>IF('Расчёт'!S140=1,IF('Расчёт'!N140+'Расчёт'!O140*D7+0.00000001&gt;='Расчёт'!M140,"OK","Падение"),"Исправить ввод")</x:f>
        <x:v>OK</x:v>
      </x:c>
      <x:c r="J7" s="24" t="str">
        <x:f>IF('Расчёт'!S140=1,IF('Расчёт'!H140+'Расчёт'!I140*D7+0.000001&gt;='Расчёт'!G140,"OK","Падение"),"Исправить ввод")</x:f>
        <x:v>OK</x:v>
      </x:c>
      <x:c r="K7" s="24" t="str">
        <x:f>IF('Расчёт'!S140=1,IF(AND(E7&gt;0,H7="OK",I7="OK",J7="OK"),"Проходит","Не проходит"),"Исправить ввод")</x:f>
        <x:v>Проходит</x:v>
      </x:c>
      <x:c r="L7" s="1" t="str">
        <x:v>Штрафы — допущение; эффект — расчёт</x:v>
      </x:c>
    </x:row>
    <x:row r="8" ht="24" customHeight="1">
      <x:c r="A8" s="1" t="str">
        <x:v>H1</x:v>
      </x:c>
      <x:c r="B8" s="8" t="n">
        <x:v>0.25</x:v>
      </x:c>
      <x:c r="C8" s="8" t="n">
        <x:v>0</x:v>
      </x:c>
      <x:c r="D8" s="8" t="n">
        <x:f>(1-B8)*(1-C8)</x:f>
        <x:v>0.75</x:v>
      </x:c>
      <x:c r="E8" s="12" t="n">
        <x:f>IF('Расчёт'!S140=1,'Расчёт'!E140+'Расчёт'!F140*D8-'Расчёт'!B140,"Исправить ввод")</x:f>
        <x:v>210.63194850790023</x:v>
      </x:c>
      <x:c r="F8" s="16" t="n">
        <x:f>IF('Расчёт'!S140=1,E8/'Параметры'!$B$8*100,"Исправить ввод")</x:f>
        <x:v>0.21063194850790024</x:v>
      </x:c>
      <x:c r="G8" s="8" t="n">
        <x:f>IF('Расчёт'!S140=1,IF('Расчёт'!B140=0,"n.a.",E8/'Расчёт'!B140),"Исправить ввод")</x:f>
        <x:v>0.010479201418303496</x:v>
      </x:c>
      <x:c r="H8" s="24" t="str">
        <x:f>IF('Расчёт'!S140=1,IF('Расчёт'!K140+'Расчёт'!L140*D8+0.00000001&gt;='Расчёт'!J140,"OK","Падение"),"Исправить ввод")</x:f>
        <x:v>OK</x:v>
      </x:c>
      <x:c r="I8" s="24" t="str">
        <x:f>IF('Расчёт'!S140=1,IF('Расчёт'!N140+'Расчёт'!O140*D8+0.00000001&gt;='Расчёт'!M140,"OK","Падение"),"Исправить ввод")</x:f>
        <x:v>OK</x:v>
      </x:c>
      <x:c r="J8" s="24" t="str">
        <x:f>IF('Расчёт'!S140=1,IF('Расчёт'!H140+'Расчёт'!I140*D8+0.000001&gt;='Расчёт'!G140,"OK","Падение"),"Исправить ввод")</x:f>
        <x:v>OK</x:v>
      </x:c>
      <x:c r="K8" s="24" t="str">
        <x:f>IF('Расчёт'!S140=1,IF(AND(E8&gt;0,H8="OK",I8="OK",J8="OK"),"Проходит","Не проходит"),"Исправить ввод")</x:f>
        <x:v>Проходит</x:v>
      </x:c>
      <x:c r="L8" s="1" t="str">
        <x:v>Штрафы — допущение; эффект — расчёт</x:v>
      </x:c>
    </x:row>
    <x:row r="9" ht="24" customHeight="1">
      <x:c r="A9" s="1" t="str">
        <x:v>H1</x:v>
      </x:c>
      <x:c r="B9" s="8" t="n">
        <x:v>0.25</x:v>
      </x:c>
      <x:c r="C9" s="8" t="n">
        <x:v>0.25</x:v>
      </x:c>
      <x:c r="D9" s="8" t="n">
        <x:f>(1-B9)*(1-C9)</x:f>
        <x:v>0.5625</x:v>
      </x:c>
      <x:c r="E9" s="12" t="n">
        <x:f>IF('Расчёт'!S140=1,'Расчёт'!E140+'Расчёт'!F140*D9-'Расчёт'!B140,"Исправить ввод")</x:f>
        <x:v>157.97396138092518</x:v>
      </x:c>
      <x:c r="F9" s="16" t="n">
        <x:f>IF('Расчёт'!S140=1,E9/'Параметры'!$B$8*100,"Исправить ввод")</x:f>
        <x:v>0.15797396138092518</x:v>
      </x:c>
      <x:c r="G9" s="8" t="n">
        <x:f>IF('Расчёт'!S140=1,IF('Расчёт'!B140=0,"n.a.",E9/'Расчёт'!B140),"Исправить ввод")</x:f>
        <x:v>0.007859401063727622</x:v>
      </x:c>
      <x:c r="H9" s="24" t="str">
        <x:f>IF('Расчёт'!S140=1,IF('Расчёт'!K140+'Расчёт'!L140*D9+0.00000001&gt;='Расчёт'!J140,"OK","Падение"),"Исправить ввод")</x:f>
        <x:v>OK</x:v>
      </x:c>
      <x:c r="I9" s="24" t="str">
        <x:f>IF('Расчёт'!S140=1,IF('Расчёт'!N140+'Расчёт'!O140*D9+0.00000001&gt;='Расчёт'!M140,"OK","Падение"),"Исправить ввод")</x:f>
        <x:v>OK</x:v>
      </x:c>
      <x:c r="J9" s="24" t="str">
        <x:f>IF('Расчёт'!S140=1,IF('Расчёт'!H140+'Расчёт'!I140*D9+0.000001&gt;='Расчёт'!G140,"OK","Падение"),"Исправить ввод")</x:f>
        <x:v>OK</x:v>
      </x:c>
      <x:c r="K9" s="24" t="str">
        <x:f>IF('Расчёт'!S140=1,IF(AND(E9&gt;0,H9="OK",I9="OK",J9="OK"),"Проходит","Не проходит"),"Исправить ввод")</x:f>
        <x:v>Проходит</x:v>
      </x:c>
      <x:c r="L9" s="1" t="str">
        <x:v>Штрафы — допущение; эффект — расчёт</x:v>
      </x:c>
    </x:row>
    <x:row r="10" ht="24" customHeight="1">
      <x:c r="A10" s="1" t="str">
        <x:v>H1</x:v>
      </x:c>
      <x:c r="B10" s="8" t="n">
        <x:v>0.25</x:v>
      </x:c>
      <x:c r="C10" s="8" t="n">
        <x:v>0.5</x:v>
      </x:c>
      <x:c r="D10" s="8" t="n">
        <x:f>(1-B10)*(1-C10)</x:f>
        <x:v>0.375</x:v>
      </x:c>
      <x:c r="E10" s="12" t="n">
        <x:f>IF('Расчёт'!S140=1,'Расчёт'!E140+'Расчёт'!F140*D10-'Расчёт'!B140,"Исправить ввод")</x:f>
        <x:v>105.31597425395012</x:v>
      </x:c>
      <x:c r="F10" s="16" t="n">
        <x:f>IF('Расчёт'!S140=1,E10/'Параметры'!$B$8*100,"Исправить ввод")</x:f>
        <x:v>0.10531597425395012</x:v>
      </x:c>
      <x:c r="G10" s="8" t="n">
        <x:f>IF('Расчёт'!S140=1,IF('Расчёт'!B140=0,"n.a.",E10/'Расчёт'!B140),"Исправить ввод")</x:f>
        <x:v>0.005239600709151748</x:v>
      </x:c>
      <x:c r="H10" s="24" t="str">
        <x:f>IF('Расчёт'!S140=1,IF('Расчёт'!K140+'Расчёт'!L140*D10+0.00000001&gt;='Расчёт'!J140,"OK","Падение"),"Исправить ввод")</x:f>
        <x:v>OK</x:v>
      </x:c>
      <x:c r="I10" s="24" t="str">
        <x:f>IF('Расчёт'!S140=1,IF('Расчёт'!N140+'Расчёт'!O140*D10+0.00000001&gt;='Расчёт'!M140,"OK","Падение"),"Исправить ввод")</x:f>
        <x:v>OK</x:v>
      </x:c>
      <x:c r="J10" s="24" t="str">
        <x:f>IF('Расчёт'!S140=1,IF('Расчёт'!H140+'Расчёт'!I140*D10+0.000001&gt;='Расчёт'!G140,"OK","Падение"),"Исправить ввод")</x:f>
        <x:v>OK</x:v>
      </x:c>
      <x:c r="K10" s="24" t="str">
        <x:f>IF('Расчёт'!S140=1,IF(AND(E10&gt;0,H10="OK",I10="OK",J10="OK"),"Проходит","Не проходит"),"Исправить ввод")</x:f>
        <x:v>Проходит</x:v>
      </x:c>
      <x:c r="L10" s="1" t="str">
        <x:v>Штрафы — допущение; эффект — расчёт</x:v>
      </x:c>
    </x:row>
    <x:row r="11" ht="24" customHeight="1">
      <x:c r="A11" s="1" t="str">
        <x:v>H1</x:v>
      </x:c>
      <x:c r="B11" s="8" t="n">
        <x:v>0.5</x:v>
      </x:c>
      <x:c r="C11" s="8" t="n">
        <x:v>0</x:v>
      </x:c>
      <x:c r="D11" s="8" t="n">
        <x:f>(1-B11)*(1-C11)</x:f>
        <x:v>0.5</x:v>
      </x:c>
      <x:c r="E11" s="12" t="n">
        <x:f>IF('Расчёт'!S140=1,'Расчёт'!E140+'Расчёт'!F140*D11-'Расчёт'!B140,"Исправить ввод")</x:f>
        <x:v>140.4212990052656</x:v>
      </x:c>
      <x:c r="F11" s="16" t="n">
        <x:f>IF('Расчёт'!S140=1,E11/'Параметры'!$B$8*100,"Исправить ввод")</x:f>
        <x:v>0.14042129900526562</x:v>
      </x:c>
      <x:c r="G11" s="8" t="n">
        <x:f>IF('Расчёт'!S140=1,IF('Расчёт'!B140=0,"n.a.",E11/'Расчёт'!B140),"Исправить ввод")</x:f>
        <x:v>0.006986134278868937</x:v>
      </x:c>
      <x:c r="H11" s="24" t="str">
        <x:f>IF('Расчёт'!S140=1,IF('Расчёт'!K140+'Расчёт'!L140*D11+0.00000001&gt;='Расчёт'!J140,"OK","Падение"),"Исправить ввод")</x:f>
        <x:v>OK</x:v>
      </x:c>
      <x:c r="I11" s="24" t="str">
        <x:f>IF('Расчёт'!S140=1,IF('Расчёт'!N140+'Расчёт'!O140*D11+0.00000001&gt;='Расчёт'!M140,"OK","Падение"),"Исправить ввод")</x:f>
        <x:v>OK</x:v>
      </x:c>
      <x:c r="J11" s="24" t="str">
        <x:f>IF('Расчёт'!S140=1,IF('Расчёт'!H140+'Расчёт'!I140*D11+0.000001&gt;='Расчёт'!G140,"OK","Падение"),"Исправить ввод")</x:f>
        <x:v>OK</x:v>
      </x:c>
      <x:c r="K11" s="24" t="str">
        <x:f>IF('Расчёт'!S140=1,IF(AND(E11&gt;0,H11="OK",I11="OK",J11="OK"),"Проходит","Не проходит"),"Исправить ввод")</x:f>
        <x:v>Проходит</x:v>
      </x:c>
      <x:c r="L11" s="1" t="str">
        <x:v>Штрафы — допущение; эффект — расчёт</x:v>
      </x:c>
    </x:row>
    <x:row r="12" ht="24" customHeight="1">
      <x:c r="A12" s="1" t="str">
        <x:v>H1</x:v>
      </x:c>
      <x:c r="B12" s="8" t="n">
        <x:v>0.5</x:v>
      </x:c>
      <x:c r="C12" s="8" t="n">
        <x:v>0.25</x:v>
      </x:c>
      <x:c r="D12" s="8" t="n">
        <x:f>(1-B12)*(1-C12)</x:f>
        <x:v>0.375</x:v>
      </x:c>
      <x:c r="E12" s="12" t="n">
        <x:f>IF('Расчёт'!S140=1,'Расчёт'!E140+'Расчёт'!F140*D12-'Расчёт'!B140,"Исправить ввод")</x:f>
        <x:v>105.31597425395012</x:v>
      </x:c>
      <x:c r="F12" s="16" t="n">
        <x:f>IF('Расчёт'!S140=1,E12/'Параметры'!$B$8*100,"Исправить ввод")</x:f>
        <x:v>0.10531597425395012</x:v>
      </x:c>
      <x:c r="G12" s="8" t="n">
        <x:f>IF('Расчёт'!S140=1,IF('Расчёт'!B140=0,"n.a.",E12/'Расчёт'!B140),"Исправить ввод")</x:f>
        <x:v>0.005239600709151748</x:v>
      </x:c>
      <x:c r="H12" s="24" t="str">
        <x:f>IF('Расчёт'!S140=1,IF('Расчёт'!K140+'Расчёт'!L140*D12+0.00000001&gt;='Расчёт'!J140,"OK","Падение"),"Исправить ввод")</x:f>
        <x:v>OK</x:v>
      </x:c>
      <x:c r="I12" s="24" t="str">
        <x:f>IF('Расчёт'!S140=1,IF('Расчёт'!N140+'Расчёт'!O140*D12+0.00000001&gt;='Расчёт'!M140,"OK","Падение"),"Исправить ввод")</x:f>
        <x:v>OK</x:v>
      </x:c>
      <x:c r="J12" s="24" t="str">
        <x:f>IF('Расчёт'!S140=1,IF('Расчёт'!H140+'Расчёт'!I140*D12+0.000001&gt;='Расчёт'!G140,"OK","Падение"),"Исправить ввод")</x:f>
        <x:v>OK</x:v>
      </x:c>
      <x:c r="K12" s="24" t="str">
        <x:f>IF('Расчёт'!S140=1,IF(AND(E12&gt;0,H12="OK",I12="OK",J12="OK"),"Проходит","Не проходит"),"Исправить ввод")</x:f>
        <x:v>Проходит</x:v>
      </x:c>
      <x:c r="L12" s="1" t="str">
        <x:v>Штрафы — допущение; эффект — расчёт</x:v>
      </x:c>
    </x:row>
    <x:row r="13" ht="24" customHeight="1">
      <x:c r="A13" s="1" t="str">
        <x:v>H1</x:v>
      </x:c>
      <x:c r="B13" s="8" t="n">
        <x:v>0.5</x:v>
      </x:c>
      <x:c r="C13" s="8" t="n">
        <x:v>0.5</x:v>
      </x:c>
      <x:c r="D13" s="8" t="n">
        <x:f>(1-B13)*(1-C13)</x:f>
        <x:v>0.25</x:v>
      </x:c>
      <x:c r="E13" s="12" t="n">
        <x:f>IF('Расчёт'!S140=1,'Расчёт'!E140+'Расчёт'!F140*D13-'Расчёт'!B140,"Исправить ввод")</x:f>
        <x:v>70.21064950263462</x:v>
      </x:c>
      <x:c r="F13" s="16" t="n">
        <x:f>IF('Расчёт'!S140=1,E13/'Параметры'!$B$8*100,"Исправить ввод")</x:f>
        <x:v>0.07021064950263463</x:v>
      </x:c>
      <x:c r="G13" s="8" t="n">
        <x:f>IF('Расчёт'!S140=1,IF('Расчёт'!B140=0,"n.a.",E13/'Расчёт'!B140),"Исправить ввод")</x:f>
        <x:v>0.003493067139434559</x:v>
      </x:c>
      <x:c r="H13" s="24" t="str">
        <x:f>IF('Расчёт'!S140=1,IF('Расчёт'!K140+'Расчёт'!L140*D13+0.00000001&gt;='Расчёт'!J140,"OK","Падение"),"Исправить ввод")</x:f>
        <x:v>OK</x:v>
      </x:c>
      <x:c r="I13" s="24" t="str">
        <x:f>IF('Расчёт'!S140=1,IF('Расчёт'!N140+'Расчёт'!O140*D13+0.00000001&gt;='Расчёт'!M140,"OK","Падение"),"Исправить ввод")</x:f>
        <x:v>OK</x:v>
      </x:c>
      <x:c r="J13" s="24" t="str">
        <x:f>IF('Расчёт'!S140=1,IF('Расчёт'!H140+'Расчёт'!I140*D13+0.000001&gt;='Расчёт'!G140,"OK","Падение"),"Исправить ввод")</x:f>
        <x:v>OK</x:v>
      </x:c>
      <x:c r="K13" s="24" t="str">
        <x:f>IF('Расчёт'!S140=1,IF(AND(E13&gt;0,H13="OK",I13="OK",J13="OK"),"Проходит","Не проходит"),"Исправить ввод")</x:f>
        <x:v>Проходит</x:v>
      </x:c>
      <x:c r="L13" s="1" t="str">
        <x:v>Штрафы — допущение; эффект — расчёт</x:v>
      </x:c>
    </x:row>
    <x:row r="14" ht="24" customHeight="1">
      <x:c r="A14" s="1" t="str">
        <x:v>H2</x:v>
      </x:c>
      <x:c r="B14" s="8" t="n">
        <x:v>0</x:v>
      </x:c>
      <x:c r="C14" s="8" t="n">
        <x:v>0</x:v>
      </x:c>
      <x:c r="D14" s="8" t="n">
        <x:f>(1-B14)*(1-C14)</x:f>
        <x:v>1</x:v>
      </x:c>
      <x:c r="E14" s="12" t="n">
        <x:f>IF('Расчёт'!S141=1,'Расчёт'!E141+'Расчёт'!F141*D14-'Расчёт'!B141,"Исправить ввод")</x:f>
        <x:v>394.98244587477893</x:v>
      </x:c>
      <x:c r="F14" s="16" t="n">
        <x:f>IF('Расчёт'!S141=1,E14/'Параметры'!$B$8*100,"Исправить ввод")</x:f>
        <x:v>0.39498244587477893</x:v>
      </x:c>
      <x:c r="G14" s="8" t="n">
        <x:f>IF('Расчёт'!S141=1,IF('Расчёт'!B141=0,"n.a.",E14/'Расчёт'!B141),"Исправить ввод")</x:f>
        <x:v>0.019650867953969104</x:v>
      </x:c>
      <x:c r="H14" s="24" t="str">
        <x:f>IF('Расчёт'!S141=1,IF('Расчёт'!K141+'Расчёт'!L141*D14+0.00000001&gt;='Расчёт'!J141,"OK","Падение"),"Исправить ввод")</x:f>
        <x:v>OK</x:v>
      </x:c>
      <x:c r="I14" s="24" t="str">
        <x:f>IF('Расчёт'!S141=1,IF('Расчёт'!N141+'Расчёт'!O141*D14+0.00000001&gt;='Расчёт'!M141,"OK","Падение"),"Исправить ввод")</x:f>
        <x:v>OK</x:v>
      </x:c>
      <x:c r="J14" s="24" t="str">
        <x:f>IF('Расчёт'!S141=1,IF('Расчёт'!H141+'Расчёт'!I141*D14+0.000001&gt;='Расчёт'!G141,"OK","Падение"),"Исправить ввод")</x:f>
        <x:v>OK</x:v>
      </x:c>
      <x:c r="K14" s="24" t="str">
        <x:f>IF('Расчёт'!S141=1,IF(AND(E14&gt;0,H14="OK",I14="OK",J14="OK"),"Проходит","Не проходит"),"Исправить ввод")</x:f>
        <x:v>Проходит</x:v>
      </x:c>
      <x:c r="L14" s="1" t="str">
        <x:v>Штрафы — допущение; эффект — расчёт</x:v>
      </x:c>
    </x:row>
    <x:row r="15" ht="24" customHeight="1">
      <x:c r="A15" s="1" t="str">
        <x:v>H2</x:v>
      </x:c>
      <x:c r="B15" s="8" t="n">
        <x:v>0</x:v>
      </x:c>
      <x:c r="C15" s="8" t="n">
        <x:v>0.25</x:v>
      </x:c>
      <x:c r="D15" s="8" t="n">
        <x:f>(1-B15)*(1-C15)</x:f>
        <x:v>0.75</x:v>
      </x:c>
      <x:c r="E15" s="12" t="n">
        <x:f>IF('Расчёт'!S141=1,'Расчёт'!E141+'Расчёт'!F141*D15-'Расчёт'!B141,"Исправить ввод")</x:f>
        <x:v>296.2368344060851</x:v>
      </x:c>
      <x:c r="F15" s="16" t="n">
        <x:f>IF('Расчёт'!S141=1,E15/'Параметры'!$B$8*100,"Исправить ввод")</x:f>
        <x:v>0.2962368344060851</x:v>
      </x:c>
      <x:c r="G15" s="8" t="n">
        <x:f>IF('Расчёт'!S141=1,IF('Расчёт'!B141=0,"n.a.",E15/'Расчёт'!B141),"Исправить ввод")</x:f>
        <x:v>0.014738150965476874</x:v>
      </x:c>
      <x:c r="H15" s="24" t="str">
        <x:f>IF('Расчёт'!S141=1,IF('Расчёт'!K141+'Расчёт'!L141*D15+0.00000001&gt;='Расчёт'!J141,"OK","Падение"),"Исправить ввод")</x:f>
        <x:v>OK</x:v>
      </x:c>
      <x:c r="I15" s="24" t="str">
        <x:f>IF('Расчёт'!S141=1,IF('Расчёт'!N141+'Расчёт'!O141*D15+0.00000001&gt;='Расчёт'!M141,"OK","Падение"),"Исправить ввод")</x:f>
        <x:v>OK</x:v>
      </x:c>
      <x:c r="J15" s="24" t="str">
        <x:f>IF('Расчёт'!S141=1,IF('Расчёт'!H141+'Расчёт'!I141*D15+0.000001&gt;='Расчёт'!G141,"OK","Падение"),"Исправить ввод")</x:f>
        <x:v>OK</x:v>
      </x:c>
      <x:c r="K15" s="24" t="str">
        <x:f>IF('Расчёт'!S141=1,IF(AND(E15&gt;0,H15="OK",I15="OK",J15="OK"),"Проходит","Не проходит"),"Исправить ввод")</x:f>
        <x:v>Проходит</x:v>
      </x:c>
      <x:c r="L15" s="1" t="str">
        <x:v>Штрафы — допущение; эффект — расчёт</x:v>
      </x:c>
    </x:row>
    <x:row r="16" ht="24" customHeight="1">
      <x:c r="A16" s="1" t="str">
        <x:v>H2</x:v>
      </x:c>
      <x:c r="B16" s="8" t="n">
        <x:v>0</x:v>
      </x:c>
      <x:c r="C16" s="8" t="n">
        <x:v>0.5</x:v>
      </x:c>
      <x:c r="D16" s="8" t="n">
        <x:f>(1-B16)*(1-C16)</x:f>
        <x:v>0.5</x:v>
      </x:c>
      <x:c r="E16" s="12" t="n">
        <x:f>IF('Расчёт'!S141=1,'Расчёт'!E141+'Расчёт'!F141*D16-'Расчёт'!B141,"Исправить ввод")</x:f>
        <x:v>197.49122293739129</x:v>
      </x:c>
      <x:c r="F16" s="16" t="n">
        <x:f>IF('Расчёт'!S141=1,E16/'Параметры'!$B$8*100,"Исправить ввод")</x:f>
        <x:v>0.19749122293739127</x:v>
      </x:c>
      <x:c r="G16" s="8" t="n">
        <x:f>IF('Расчёт'!S141=1,IF('Расчёт'!B141=0,"n.a.",E16/'Расчёт'!B141),"Исправить ввод")</x:f>
        <x:v>0.009825433976984642</x:v>
      </x:c>
      <x:c r="H16" s="24" t="str">
        <x:f>IF('Расчёт'!S141=1,IF('Расчёт'!K141+'Расчёт'!L141*D16+0.00000001&gt;='Расчёт'!J141,"OK","Падение"),"Исправить ввод")</x:f>
        <x:v>OK</x:v>
      </x:c>
      <x:c r="I16" s="24" t="str">
        <x:f>IF('Расчёт'!S141=1,IF('Расчёт'!N141+'Расчёт'!O141*D16+0.00000001&gt;='Расчёт'!M141,"OK","Падение"),"Исправить ввод")</x:f>
        <x:v>OK</x:v>
      </x:c>
      <x:c r="J16" s="24" t="str">
        <x:f>IF('Расчёт'!S141=1,IF('Расчёт'!H141+'Расчёт'!I141*D16+0.000001&gt;='Расчёт'!G141,"OK","Падение"),"Исправить ввод")</x:f>
        <x:v>OK</x:v>
      </x:c>
      <x:c r="K16" s="24" t="str">
        <x:f>IF('Расчёт'!S141=1,IF(AND(E16&gt;0,H16="OK",I16="OK",J16="OK"),"Проходит","Не проходит"),"Исправить ввод")</x:f>
        <x:v>Проходит</x:v>
      </x:c>
      <x:c r="L16" s="1" t="str">
        <x:v>Штрафы — допущение; эффект — расчёт</x:v>
      </x:c>
    </x:row>
    <x:row r="17" ht="24" customHeight="1">
      <x:c r="A17" s="1" t="str">
        <x:v>H2</x:v>
      </x:c>
      <x:c r="B17" s="8" t="n">
        <x:v>0.25</x:v>
      </x:c>
      <x:c r="C17" s="8" t="n">
        <x:v>0</x:v>
      </x:c>
      <x:c r="D17" s="8" t="n">
        <x:f>(1-B17)*(1-C17)</x:f>
        <x:v>0.75</x:v>
      </x:c>
      <x:c r="E17" s="12" t="n">
        <x:f>IF('Расчёт'!S141=1,'Расчёт'!E141+'Расчёт'!F141*D17-'Расчёт'!B141,"Исправить ввод")</x:f>
        <x:v>296.2368344060851</x:v>
      </x:c>
      <x:c r="F17" s="16" t="n">
        <x:f>IF('Расчёт'!S141=1,E17/'Параметры'!$B$8*100,"Исправить ввод")</x:f>
        <x:v>0.2962368344060851</x:v>
      </x:c>
      <x:c r="G17" s="8" t="n">
        <x:f>IF('Расчёт'!S141=1,IF('Расчёт'!B141=0,"n.a.",E17/'Расчёт'!B141),"Исправить ввод")</x:f>
        <x:v>0.014738150965476874</x:v>
      </x:c>
      <x:c r="H17" s="24" t="str">
        <x:f>IF('Расчёт'!S141=1,IF('Расчёт'!K141+'Расчёт'!L141*D17+0.00000001&gt;='Расчёт'!J141,"OK","Падение"),"Исправить ввод")</x:f>
        <x:v>OK</x:v>
      </x:c>
      <x:c r="I17" s="24" t="str">
        <x:f>IF('Расчёт'!S141=1,IF('Расчёт'!N141+'Расчёт'!O141*D17+0.00000001&gt;='Расчёт'!M141,"OK","Падение"),"Исправить ввод")</x:f>
        <x:v>OK</x:v>
      </x:c>
      <x:c r="J17" s="24" t="str">
        <x:f>IF('Расчёт'!S141=1,IF('Расчёт'!H141+'Расчёт'!I141*D17+0.000001&gt;='Расчёт'!G141,"OK","Падение"),"Исправить ввод")</x:f>
        <x:v>OK</x:v>
      </x:c>
      <x:c r="K17" s="24" t="str">
        <x:f>IF('Расчёт'!S141=1,IF(AND(E17&gt;0,H17="OK",I17="OK",J17="OK"),"Проходит","Не проходит"),"Исправить ввод")</x:f>
        <x:v>Проходит</x:v>
      </x:c>
      <x:c r="L17" s="1" t="str">
        <x:v>Штрафы — допущение; эффект — расчёт</x:v>
      </x:c>
    </x:row>
    <x:row r="18" ht="24" customHeight="1">
      <x:c r="A18" s="1" t="str">
        <x:v>H2</x:v>
      </x:c>
      <x:c r="B18" s="8" t="n">
        <x:v>0.25</x:v>
      </x:c>
      <x:c r="C18" s="8" t="n">
        <x:v>0.25</x:v>
      </x:c>
      <x:c r="D18" s="8" t="n">
        <x:f>(1-B18)*(1-C18)</x:f>
        <x:v>0.5625</x:v>
      </x:c>
      <x:c r="E18" s="12" t="n">
        <x:f>IF('Расчёт'!S141=1,'Расчёт'!E141+'Расчёт'!F141*D18-'Расчёт'!B141,"Исправить ввод")</x:f>
        <x:v>222.17762580456474</x:v>
      </x:c>
      <x:c r="F18" s="16" t="n">
        <x:f>IF('Расчёт'!S141=1,E18/'Параметры'!$B$8*100,"Исправить ввод")</x:f>
        <x:v>0.22217762580456474</x:v>
      </x:c>
      <x:c r="G18" s="8" t="n">
        <x:f>IF('Расчёт'!S141=1,IF('Расчёт'!B141=0,"n.a.",E18/'Расчёт'!B141),"Исправить ввод")</x:f>
        <x:v>0.0110536132241077</x:v>
      </x:c>
      <x:c r="H18" s="24" t="str">
        <x:f>IF('Расчёт'!S141=1,IF('Расчёт'!K141+'Расчёт'!L141*D18+0.00000001&gt;='Расчёт'!J141,"OK","Падение"),"Исправить ввод")</x:f>
        <x:v>OK</x:v>
      </x:c>
      <x:c r="I18" s="24" t="str">
        <x:f>IF('Расчёт'!S141=1,IF('Расчёт'!N141+'Расчёт'!O141*D18+0.00000001&gt;='Расчёт'!M141,"OK","Падение"),"Исправить ввод")</x:f>
        <x:v>OK</x:v>
      </x:c>
      <x:c r="J18" s="24" t="str">
        <x:f>IF('Расчёт'!S141=1,IF('Расчёт'!H141+'Расчёт'!I141*D18+0.000001&gt;='Расчёт'!G141,"OK","Падение"),"Исправить ввод")</x:f>
        <x:v>OK</x:v>
      </x:c>
      <x:c r="K18" s="24" t="str">
        <x:f>IF('Расчёт'!S141=1,IF(AND(E18&gt;0,H18="OK",I18="OK",J18="OK"),"Проходит","Не проходит"),"Исправить ввод")</x:f>
        <x:v>Проходит</x:v>
      </x:c>
      <x:c r="L18" s="1" t="str">
        <x:v>Штрафы — допущение; эффект — расчёт</x:v>
      </x:c>
    </x:row>
    <x:row r="19" ht="24" customHeight="1">
      <x:c r="A19" s="1" t="str">
        <x:v>H2</x:v>
      </x:c>
      <x:c r="B19" s="8" t="n">
        <x:v>0.25</x:v>
      </x:c>
      <x:c r="C19" s="8" t="n">
        <x:v>0.5</x:v>
      </x:c>
      <x:c r="D19" s="8" t="n">
        <x:f>(1-B19)*(1-C19)</x:f>
        <x:v>0.375</x:v>
      </x:c>
      <x:c r="E19" s="12" t="n">
        <x:f>IF('Расчёт'!S141=1,'Расчёт'!E141+'Расчёт'!F141*D19-'Расчёт'!B141,"Исправить ввод")</x:f>
        <x:v>148.11841720304437</x:v>
      </x:c>
      <x:c r="F19" s="16" t="n">
        <x:f>IF('Расчёт'!S141=1,E19/'Параметры'!$B$8*100,"Исправить ввод")</x:f>
        <x:v>0.14811841720304436</x:v>
      </x:c>
      <x:c r="G19" s="8" t="n">
        <x:f>IF('Расчёт'!S141=1,IF('Расчёт'!B141=0,"n.a.",E19/'Расчёт'!B141),"Исправить ввод")</x:f>
        <x:v>0.007369075482738527</x:v>
      </x:c>
      <x:c r="H19" s="24" t="str">
        <x:f>IF('Расчёт'!S141=1,IF('Расчёт'!K141+'Расчёт'!L141*D19+0.00000001&gt;='Расчёт'!J141,"OK","Падение"),"Исправить ввод")</x:f>
        <x:v>OK</x:v>
      </x:c>
      <x:c r="I19" s="24" t="str">
        <x:f>IF('Расчёт'!S141=1,IF('Расчёт'!N141+'Расчёт'!O141*D19+0.00000001&gt;='Расчёт'!M141,"OK","Падение"),"Исправить ввод")</x:f>
        <x:v>OK</x:v>
      </x:c>
      <x:c r="J19" s="24" t="str">
        <x:f>IF('Расчёт'!S141=1,IF('Расчёт'!H141+'Расчёт'!I141*D19+0.000001&gt;='Расчёт'!G141,"OK","Падение"),"Исправить ввод")</x:f>
        <x:v>OK</x:v>
      </x:c>
      <x:c r="K19" s="24" t="str">
        <x:f>IF('Расчёт'!S141=1,IF(AND(E19&gt;0,H19="OK",I19="OK",J19="OK"),"Проходит","Не проходит"),"Исправить ввод")</x:f>
        <x:v>Проходит</x:v>
      </x:c>
      <x:c r="L19" s="1" t="str">
        <x:v>Штрафы — допущение; эффект — расчёт</x:v>
      </x:c>
    </x:row>
    <x:row r="20" ht="24" customHeight="1">
      <x:c r="A20" s="1" t="str">
        <x:v>H2</x:v>
      </x:c>
      <x:c r="B20" s="8" t="n">
        <x:v>0.5</x:v>
      </x:c>
      <x:c r="C20" s="8" t="n">
        <x:v>0</x:v>
      </x:c>
      <x:c r="D20" s="8" t="n">
        <x:f>(1-B20)*(1-C20)</x:f>
        <x:v>0.5</x:v>
      </x:c>
      <x:c r="E20" s="12" t="n">
        <x:f>IF('Расчёт'!S141=1,'Расчёт'!E141+'Расчёт'!F141*D20-'Расчёт'!B141,"Исправить ввод")</x:f>
        <x:v>197.49122293739129</x:v>
      </x:c>
      <x:c r="F20" s="16" t="n">
        <x:f>IF('Расчёт'!S141=1,E20/'Параметры'!$B$8*100,"Исправить ввод")</x:f>
        <x:v>0.19749122293739127</x:v>
      </x:c>
      <x:c r="G20" s="8" t="n">
        <x:f>IF('Расчёт'!S141=1,IF('Расчёт'!B141=0,"n.a.",E20/'Расчёт'!B141),"Исправить ввод")</x:f>
        <x:v>0.009825433976984642</x:v>
      </x:c>
      <x:c r="H20" s="24" t="str">
        <x:f>IF('Расчёт'!S141=1,IF('Расчёт'!K141+'Расчёт'!L141*D20+0.00000001&gt;='Расчёт'!J141,"OK","Падение"),"Исправить ввод")</x:f>
        <x:v>OK</x:v>
      </x:c>
      <x:c r="I20" s="24" t="str">
        <x:f>IF('Расчёт'!S141=1,IF('Расчёт'!N141+'Расчёт'!O141*D20+0.00000001&gt;='Расчёт'!M141,"OK","Падение"),"Исправить ввод")</x:f>
        <x:v>OK</x:v>
      </x:c>
      <x:c r="J20" s="24" t="str">
        <x:f>IF('Расчёт'!S141=1,IF('Расчёт'!H141+'Расчёт'!I141*D20+0.000001&gt;='Расчёт'!G141,"OK","Падение"),"Исправить ввод")</x:f>
        <x:v>OK</x:v>
      </x:c>
      <x:c r="K20" s="24" t="str">
        <x:f>IF('Расчёт'!S141=1,IF(AND(E20&gt;0,H20="OK",I20="OK",J20="OK"),"Проходит","Не проходит"),"Исправить ввод")</x:f>
        <x:v>Проходит</x:v>
      </x:c>
      <x:c r="L20" s="1" t="str">
        <x:v>Штрафы — допущение; эффект — расчёт</x:v>
      </x:c>
    </x:row>
    <x:row r="21" ht="24" customHeight="1">
      <x:c r="A21" s="1" t="str">
        <x:v>H2</x:v>
      </x:c>
      <x:c r="B21" s="8" t="n">
        <x:v>0.5</x:v>
      </x:c>
      <x:c r="C21" s="8" t="n">
        <x:v>0.25</x:v>
      </x:c>
      <x:c r="D21" s="8" t="n">
        <x:f>(1-B21)*(1-C21)</x:f>
        <x:v>0.375</x:v>
      </x:c>
      <x:c r="E21" s="12" t="n">
        <x:f>IF('Расчёт'!S141=1,'Расчёт'!E141+'Расчёт'!F141*D21-'Расчёт'!B141,"Исправить ввод")</x:f>
        <x:v>148.11841720304437</x:v>
      </x:c>
      <x:c r="F21" s="16" t="n">
        <x:f>IF('Расчёт'!S141=1,E21/'Параметры'!$B$8*100,"Исправить ввод")</x:f>
        <x:v>0.14811841720304436</x:v>
      </x:c>
      <x:c r="G21" s="8" t="n">
        <x:f>IF('Расчёт'!S141=1,IF('Расчёт'!B141=0,"n.a.",E21/'Расчёт'!B141),"Исправить ввод")</x:f>
        <x:v>0.007369075482738527</x:v>
      </x:c>
      <x:c r="H21" s="24" t="str">
        <x:f>IF('Расчёт'!S141=1,IF('Расчёт'!K141+'Расчёт'!L141*D21+0.00000001&gt;='Расчёт'!J141,"OK","Падение"),"Исправить ввод")</x:f>
        <x:v>OK</x:v>
      </x:c>
      <x:c r="I21" s="24" t="str">
        <x:f>IF('Расчёт'!S141=1,IF('Расчёт'!N141+'Расчёт'!O141*D21+0.00000001&gt;='Расчёт'!M141,"OK","Падение"),"Исправить ввод")</x:f>
        <x:v>OK</x:v>
      </x:c>
      <x:c r="J21" s="24" t="str">
        <x:f>IF('Расчёт'!S141=1,IF('Расчёт'!H141+'Расчёт'!I141*D21+0.000001&gt;='Расчёт'!G141,"OK","Падение"),"Исправить ввод")</x:f>
        <x:v>OK</x:v>
      </x:c>
      <x:c r="K21" s="24" t="str">
        <x:f>IF('Расчёт'!S141=1,IF(AND(E21&gt;0,H21="OK",I21="OK",J21="OK"),"Проходит","Не проходит"),"Исправить ввод")</x:f>
        <x:v>Проходит</x:v>
      </x:c>
      <x:c r="L21" s="1" t="str">
        <x:v>Штрафы — допущение; эффект — расчёт</x:v>
      </x:c>
    </x:row>
    <x:row r="22" ht="24" customHeight="1">
      <x:c r="A22" s="1" t="str">
        <x:v>H2</x:v>
      </x:c>
      <x:c r="B22" s="8" t="n">
        <x:v>0.5</x:v>
      </x:c>
      <x:c r="C22" s="8" t="n">
        <x:v>0.5</x:v>
      </x:c>
      <x:c r="D22" s="8" t="n">
        <x:f>(1-B22)*(1-C22)</x:f>
        <x:v>0.25</x:v>
      </x:c>
      <x:c r="E22" s="12" t="n">
        <x:f>IF('Расчёт'!S141=1,'Расчёт'!E141+'Расчёт'!F141*D22-'Расчёт'!B141,"Исправить ввод")</x:f>
        <x:v>98.74561146869382</x:v>
      </x:c>
      <x:c r="F22" s="16" t="n">
        <x:f>IF('Расчёт'!S141=1,E22/'Параметры'!$B$8*100,"Исправить ввод")</x:f>
        <x:v>0.09874561146869382</x:v>
      </x:c>
      <x:c r="G22" s="8" t="n">
        <x:f>IF('Расчёт'!S141=1,IF('Расчёт'!B141=0,"n.a.",E22/'Расчёт'!B141),"Исправить ввод")</x:f>
        <x:v>0.004912716988492231</x:v>
      </x:c>
      <x:c r="H22" s="24" t="str">
        <x:f>IF('Расчёт'!S141=1,IF('Расчёт'!K141+'Расчёт'!L141*D22+0.00000001&gt;='Расчёт'!J141,"OK","Падение"),"Исправить ввод")</x:f>
        <x:v>OK</x:v>
      </x:c>
      <x:c r="I22" s="24" t="str">
        <x:f>IF('Расчёт'!S141=1,IF('Расчёт'!N141+'Расчёт'!O141*D22+0.00000001&gt;='Расчёт'!M141,"OK","Падение"),"Исправить ввод")</x:f>
        <x:v>OK</x:v>
      </x:c>
      <x:c r="J22" s="24" t="str">
        <x:f>IF('Расчёт'!S141=1,IF('Расчёт'!H141+'Расчёт'!I141*D22+0.000001&gt;='Расчёт'!G141,"OK","Падение"),"Исправить ввод")</x:f>
        <x:v>OK</x:v>
      </x:c>
      <x:c r="K22" s="24" t="str">
        <x:f>IF('Расчёт'!S141=1,IF(AND(E22&gt;0,H22="OK",I22="OK",J22="OK"),"Проходит","Не проходит"),"Исправить ввод")</x:f>
        <x:v>Проходит</x:v>
      </x:c>
      <x:c r="L22" s="1" t="str">
        <x:v>Штрафы — допущение; эффект — расчёт</x:v>
      </x:c>
    </x:row>
    <x:row r="23" ht="24" customHeight="1">
      <x:c r="A23" s="1" t="str">
        <x:v>H3</x:v>
      </x:c>
      <x:c r="B23" s="8" t="n">
        <x:v>0</x:v>
      </x:c>
      <x:c r="C23" s="8" t="n">
        <x:v>0</x:v>
      </x:c>
      <x:c r="D23" s="8" t="n">
        <x:f>(1-B23)*(1-C23)</x:f>
        <x:v>1</x:v>
      </x:c>
      <x:c r="E23" s="12" t="n">
        <x:f>IF('Расчёт'!S142=1,'Расчёт'!E142+'Расчёт'!F142*D23-'Расчёт'!B142,"Исправить ввод")</x:f>
        <x:v>391.55939145699085</x:v>
      </x:c>
      <x:c r="F23" s="16" t="n">
        <x:f>IF('Расчёт'!S142=1,E23/'Параметры'!$B$8*100,"Исправить ввод")</x:f>
        <x:v>0.39155939145699087</x:v>
      </x:c>
      <x:c r="G23" s="8" t="n">
        <x:f>IF('Расчёт'!S142=1,IF('Расчёт'!B142=0,"n.a.",E23/'Расчёт'!B142),"Исправить ввод")</x:f>
        <x:v>0.019480566739153778</x:v>
      </x:c>
      <x:c r="H23" s="24" t="str">
        <x:f>IF('Расчёт'!S142=1,IF('Расчёт'!K142+'Расчёт'!L142*D23+0.00000001&gt;='Расчёт'!J142,"OK","Падение"),"Исправить ввод")</x:f>
        <x:v>OK</x:v>
      </x:c>
      <x:c r="I23" s="24" t="str">
        <x:f>IF('Расчёт'!S142=1,IF('Расчёт'!N142+'Расчёт'!O142*D23+0.00000001&gt;='Расчёт'!M142,"OK","Падение"),"Исправить ввод")</x:f>
        <x:v>OK</x:v>
      </x:c>
      <x:c r="J23" s="24" t="str">
        <x:f>IF('Расчёт'!S142=1,IF('Расчёт'!H142+'Расчёт'!I142*D23+0.000001&gt;='Расчёт'!G142,"OK","Падение"),"Исправить ввод")</x:f>
        <x:v>OK</x:v>
      </x:c>
      <x:c r="K23" s="24" t="str">
        <x:f>IF('Расчёт'!S142=1,IF(AND(E23&gt;0,H23="OK",I23="OK",J23="OK"),"Проходит","Не проходит"),"Исправить ввод")</x:f>
        <x:v>Проходит</x:v>
      </x:c>
      <x:c r="L23" s="1" t="str">
        <x:v>Штрафы — допущение; эффект — расчёт</x:v>
      </x:c>
    </x:row>
    <x:row r="24" ht="24" customHeight="1">
      <x:c r="A24" s="1" t="str">
        <x:v>H3</x:v>
      </x:c>
      <x:c r="B24" s="8" t="n">
        <x:v>0</x:v>
      </x:c>
      <x:c r="C24" s="8" t="n">
        <x:v>0.25</x:v>
      </x:c>
      <x:c r="D24" s="8" t="n">
        <x:f>(1-B24)*(1-C24)</x:f>
        <x:v>0.75</x:v>
      </x:c>
      <x:c r="E24" s="12" t="n">
        <x:f>IF('Расчёт'!S142=1,'Расчёт'!E142+'Расчёт'!F142*D24-'Расчёт'!B142,"Исправить ввод")</x:f>
        <x:v>293.66954359274314</x:v>
      </x:c>
      <x:c r="F24" s="16" t="n">
        <x:f>IF('Расчёт'!S142=1,E24/'Параметры'!$B$8*100,"Исправить ввод")</x:f>
        <x:v>0.2936695435927431</x:v>
      </x:c>
      <x:c r="G24" s="8" t="n">
        <x:f>IF('Расчёт'!S142=1,IF('Расчёт'!B142=0,"n.a.",E24/'Расчёт'!B142),"Исправить ввод")</x:f>
        <x:v>0.014610425054365333</x:v>
      </x:c>
      <x:c r="H24" s="24" t="str">
        <x:f>IF('Расчёт'!S142=1,IF('Расчёт'!K142+'Расчёт'!L142*D24+0.00000001&gt;='Расчёт'!J142,"OK","Падение"),"Исправить ввод")</x:f>
        <x:v>OK</x:v>
      </x:c>
      <x:c r="I24" s="24" t="str">
        <x:f>IF('Расчёт'!S142=1,IF('Расчёт'!N142+'Расчёт'!O142*D24+0.00000001&gt;='Расчёт'!M142,"OK","Падение"),"Исправить ввод")</x:f>
        <x:v>OK</x:v>
      </x:c>
      <x:c r="J24" s="24" t="str">
        <x:f>IF('Расчёт'!S142=1,IF('Расчёт'!H142+'Расчёт'!I142*D24+0.000001&gt;='Расчёт'!G142,"OK","Падение"),"Исправить ввод")</x:f>
        <x:v>OK</x:v>
      </x:c>
      <x:c r="K24" s="24" t="str">
        <x:f>IF('Расчёт'!S142=1,IF(AND(E24&gt;0,H24="OK",I24="OK",J24="OK"),"Проходит","Не проходит"),"Исправить ввод")</x:f>
        <x:v>Проходит</x:v>
      </x:c>
      <x:c r="L24" s="1" t="str">
        <x:v>Штрафы — допущение; эффект — расчёт</x:v>
      </x:c>
    </x:row>
    <x:row r="25" ht="24" customHeight="1">
      <x:c r="A25" s="1" t="str">
        <x:v>H3</x:v>
      </x:c>
      <x:c r="B25" s="8" t="n">
        <x:v>0</x:v>
      </x:c>
      <x:c r="C25" s="8" t="n">
        <x:v>0.5</x:v>
      </x:c>
      <x:c r="D25" s="8" t="n">
        <x:f>(1-B25)*(1-C25)</x:f>
        <x:v>0.5</x:v>
      </x:c>
      <x:c r="E25" s="12" t="n">
        <x:f>IF('Расчёт'!S142=1,'Расчёт'!E142+'Расчёт'!F142*D25-'Расчёт'!B142,"Исправить ввод")</x:f>
        <x:v>195.77969572849543</x:v>
      </x:c>
      <x:c r="F25" s="16" t="n">
        <x:f>IF('Расчёт'!S142=1,E25/'Параметры'!$B$8*100,"Исправить ввод")</x:f>
        <x:v>0.19577969572849543</x:v>
      </x:c>
      <x:c r="G25" s="8" t="n">
        <x:f>IF('Расчёт'!S142=1,IF('Расчёт'!B142=0,"n.a.",E25/'Расчёт'!B142),"Исправить ввод")</x:f>
        <x:v>0.009740283369576889</x:v>
      </x:c>
      <x:c r="H25" s="24" t="str">
        <x:f>IF('Расчёт'!S142=1,IF('Расчёт'!K142+'Расчёт'!L142*D25+0.00000001&gt;='Расчёт'!J142,"OK","Падение"),"Исправить ввод")</x:f>
        <x:v>OK</x:v>
      </x:c>
      <x:c r="I25" s="24" t="str">
        <x:f>IF('Расчёт'!S142=1,IF('Расчёт'!N142+'Расчёт'!O142*D25+0.00000001&gt;='Расчёт'!M142,"OK","Падение"),"Исправить ввод")</x:f>
        <x:v>OK</x:v>
      </x:c>
      <x:c r="J25" s="24" t="str">
        <x:f>IF('Расчёт'!S142=1,IF('Расчёт'!H142+'Расчёт'!I142*D25+0.000001&gt;='Расчёт'!G142,"OK","Падение"),"Исправить ввод")</x:f>
        <x:v>OK</x:v>
      </x:c>
      <x:c r="K25" s="24" t="str">
        <x:f>IF('Расчёт'!S142=1,IF(AND(E25&gt;0,H25="OK",I25="OK",J25="OK"),"Проходит","Не проходит"),"Исправить ввод")</x:f>
        <x:v>Проходит</x:v>
      </x:c>
      <x:c r="L25" s="1" t="str">
        <x:v>Штрафы — допущение; эффект — расчёт</x:v>
      </x:c>
    </x:row>
    <x:row r="26" ht="24" customHeight="1">
      <x:c r="A26" s="1" t="str">
        <x:v>H3</x:v>
      </x:c>
      <x:c r="B26" s="8" t="n">
        <x:v>0.25</x:v>
      </x:c>
      <x:c r="C26" s="8" t="n">
        <x:v>0</x:v>
      </x:c>
      <x:c r="D26" s="8" t="n">
        <x:f>(1-B26)*(1-C26)</x:f>
        <x:v>0.75</x:v>
      </x:c>
      <x:c r="E26" s="12" t="n">
        <x:f>IF('Расчёт'!S142=1,'Расчёт'!E142+'Расчёт'!F142*D26-'Расчёт'!B142,"Исправить ввод")</x:f>
        <x:v>293.66954359274314</x:v>
      </x:c>
      <x:c r="F26" s="16" t="n">
        <x:f>IF('Расчёт'!S142=1,E26/'Параметры'!$B$8*100,"Исправить ввод")</x:f>
        <x:v>0.2936695435927431</x:v>
      </x:c>
      <x:c r="G26" s="8" t="n">
        <x:f>IF('Расчёт'!S142=1,IF('Расчёт'!B142=0,"n.a.",E26/'Расчёт'!B142),"Исправить ввод")</x:f>
        <x:v>0.014610425054365333</x:v>
      </x:c>
      <x:c r="H26" s="24" t="str">
        <x:f>IF('Расчёт'!S142=1,IF('Расчёт'!K142+'Расчёт'!L142*D26+0.00000001&gt;='Расчёт'!J142,"OK","Падение"),"Исправить ввод")</x:f>
        <x:v>OK</x:v>
      </x:c>
      <x:c r="I26" s="24" t="str">
        <x:f>IF('Расчёт'!S142=1,IF('Расчёт'!N142+'Расчёт'!O142*D26+0.00000001&gt;='Расчёт'!M142,"OK","Падение"),"Исправить ввод")</x:f>
        <x:v>OK</x:v>
      </x:c>
      <x:c r="J26" s="24" t="str">
        <x:f>IF('Расчёт'!S142=1,IF('Расчёт'!H142+'Расчёт'!I142*D26+0.000001&gt;='Расчёт'!G142,"OK","Падение"),"Исправить ввод")</x:f>
        <x:v>OK</x:v>
      </x:c>
      <x:c r="K26" s="24" t="str">
        <x:f>IF('Расчёт'!S142=1,IF(AND(E26&gt;0,H26="OK",I26="OK",J26="OK"),"Проходит","Не проходит"),"Исправить ввод")</x:f>
        <x:v>Проходит</x:v>
      </x:c>
      <x:c r="L26" s="1" t="str">
        <x:v>Штрафы — допущение; эффект — расчёт</x:v>
      </x:c>
    </x:row>
    <x:row r="27" ht="24" customHeight="1">
      <x:c r="A27" s="1" t="str">
        <x:v>H3</x:v>
      </x:c>
      <x:c r="B27" s="8" t="n">
        <x:v>0.25</x:v>
      </x:c>
      <x:c r="C27" s="8" t="n">
        <x:v>0.25</x:v>
      </x:c>
      <x:c r="D27" s="8" t="n">
        <x:f>(1-B27)*(1-C27)</x:f>
        <x:v>0.5625</x:v>
      </x:c>
      <x:c r="E27" s="12" t="n">
        <x:f>IF('Расчёт'!S142=1,'Расчёт'!E142+'Расчёт'!F142*D27-'Расчёт'!B142,"Исправить ввод")</x:f>
        <x:v>220.25215769455826</x:v>
      </x:c>
      <x:c r="F27" s="16" t="n">
        <x:f>IF('Расчёт'!S142=1,E27/'Параметры'!$B$8*100,"Исправить ввод")</x:f>
        <x:v>0.22025215769455828</x:v>
      </x:c>
      <x:c r="G27" s="8" t="n">
        <x:f>IF('Расчёт'!S142=1,IF('Расчёт'!B142=0,"n.a.",E27/'Расчёт'!B142),"Исправить ввод")</x:f>
        <x:v>0.010957818790774045</x:v>
      </x:c>
      <x:c r="H27" s="24" t="str">
        <x:f>IF('Расчёт'!S142=1,IF('Расчёт'!K142+'Расчёт'!L142*D27+0.00000001&gt;='Расчёт'!J142,"OK","Падение"),"Исправить ввод")</x:f>
        <x:v>OK</x:v>
      </x:c>
      <x:c r="I27" s="24" t="str">
        <x:f>IF('Расчёт'!S142=1,IF('Расчёт'!N142+'Расчёт'!O142*D27+0.00000001&gt;='Расчёт'!M142,"OK","Падение"),"Исправить ввод")</x:f>
        <x:v>OK</x:v>
      </x:c>
      <x:c r="J27" s="24" t="str">
        <x:f>IF('Расчёт'!S142=1,IF('Расчёт'!H142+'Расчёт'!I142*D27+0.000001&gt;='Расчёт'!G142,"OK","Падение"),"Исправить ввод")</x:f>
        <x:v>OK</x:v>
      </x:c>
      <x:c r="K27" s="24" t="str">
        <x:f>IF('Расчёт'!S142=1,IF(AND(E27&gt;0,H27="OK",I27="OK",J27="OK"),"Проходит","Не проходит"),"Исправить ввод")</x:f>
        <x:v>Проходит</x:v>
      </x:c>
      <x:c r="L27" s="1" t="str">
        <x:v>Штрафы — допущение; эффект — расчёт</x:v>
      </x:c>
    </x:row>
    <x:row r="28" ht="24" customHeight="1">
      <x:c r="A28" s="1" t="str">
        <x:v>H3</x:v>
      </x:c>
      <x:c r="B28" s="8" t="n">
        <x:v>0.25</x:v>
      </x:c>
      <x:c r="C28" s="8" t="n">
        <x:v>0.5</x:v>
      </x:c>
      <x:c r="D28" s="8" t="n">
        <x:f>(1-B28)*(1-C28)</x:f>
        <x:v>0.375</x:v>
      </x:c>
      <x:c r="E28" s="12" t="n">
        <x:f>IF('Расчёт'!S142=1,'Расчёт'!E142+'Расчёт'!F142*D28-'Расчёт'!B142,"Исправить ввод")</x:f>
        <x:v>146.8347717963734</x:v>
      </x:c>
      <x:c r="F28" s="16" t="n">
        <x:f>IF('Расчёт'!S142=1,E28/'Параметры'!$B$8*100,"Исправить ввод")</x:f>
        <x:v>0.1468347717963734</x:v>
      </x:c>
      <x:c r="G28" s="8" t="n">
        <x:f>IF('Расчёт'!S142=1,IF('Расчёт'!B142=0,"n.a.",E28/'Расчёт'!B142),"Исправить ввод")</x:f>
        <x:v>0.007305212527182757</x:v>
      </x:c>
      <x:c r="H28" s="24" t="str">
        <x:f>IF('Расчёт'!S142=1,IF('Расчёт'!K142+'Расчёт'!L142*D28+0.00000001&gt;='Расчёт'!J142,"OK","Падение"),"Исправить ввод")</x:f>
        <x:v>OK</x:v>
      </x:c>
      <x:c r="I28" s="24" t="str">
        <x:f>IF('Расчёт'!S142=1,IF('Расчёт'!N142+'Расчёт'!O142*D28+0.00000001&gt;='Расчёт'!M142,"OK","Падение"),"Исправить ввод")</x:f>
        <x:v>OK</x:v>
      </x:c>
      <x:c r="J28" s="24" t="str">
        <x:f>IF('Расчёт'!S142=1,IF('Расчёт'!H142+'Расчёт'!I142*D28+0.000001&gt;='Расчёт'!G142,"OK","Падение"),"Исправить ввод")</x:f>
        <x:v>OK</x:v>
      </x:c>
      <x:c r="K28" s="24" t="str">
        <x:f>IF('Расчёт'!S142=1,IF(AND(E28&gt;0,H28="OK",I28="OK",J28="OK"),"Проходит","Не проходит"),"Исправить ввод")</x:f>
        <x:v>Проходит</x:v>
      </x:c>
      <x:c r="L28" s="1" t="str">
        <x:v>Штрафы — допущение; эффект — расчёт</x:v>
      </x:c>
    </x:row>
    <x:row r="29" ht="24" customHeight="1">
      <x:c r="A29" s="1" t="str">
        <x:v>H3</x:v>
      </x:c>
      <x:c r="B29" s="8" t="n">
        <x:v>0.5</x:v>
      </x:c>
      <x:c r="C29" s="8" t="n">
        <x:v>0</x:v>
      </x:c>
      <x:c r="D29" s="8" t="n">
        <x:f>(1-B29)*(1-C29)</x:f>
        <x:v>0.5</x:v>
      </x:c>
      <x:c r="E29" s="12" t="n">
        <x:f>IF('Расчёт'!S142=1,'Расчёт'!E142+'Расчёт'!F142*D29-'Расчёт'!B142,"Исправить ввод")</x:f>
        <x:v>195.77969572849543</x:v>
      </x:c>
      <x:c r="F29" s="16" t="n">
        <x:f>IF('Расчёт'!S142=1,E29/'Параметры'!$B$8*100,"Исправить ввод")</x:f>
        <x:v>0.19577969572849543</x:v>
      </x:c>
      <x:c r="G29" s="8" t="n">
        <x:f>IF('Расчёт'!S142=1,IF('Расчёт'!B142=0,"n.a.",E29/'Расчёт'!B142),"Исправить ввод")</x:f>
        <x:v>0.009740283369576889</x:v>
      </x:c>
      <x:c r="H29" s="24" t="str">
        <x:f>IF('Расчёт'!S142=1,IF('Расчёт'!K142+'Расчёт'!L142*D29+0.00000001&gt;='Расчёт'!J142,"OK","Падение"),"Исправить ввод")</x:f>
        <x:v>OK</x:v>
      </x:c>
      <x:c r="I29" s="24" t="str">
        <x:f>IF('Расчёт'!S142=1,IF('Расчёт'!N142+'Расчёт'!O142*D29+0.00000001&gt;='Расчёт'!M142,"OK","Падение"),"Исправить ввод")</x:f>
        <x:v>OK</x:v>
      </x:c>
      <x:c r="J29" s="24" t="str">
        <x:f>IF('Расчёт'!S142=1,IF('Расчёт'!H142+'Расчёт'!I142*D29+0.000001&gt;='Расчёт'!G142,"OK","Падение"),"Исправить ввод")</x:f>
        <x:v>OK</x:v>
      </x:c>
      <x:c r="K29" s="24" t="str">
        <x:f>IF('Расчёт'!S142=1,IF(AND(E29&gt;0,H29="OK",I29="OK",J29="OK"),"Проходит","Не проходит"),"Исправить ввод")</x:f>
        <x:v>Проходит</x:v>
      </x:c>
      <x:c r="L29" s="1" t="str">
        <x:v>Штрафы — допущение; эффект — расчёт</x:v>
      </x:c>
    </x:row>
    <x:row r="30" ht="24" customHeight="1">
      <x:c r="A30" s="1" t="str">
        <x:v>H3</x:v>
      </x:c>
      <x:c r="B30" s="8" t="n">
        <x:v>0.5</x:v>
      </x:c>
      <x:c r="C30" s="8" t="n">
        <x:v>0.25</x:v>
      </x:c>
      <x:c r="D30" s="8" t="n">
        <x:f>(1-B30)*(1-C30)</x:f>
        <x:v>0.375</x:v>
      </x:c>
      <x:c r="E30" s="12" t="n">
        <x:f>IF('Расчёт'!S142=1,'Расчёт'!E142+'Расчёт'!F142*D30-'Расчёт'!B142,"Исправить ввод")</x:f>
        <x:v>146.8347717963734</x:v>
      </x:c>
      <x:c r="F30" s="16" t="n">
        <x:f>IF('Расчёт'!S142=1,E30/'Параметры'!$B$8*100,"Исправить ввод")</x:f>
        <x:v>0.1468347717963734</x:v>
      </x:c>
      <x:c r="G30" s="8" t="n">
        <x:f>IF('Расчёт'!S142=1,IF('Расчёт'!B142=0,"n.a.",E30/'Расчёт'!B142),"Исправить ввод")</x:f>
        <x:v>0.007305212527182757</x:v>
      </x:c>
      <x:c r="H30" s="24" t="str">
        <x:f>IF('Расчёт'!S142=1,IF('Расчёт'!K142+'Расчёт'!L142*D30+0.00000001&gt;='Расчёт'!J142,"OK","Падение"),"Исправить ввод")</x:f>
        <x:v>OK</x:v>
      </x:c>
      <x:c r="I30" s="24" t="str">
        <x:f>IF('Расчёт'!S142=1,IF('Расчёт'!N142+'Расчёт'!O142*D30+0.00000001&gt;='Расчёт'!M142,"OK","Падение"),"Исправить ввод")</x:f>
        <x:v>OK</x:v>
      </x:c>
      <x:c r="J30" s="24" t="str">
        <x:f>IF('Расчёт'!S142=1,IF('Расчёт'!H142+'Расчёт'!I142*D30+0.000001&gt;='Расчёт'!G142,"OK","Падение"),"Исправить ввод")</x:f>
        <x:v>OK</x:v>
      </x:c>
      <x:c r="K30" s="24" t="str">
        <x:f>IF('Расчёт'!S142=1,IF(AND(E30&gt;0,H30="OK",I30="OK",J30="OK"),"Проходит","Не проходит"),"Исправить ввод")</x:f>
        <x:v>Проходит</x:v>
      </x:c>
      <x:c r="L30" s="1" t="str">
        <x:v>Штрафы — допущение; эффект — расчёт</x:v>
      </x:c>
    </x:row>
    <x:row r="31" ht="24" customHeight="1">
      <x:c r="A31" s="1" t="str">
        <x:v>H3</x:v>
      </x:c>
      <x:c r="B31" s="8" t="n">
        <x:v>0.5</x:v>
      </x:c>
      <x:c r="C31" s="8" t="n">
        <x:v>0.5</x:v>
      </x:c>
      <x:c r="D31" s="8" t="n">
        <x:f>(1-B31)*(1-C31)</x:f>
        <x:v>0.25</x:v>
      </x:c>
      <x:c r="E31" s="12" t="n">
        <x:f>IF('Расчёт'!S142=1,'Расчёт'!E142+'Расчёт'!F142*D31-'Расчёт'!B142,"Исправить ввод")</x:f>
        <x:v>97.88984786424771</x:v>
      </x:c>
      <x:c r="F31" s="16" t="n">
        <x:f>IF('Расчёт'!S142=1,E31/'Параметры'!$B$8*100,"Исправить ввод")</x:f>
        <x:v>0.09788984786424772</x:v>
      </x:c>
      <x:c r="G31" s="8" t="n">
        <x:f>IF('Расчёт'!S142=1,IF('Расчёт'!B142=0,"n.a.",E31/'Расчёт'!B142),"Исправить ввод")</x:f>
        <x:v>0.004870141684788444</x:v>
      </x:c>
      <x:c r="H31" s="24" t="str">
        <x:f>IF('Расчёт'!S142=1,IF('Расчёт'!K142+'Расчёт'!L142*D31+0.00000001&gt;='Расчёт'!J142,"OK","Падение"),"Исправить ввод")</x:f>
        <x:v>OK</x:v>
      </x:c>
      <x:c r="I31" s="24" t="str">
        <x:f>IF('Расчёт'!S142=1,IF('Расчёт'!N142+'Расчёт'!O142*D31+0.00000001&gt;='Расчёт'!M142,"OK","Падение"),"Исправить ввод")</x:f>
        <x:v>OK</x:v>
      </x:c>
      <x:c r="J31" s="24" t="str">
        <x:f>IF('Расчёт'!S142=1,IF('Расчёт'!H142+'Расчёт'!I142*D31+0.000001&gt;='Расчёт'!G142,"OK","Падение"),"Исправить ввод")</x:f>
        <x:v>OK</x:v>
      </x:c>
      <x:c r="K31" s="24" t="str">
        <x:f>IF('Расчёт'!S142=1,IF(AND(E31&gt;0,H31="OK",I31="OK",J31="OK"),"Проходит","Не проходит"),"Исправить ввод")</x:f>
        <x:v>Проходит</x:v>
      </x:c>
      <x:c r="L31" s="1" t="str">
        <x:v>Штрафы — допущение; эффект — расчёт</x:v>
      </x:c>
    </x:row>
    <x:row r="32" ht="24" customHeight="1">
      <x:c r="A32" s="1" t="str">
        <x:v>H4</x:v>
      </x:c>
      <x:c r="B32" s="8" t="n">
        <x:v>0</x:v>
      </x:c>
      <x:c r="C32" s="8" t="n">
        <x:v>0</x:v>
      </x:c>
      <x:c r="D32" s="8" t="n">
        <x:f>(1-B32)*(1-C32)</x:f>
        <x:v>1</x:v>
      </x:c>
      <x:c r="E32" s="12" t="n">
        <x:f>IF('Расчёт'!S143=1,'Расчёт'!E143+'Расчёт'!F143*D32-'Расчёт'!B143,"Исправить ввод")</x:f>
        <x:v>462.79695728496154</x:v>
      </x:c>
      <x:c r="F32" s="16" t="n">
        <x:f>IF('Расчёт'!S143=1,E32/'Параметры'!$B$8*100,"Исправить ввод")</x:f>
        <x:v>0.4627969572849615</x:v>
      </x:c>
      <x:c r="G32" s="8" t="n">
        <x:f>IF('Расчёт'!S143=1,IF('Расчёт'!B143=0,"n.a.",E32/'Расчёт'!B143),"Исправить ввод")</x:f>
        <x:v>0.023024724243032917</x:v>
      </x:c>
      <x:c r="H32" s="24" t="str">
        <x:f>IF('Расчёт'!S143=1,IF('Расчёт'!K143+'Расчёт'!L143*D32+0.00000001&gt;='Расчёт'!J143,"OK","Падение"),"Исправить ввод")</x:f>
        <x:v>OK</x:v>
      </x:c>
      <x:c r="I32" s="24" t="str">
        <x:f>IF('Расчёт'!S143=1,IF('Расчёт'!N143+'Расчёт'!O143*D32+0.00000001&gt;='Расчёт'!M143,"OK","Падение"),"Исправить ввод")</x:f>
        <x:v>OK</x:v>
      </x:c>
      <x:c r="J32" s="24" t="str">
        <x:f>IF('Расчёт'!S143=1,IF('Расчёт'!H143+'Расчёт'!I143*D32+0.000001&gt;='Расчёт'!G143,"OK","Падение"),"Исправить ввод")</x:f>
        <x:v>OK</x:v>
      </x:c>
      <x:c r="K32" s="24" t="str">
        <x:f>IF('Расчёт'!S143=1,IF(AND(E32&gt;0,H32="OK",I32="OK",J32="OK"),"Проходит","Не проходит"),"Исправить ввод")</x:f>
        <x:v>Проходит</x:v>
      </x:c>
      <x:c r="L32" s="1" t="str">
        <x:v>Штрафы — допущение; эффект — расчёт</x:v>
      </x:c>
    </x:row>
    <x:row r="33" ht="24" customHeight="1">
      <x:c r="A33" s="1" t="str">
        <x:v>H4</x:v>
      </x:c>
      <x:c r="B33" s="8" t="n">
        <x:v>0</x:v>
      </x:c>
      <x:c r="C33" s="8" t="n">
        <x:v>0.25</x:v>
      </x:c>
      <x:c r="D33" s="8" t="n">
        <x:f>(1-B33)*(1-C33)</x:f>
        <x:v>0.75</x:v>
      </x:c>
      <x:c r="E33" s="12" t="n">
        <x:f>IF('Расчёт'!S143=1,'Расчёт'!E143+'Расчёт'!F143*D33-'Расчёт'!B143,"Исправить ввод")</x:f>
        <x:v>347.09771796372297</x:v>
      </x:c>
      <x:c r="F33" s="16" t="n">
        <x:f>IF('Расчёт'!S143=1,E33/'Параметры'!$B$8*100,"Исправить ввод")</x:f>
        <x:v>0.34709771796372296</x:v>
      </x:c>
      <x:c r="G33" s="8" t="n">
        <x:f>IF('Расчёт'!S143=1,IF('Расчёт'!B143=0,"n.a.",E33/'Расчёт'!B143),"Исправить ввод")</x:f>
        <x:v>0.01726854318227478</x:v>
      </x:c>
      <x:c r="H33" s="24" t="str">
        <x:f>IF('Расчёт'!S143=1,IF('Расчёт'!K143+'Расчёт'!L143*D33+0.00000001&gt;='Расчёт'!J143,"OK","Падение"),"Исправить ввод")</x:f>
        <x:v>OK</x:v>
      </x:c>
      <x:c r="I33" s="24" t="str">
        <x:f>IF('Расчёт'!S143=1,IF('Расчёт'!N143+'Расчёт'!O143*D33+0.00000001&gt;='Расчёт'!M143,"OK","Падение"),"Исправить ввод")</x:f>
        <x:v>OK</x:v>
      </x:c>
      <x:c r="J33" s="24" t="str">
        <x:f>IF('Расчёт'!S143=1,IF('Расчёт'!H143+'Расчёт'!I143*D33+0.000001&gt;='Расчёт'!G143,"OK","Падение"),"Исправить ввод")</x:f>
        <x:v>OK</x:v>
      </x:c>
      <x:c r="K33" s="24" t="str">
        <x:f>IF('Расчёт'!S143=1,IF(AND(E33&gt;0,H33="OK",I33="OK",J33="OK"),"Проходит","Не проходит"),"Исправить ввод")</x:f>
        <x:v>Проходит</x:v>
      </x:c>
      <x:c r="L33" s="1" t="str">
        <x:v>Штрафы — допущение; эффект — расчёт</x:v>
      </x:c>
    </x:row>
    <x:row r="34" ht="24" customHeight="1">
      <x:c r="A34" s="1" t="str">
        <x:v>H4</x:v>
      </x:c>
      <x:c r="B34" s="8" t="n">
        <x:v>0</x:v>
      </x:c>
      <x:c r="C34" s="8" t="n">
        <x:v>0.5</x:v>
      </x:c>
      <x:c r="D34" s="8" t="n">
        <x:f>(1-B34)*(1-C34)</x:f>
        <x:v>0.5</x:v>
      </x:c>
      <x:c r="E34" s="12" t="n">
        <x:f>IF('Расчёт'!S143=1,'Расчёт'!E143+'Расчёт'!F143*D34-'Расчёт'!B143,"Исправить ввод")</x:f>
        <x:v>231.39847864248077</x:v>
      </x:c>
      <x:c r="F34" s="16" t="n">
        <x:f>IF('Расчёт'!S143=1,E34/'Параметры'!$B$8*100,"Исправить ввод")</x:f>
        <x:v>0.23139847864248075</x:v>
      </x:c>
      <x:c r="G34" s="8" t="n">
        <x:f>IF('Расчёт'!S143=1,IF('Расчёт'!B143=0,"n.a.",E34/'Расчёт'!B143),"Исправить ввод")</x:f>
        <x:v>0.011512362121516458</x:v>
      </x:c>
      <x:c r="H34" s="24" t="str">
        <x:f>IF('Расчёт'!S143=1,IF('Расчёт'!K143+'Расчёт'!L143*D34+0.00000001&gt;='Расчёт'!J143,"OK","Падение"),"Исправить ввод")</x:f>
        <x:v>OK</x:v>
      </x:c>
      <x:c r="I34" s="24" t="str">
        <x:f>IF('Расчёт'!S143=1,IF('Расчёт'!N143+'Расчёт'!O143*D34+0.00000001&gt;='Расчёт'!M143,"OK","Падение"),"Исправить ввод")</x:f>
        <x:v>OK</x:v>
      </x:c>
      <x:c r="J34" s="24" t="str">
        <x:f>IF('Расчёт'!S143=1,IF('Расчёт'!H143+'Расчёт'!I143*D34+0.000001&gt;='Расчёт'!G143,"OK","Падение"),"Исправить ввод")</x:f>
        <x:v>OK</x:v>
      </x:c>
      <x:c r="K34" s="24" t="str">
        <x:f>IF('Расчёт'!S143=1,IF(AND(E34&gt;0,H34="OK",I34="OK",J34="OK"),"Проходит","Не проходит"),"Исправить ввод")</x:f>
        <x:v>Проходит</x:v>
      </x:c>
      <x:c r="L34" s="1" t="str">
        <x:v>Штрафы — допущение; эффект — расчёт</x:v>
      </x:c>
    </x:row>
    <x:row r="35" ht="24" customHeight="1">
      <x:c r="A35" s="1" t="str">
        <x:v>H4</x:v>
      </x:c>
      <x:c r="B35" s="8" t="n">
        <x:v>0.25</x:v>
      </x:c>
      <x:c r="C35" s="8" t="n">
        <x:v>0</x:v>
      </x:c>
      <x:c r="D35" s="8" t="n">
        <x:f>(1-B35)*(1-C35)</x:f>
        <x:v>0.75</x:v>
      </x:c>
      <x:c r="E35" s="12" t="n">
        <x:f>IF('Расчёт'!S143=1,'Расчёт'!E143+'Расчёт'!F143*D35-'Расчёт'!B143,"Исправить ввод")</x:f>
        <x:v>347.09771796372297</x:v>
      </x:c>
      <x:c r="F35" s="16" t="n">
        <x:f>IF('Расчёт'!S143=1,E35/'Параметры'!$B$8*100,"Исправить ввод")</x:f>
        <x:v>0.34709771796372296</x:v>
      </x:c>
      <x:c r="G35" s="8" t="n">
        <x:f>IF('Расчёт'!S143=1,IF('Расчёт'!B143=0,"n.a.",E35/'Расчёт'!B143),"Исправить ввод")</x:f>
        <x:v>0.01726854318227478</x:v>
      </x:c>
      <x:c r="H35" s="24" t="str">
        <x:f>IF('Расчёт'!S143=1,IF('Расчёт'!K143+'Расчёт'!L143*D35+0.00000001&gt;='Расчёт'!J143,"OK","Падение"),"Исправить ввод")</x:f>
        <x:v>OK</x:v>
      </x:c>
      <x:c r="I35" s="24" t="str">
        <x:f>IF('Расчёт'!S143=1,IF('Расчёт'!N143+'Расчёт'!O143*D35+0.00000001&gt;='Расчёт'!M143,"OK","Падение"),"Исправить ввод")</x:f>
        <x:v>OK</x:v>
      </x:c>
      <x:c r="J35" s="24" t="str">
        <x:f>IF('Расчёт'!S143=1,IF('Расчёт'!H143+'Расчёт'!I143*D35+0.000001&gt;='Расчёт'!G143,"OK","Падение"),"Исправить ввод")</x:f>
        <x:v>OK</x:v>
      </x:c>
      <x:c r="K35" s="24" t="str">
        <x:f>IF('Расчёт'!S143=1,IF(AND(E35&gt;0,H35="OK",I35="OK",J35="OK"),"Проходит","Не проходит"),"Исправить ввод")</x:f>
        <x:v>Проходит</x:v>
      </x:c>
      <x:c r="L35" s="1" t="str">
        <x:v>Штрафы — допущение; эффект — расчёт</x:v>
      </x:c>
    </x:row>
    <x:row r="36" ht="24" customHeight="1">
      <x:c r="A36" s="1" t="str">
        <x:v>H4</x:v>
      </x:c>
      <x:c r="B36" s="8" t="n">
        <x:v>0.25</x:v>
      </x:c>
      <x:c r="C36" s="8" t="n">
        <x:v>0.25</x:v>
      </x:c>
      <x:c r="D36" s="8" t="n">
        <x:f>(1-B36)*(1-C36)</x:f>
        <x:v>0.5625</x:v>
      </x:c>
      <x:c r="E36" s="12" t="n">
        <x:f>IF('Расчёт'!S143=1,'Расчёт'!E143+'Расчёт'!F143*D36-'Расчёт'!B143,"Исправить ввод")</x:f>
        <x:v>260.3232884727913</x:v>
      </x:c>
      <x:c r="F36" s="16" t="n">
        <x:f>IF('Расчёт'!S143=1,E36/'Параметры'!$B$8*100,"Исправить ввод")</x:f>
        <x:v>0.26032328847279135</x:v>
      </x:c>
      <x:c r="G36" s="8" t="n">
        <x:f>IF('Расчёт'!S143=1,IF('Расчёт'!B143=0,"n.a.",E36/'Расчёт'!B143),"Исправить ввод")</x:f>
        <x:v>0.012951407386706039</x:v>
      </x:c>
      <x:c r="H36" s="24" t="str">
        <x:f>IF('Расчёт'!S143=1,IF('Расчёт'!K143+'Расчёт'!L143*D36+0.00000001&gt;='Расчёт'!J143,"OK","Падение"),"Исправить ввод")</x:f>
        <x:v>OK</x:v>
      </x:c>
      <x:c r="I36" s="24" t="str">
        <x:f>IF('Расчёт'!S143=1,IF('Расчёт'!N143+'Расчёт'!O143*D36+0.00000001&gt;='Расчёт'!M143,"OK","Падение"),"Исправить ввод")</x:f>
        <x:v>OK</x:v>
      </x:c>
      <x:c r="J36" s="24" t="str">
        <x:f>IF('Расчёт'!S143=1,IF('Расчёт'!H143+'Расчёт'!I143*D36+0.000001&gt;='Расчёт'!G143,"OK","Падение"),"Исправить ввод")</x:f>
        <x:v>OK</x:v>
      </x:c>
      <x:c r="K36" s="24" t="str">
        <x:f>IF('Расчёт'!S143=1,IF(AND(E36&gt;0,H36="OK",I36="OK",J36="OK"),"Проходит","Не проходит"),"Исправить ввод")</x:f>
        <x:v>Проходит</x:v>
      </x:c>
      <x:c r="L36" s="1" t="str">
        <x:v>Штрафы — допущение; эффект — расчёт</x:v>
      </x:c>
    </x:row>
    <x:row r="37" ht="24" customHeight="1">
      <x:c r="A37" s="1" t="str">
        <x:v>H4</x:v>
      </x:c>
      <x:c r="B37" s="8" t="n">
        <x:v>0.25</x:v>
      </x:c>
      <x:c r="C37" s="8" t="n">
        <x:v>0.5</x:v>
      </x:c>
      <x:c r="D37" s="8" t="n">
        <x:f>(1-B37)*(1-C37)</x:f>
        <x:v>0.375</x:v>
      </x:c>
      <x:c r="E37" s="12" t="n">
        <x:f>IF('Расчёт'!S143=1,'Расчёт'!E143+'Расчёт'!F143*D37-'Расчёт'!B143,"Исправить ввод")</x:f>
        <x:v>173.54885898185967</x:v>
      </x:c>
      <x:c r="F37" s="16" t="n">
        <x:f>IF('Расчёт'!S143=1,E37/'Параметры'!$B$8*100,"Исправить ввод")</x:f>
        <x:v>0.17354885898185965</x:v>
      </x:c>
      <x:c r="G37" s="8" t="n">
        <x:f>IF('Расчёт'!S143=1,IF('Расчёт'!B143=0,"n.a.",E37/'Расчёт'!B143),"Исправить ввод")</x:f>
        <x:v>0.008634271591137298</x:v>
      </x:c>
      <x:c r="H37" s="24" t="str">
        <x:f>IF('Расчёт'!S143=1,IF('Расчёт'!K143+'Расчёт'!L143*D37+0.00000001&gt;='Расчёт'!J143,"OK","Падение"),"Исправить ввод")</x:f>
        <x:v>OK</x:v>
      </x:c>
      <x:c r="I37" s="24" t="str">
        <x:f>IF('Расчёт'!S143=1,IF('Расчёт'!N143+'Расчёт'!O143*D37+0.00000001&gt;='Расчёт'!M143,"OK","Падение"),"Исправить ввод")</x:f>
        <x:v>OK</x:v>
      </x:c>
      <x:c r="J37" s="24" t="str">
        <x:f>IF('Расчёт'!S143=1,IF('Расчёт'!H143+'Расчёт'!I143*D37+0.000001&gt;='Расчёт'!G143,"OK","Падение"),"Исправить ввод")</x:f>
        <x:v>OK</x:v>
      </x:c>
      <x:c r="K37" s="24" t="str">
        <x:f>IF('Расчёт'!S143=1,IF(AND(E37&gt;0,H37="OK",I37="OK",J37="OK"),"Проходит","Не проходит"),"Исправить ввод")</x:f>
        <x:v>Проходит</x:v>
      </x:c>
      <x:c r="L37" s="1" t="str">
        <x:v>Штрафы — допущение; эффект — расчёт</x:v>
      </x:c>
    </x:row>
    <x:row r="38" ht="24" customHeight="1">
      <x:c r="A38" s="1" t="str">
        <x:v>H4</x:v>
      </x:c>
      <x:c r="B38" s="8" t="n">
        <x:v>0.5</x:v>
      </x:c>
      <x:c r="C38" s="8" t="n">
        <x:v>0</x:v>
      </x:c>
      <x:c r="D38" s="8" t="n">
        <x:f>(1-B38)*(1-C38)</x:f>
        <x:v>0.5</x:v>
      </x:c>
      <x:c r="E38" s="12" t="n">
        <x:f>IF('Расчёт'!S143=1,'Расчёт'!E143+'Расчёт'!F143*D38-'Расчёт'!B143,"Исправить ввод")</x:f>
        <x:v>231.39847864248077</x:v>
      </x:c>
      <x:c r="F38" s="16" t="n">
        <x:f>IF('Расчёт'!S143=1,E38/'Параметры'!$B$8*100,"Исправить ввод")</x:f>
        <x:v>0.23139847864248075</x:v>
      </x:c>
      <x:c r="G38" s="8" t="n">
        <x:f>IF('Расчёт'!S143=1,IF('Расчёт'!B143=0,"n.a.",E38/'Расчёт'!B143),"Исправить ввод")</x:f>
        <x:v>0.011512362121516458</x:v>
      </x:c>
      <x:c r="H38" s="24" t="str">
        <x:f>IF('Расчёт'!S143=1,IF('Расчёт'!K143+'Расчёт'!L143*D38+0.00000001&gt;='Расчёт'!J143,"OK","Падение"),"Исправить ввод")</x:f>
        <x:v>OK</x:v>
      </x:c>
      <x:c r="I38" s="24" t="str">
        <x:f>IF('Расчёт'!S143=1,IF('Расчёт'!N143+'Расчёт'!O143*D38+0.00000001&gt;='Расчёт'!M143,"OK","Падение"),"Исправить ввод")</x:f>
        <x:v>OK</x:v>
      </x:c>
      <x:c r="J38" s="24" t="str">
        <x:f>IF('Расчёт'!S143=1,IF('Расчёт'!H143+'Расчёт'!I143*D38+0.000001&gt;='Расчёт'!G143,"OK","Падение"),"Исправить ввод")</x:f>
        <x:v>OK</x:v>
      </x:c>
      <x:c r="K38" s="24" t="str">
        <x:f>IF('Расчёт'!S143=1,IF(AND(E38&gt;0,H38="OK",I38="OK",J38="OK"),"Проходит","Не проходит"),"Исправить ввод")</x:f>
        <x:v>Проходит</x:v>
      </x:c>
      <x:c r="L38" s="1" t="str">
        <x:v>Штрафы — допущение; эффект — расчёт</x:v>
      </x:c>
    </x:row>
    <x:row r="39" ht="24" customHeight="1">
      <x:c r="A39" s="1" t="str">
        <x:v>H4</x:v>
      </x:c>
      <x:c r="B39" s="8" t="n">
        <x:v>0.5</x:v>
      </x:c>
      <x:c r="C39" s="8" t="n">
        <x:v>0.25</x:v>
      </x:c>
      <x:c r="D39" s="8" t="n">
        <x:f>(1-B39)*(1-C39)</x:f>
        <x:v>0.375</x:v>
      </x:c>
      <x:c r="E39" s="12" t="n">
        <x:f>IF('Расчёт'!S143=1,'Расчёт'!E143+'Расчёт'!F143*D39-'Расчёт'!B143,"Исправить ввод")</x:f>
        <x:v>173.54885898185967</x:v>
      </x:c>
      <x:c r="F39" s="16" t="n">
        <x:f>IF('Расчёт'!S143=1,E39/'Параметры'!$B$8*100,"Исправить ввод")</x:f>
        <x:v>0.17354885898185965</x:v>
      </x:c>
      <x:c r="G39" s="8" t="n">
        <x:f>IF('Расчёт'!S143=1,IF('Расчёт'!B143=0,"n.a.",E39/'Расчёт'!B143),"Исправить ввод")</x:f>
        <x:v>0.008634271591137298</x:v>
      </x:c>
      <x:c r="H39" s="24" t="str">
        <x:f>IF('Расчёт'!S143=1,IF('Расчёт'!K143+'Расчёт'!L143*D39+0.00000001&gt;='Расчёт'!J143,"OK","Падение"),"Исправить ввод")</x:f>
        <x:v>OK</x:v>
      </x:c>
      <x:c r="I39" s="24" t="str">
        <x:f>IF('Расчёт'!S143=1,IF('Расчёт'!N143+'Расчёт'!O143*D39+0.00000001&gt;='Расчёт'!M143,"OK","Падение"),"Исправить ввод")</x:f>
        <x:v>OK</x:v>
      </x:c>
      <x:c r="J39" s="24" t="str">
        <x:f>IF('Расчёт'!S143=1,IF('Расчёт'!H143+'Расчёт'!I143*D39+0.000001&gt;='Расчёт'!G143,"OK","Падение"),"Исправить ввод")</x:f>
        <x:v>OK</x:v>
      </x:c>
      <x:c r="K39" s="24" t="str">
        <x:f>IF('Расчёт'!S143=1,IF(AND(E39&gt;0,H39="OK",I39="OK",J39="OK"),"Проходит","Не проходит"),"Исправить ввод")</x:f>
        <x:v>Проходит</x:v>
      </x:c>
      <x:c r="L39" s="1" t="str">
        <x:v>Штрафы — допущение; эффект — расчёт</x:v>
      </x:c>
    </x:row>
    <x:row r="40" ht="24" customHeight="1">
      <x:c r="A40" s="1" t="str">
        <x:v>H4</x:v>
      </x:c>
      <x:c r="B40" s="8" t="n">
        <x:v>0.5</x:v>
      </x:c>
      <x:c r="C40" s="8" t="n">
        <x:v>0.5</x:v>
      </x:c>
      <x:c r="D40" s="8" t="n">
        <x:f>(1-B40)*(1-C40)</x:f>
        <x:v>0.25</x:v>
      </x:c>
      <x:c r="E40" s="12" t="n">
        <x:f>IF('Расчёт'!S143=1,'Расчёт'!E143+'Расчёт'!F143*D40-'Расчёт'!B143,"Исправить ввод")</x:f>
        <x:v>115.6992393212422</x:v>
      </x:c>
      <x:c r="F40" s="16" t="n">
        <x:f>IF('Расчёт'!S143=1,E40/'Параметры'!$B$8*100,"Исправить ввод")</x:f>
        <x:v>0.1156992393212422</x:v>
      </x:c>
      <x:c r="G40" s="8" t="n">
        <x:f>IF('Расчёт'!S143=1,IF('Расчёт'!B143=0,"n.a.",E40/'Расчёт'!B143),"Исправить ввод")</x:f>
        <x:v>0.005756181060758319</x:v>
      </x:c>
      <x:c r="H40" s="24" t="str">
        <x:f>IF('Расчёт'!S143=1,IF('Расчёт'!K143+'Расчёт'!L143*D40+0.00000001&gt;='Расчёт'!J143,"OK","Падение"),"Исправить ввод")</x:f>
        <x:v>OK</x:v>
      </x:c>
      <x:c r="I40" s="24" t="str">
        <x:f>IF('Расчёт'!S143=1,IF('Расчёт'!N143+'Расчёт'!O143*D40+0.00000001&gt;='Расчёт'!M143,"OK","Падение"),"Исправить ввод")</x:f>
        <x:v>OK</x:v>
      </x:c>
      <x:c r="J40" s="24" t="str">
        <x:f>IF('Расчёт'!S143=1,IF('Расчёт'!H143+'Расчёт'!I143*D40+0.000001&gt;='Расчёт'!G143,"OK","Падение"),"Исправить ввод")</x:f>
        <x:v>OK</x:v>
      </x:c>
      <x:c r="K40" s="24" t="str">
        <x:f>IF('Расчёт'!S143=1,IF(AND(E40&gt;0,H40="OK",I40="OK",J40="OK"),"Проходит","Не проходит"),"Исправить ввод")</x:f>
        <x:v>Проходит</x:v>
      </x:c>
      <x:c r="L40" s="1" t="str">
        <x:v>Штрафы — допущение; эффект — расчёт</x:v>
      </x:c>
    </x:row>
    <x:row r="41" ht="24" customHeight="1">
      <x:c r="A41" s="1" t="str">
        <x:v>H5</x:v>
      </x:c>
      <x:c r="B41" s="8" t="n">
        <x:v>0</x:v>
      </x:c>
      <x:c r="C41" s="8" t="n">
        <x:v>0</x:v>
      </x:c>
      <x:c r="D41" s="8" t="n">
        <x:f>(1-B41)*(1-C41)</x:f>
        <x:v>1</x:v>
      </x:c>
      <x:c r="E41" s="12" t="n">
        <x:f>IF('Расчёт'!S144=1,'Расчёт'!E144+'Расчёт'!F144*D41-'Расчёт'!B144,"Исправить ввод")</x:f>
        <x:v>75.39847864248077</x:v>
      </x:c>
      <x:c r="F41" s="16" t="n">
        <x:f>IF('Расчёт'!S144=1,E41/'Параметры'!$B$8*100,"Исправить ввод")</x:f>
        <x:v>0.07539847864248077</x:v>
      </x:c>
      <x:c r="G41" s="8" t="n">
        <x:f>IF('Расчёт'!S144=1,IF('Расчёт'!B144=0,"n.a.",E41/'Расчёт'!B144),"Исправить ввод")</x:f>
        <x:v>0.0037511680916657106</x:v>
      </x:c>
      <x:c r="H41" s="24" t="str">
        <x:f>IF('Расчёт'!S144=1,IF('Расчёт'!K144+'Расчёт'!L144*D41+0.00000001&gt;='Расчёт'!J144,"OK","Падение"),"Исправить ввод")</x:f>
        <x:v>OK</x:v>
      </x:c>
      <x:c r="I41" s="24" t="str">
        <x:f>IF('Расчёт'!S144=1,IF('Расчёт'!N144+'Расчёт'!O144*D41+0.00000001&gt;='Расчёт'!M144,"OK","Падение"),"Исправить ввод")</x:f>
        <x:v>OK</x:v>
      </x:c>
      <x:c r="J41" s="24" t="str">
        <x:f>IF('Расчёт'!S144=1,IF('Расчёт'!H144+'Расчёт'!I144*D41+0.000001&gt;='Расчёт'!G144,"OK","Падение"),"Исправить ввод")</x:f>
        <x:v>OK</x:v>
      </x:c>
      <x:c r="K41" s="24" t="str">
        <x:f>IF('Расчёт'!S144=1,IF(AND(E41&gt;0,H41="OK",I41="OK",J41="OK"),"Проходит","Не проходит"),"Исправить ввод")</x:f>
        <x:v>Проходит</x:v>
      </x:c>
      <x:c r="L41" s="1" t="str">
        <x:v>Штрафы — допущение; эффект — расчёт</x:v>
      </x:c>
    </x:row>
    <x:row r="42" ht="24" customHeight="1">
      <x:c r="A42" s="1" t="str">
        <x:v>H5</x:v>
      </x:c>
      <x:c r="B42" s="8" t="n">
        <x:v>0</x:v>
      </x:c>
      <x:c r="C42" s="8" t="n">
        <x:v>0.25</x:v>
      </x:c>
      <x:c r="D42" s="8" t="n">
        <x:f>(1-B42)*(1-C42)</x:f>
        <x:v>0.75</x:v>
      </x:c>
      <x:c r="E42" s="12" t="n">
        <x:f>IF('Расчёт'!S144=1,'Расчёт'!E144+'Расчёт'!F144*D42-'Расчёт'!B144,"Исправить ввод")</x:f>
        <x:v>56.54885898185967</x:v>
      </x:c>
      <x:c r="F42" s="16" t="n">
        <x:f>IF('Расчёт'!S144=1,E42/'Параметры'!$B$8*100,"Исправить ввод")</x:f>
        <x:v>0.05654885898185967</x:v>
      </x:c>
      <x:c r="G42" s="8" t="n">
        <x:f>IF('Расчёт'!S144=1,IF('Расчёт'!B144=0,"n.a.",E42/'Расчёт'!B144),"Исправить ввод")</x:f>
        <x:v>0.0028133760687492375</x:v>
      </x:c>
      <x:c r="H42" s="24" t="str">
        <x:f>IF('Расчёт'!S144=1,IF('Расчёт'!K144+'Расчёт'!L144*D42+0.00000001&gt;='Расчёт'!J144,"OK","Падение"),"Исправить ввод")</x:f>
        <x:v>OK</x:v>
      </x:c>
      <x:c r="I42" s="24" t="str">
        <x:f>IF('Расчёт'!S144=1,IF('Расчёт'!N144+'Расчёт'!O144*D42+0.00000001&gt;='Расчёт'!M144,"OK","Падение"),"Исправить ввод")</x:f>
        <x:v>OK</x:v>
      </x:c>
      <x:c r="J42" s="24" t="str">
        <x:f>IF('Расчёт'!S144=1,IF('Расчёт'!H144+'Расчёт'!I144*D42+0.000001&gt;='Расчёт'!G144,"OK","Падение"),"Исправить ввод")</x:f>
        <x:v>OK</x:v>
      </x:c>
      <x:c r="K42" s="24" t="str">
        <x:f>IF('Расчёт'!S144=1,IF(AND(E42&gt;0,H42="OK",I42="OK",J42="OK"),"Проходит","Не проходит"),"Исправить ввод")</x:f>
        <x:v>Проходит</x:v>
      </x:c>
      <x:c r="L42" s="1" t="str">
        <x:v>Штрафы — допущение; эффект — расчёт</x:v>
      </x:c>
    </x:row>
    <x:row r="43" ht="24" customHeight="1">
      <x:c r="A43" s="1" t="str">
        <x:v>H5</x:v>
      </x:c>
      <x:c r="B43" s="8" t="n">
        <x:v>0</x:v>
      </x:c>
      <x:c r="C43" s="8" t="n">
        <x:v>0.5</x:v>
      </x:c>
      <x:c r="D43" s="8" t="n">
        <x:f>(1-B43)*(1-C43)</x:f>
        <x:v>0.5</x:v>
      </x:c>
      <x:c r="E43" s="12" t="n">
        <x:f>IF('Расчёт'!S144=1,'Расчёт'!E144+'Расчёт'!F144*D43-'Расчёт'!B144,"Исправить ввод")</x:f>
        <x:v>37.6992393212422</x:v>
      </x:c>
      <x:c r="F43" s="16" t="n">
        <x:f>IF('Расчёт'!S144=1,E43/'Параметры'!$B$8*100,"Исправить ввод")</x:f>
        <x:v>0.0376992393212422</x:v>
      </x:c>
      <x:c r="G43" s="8" t="n">
        <x:f>IF('Расчёт'!S144=1,IF('Расчёт'!B144=0,"n.a.",E43/'Расчёт'!B144),"Исправить ввод")</x:f>
        <x:v>0.0018755840458329457</x:v>
      </x:c>
      <x:c r="H43" s="24" t="str">
        <x:f>IF('Расчёт'!S144=1,IF('Расчёт'!K144+'Расчёт'!L144*D43+0.00000001&gt;='Расчёт'!J144,"OK","Падение"),"Исправить ввод")</x:f>
        <x:v>OK</x:v>
      </x:c>
      <x:c r="I43" s="24" t="str">
        <x:f>IF('Расчёт'!S144=1,IF('Расчёт'!N144+'Расчёт'!O144*D43+0.00000001&gt;='Расчёт'!M144,"OK","Падение"),"Исправить ввод")</x:f>
        <x:v>OK</x:v>
      </x:c>
      <x:c r="J43" s="24" t="str">
        <x:f>IF('Расчёт'!S144=1,IF('Расчёт'!H144+'Расчёт'!I144*D43+0.000001&gt;='Расчёт'!G144,"OK","Падение"),"Исправить ввод")</x:f>
        <x:v>OK</x:v>
      </x:c>
      <x:c r="K43" s="24" t="str">
        <x:f>IF('Расчёт'!S144=1,IF(AND(E43&gt;0,H43="OK",I43="OK",J43="OK"),"Проходит","Не проходит"),"Исправить ввод")</x:f>
        <x:v>Проходит</x:v>
      </x:c>
      <x:c r="L43" s="1" t="str">
        <x:v>Штрафы — допущение; эффект — расчёт</x:v>
      </x:c>
    </x:row>
    <x:row r="44" ht="24" customHeight="1">
      <x:c r="A44" s="1" t="str">
        <x:v>H5</x:v>
      </x:c>
      <x:c r="B44" s="8" t="n">
        <x:v>0.25</x:v>
      </x:c>
      <x:c r="C44" s="8" t="n">
        <x:v>0</x:v>
      </x:c>
      <x:c r="D44" s="8" t="n">
        <x:f>(1-B44)*(1-C44)</x:f>
        <x:v>0.75</x:v>
      </x:c>
      <x:c r="E44" s="12" t="n">
        <x:f>IF('Расчёт'!S144=1,'Расчёт'!E144+'Расчёт'!F144*D44-'Расчёт'!B144,"Исправить ввод")</x:f>
        <x:v>56.54885898185967</x:v>
      </x:c>
      <x:c r="F44" s="16" t="n">
        <x:f>IF('Расчёт'!S144=1,E44/'Параметры'!$B$8*100,"Исправить ввод")</x:f>
        <x:v>0.05654885898185967</x:v>
      </x:c>
      <x:c r="G44" s="8" t="n">
        <x:f>IF('Расчёт'!S144=1,IF('Расчёт'!B144=0,"n.a.",E44/'Расчёт'!B144),"Исправить ввод")</x:f>
        <x:v>0.0028133760687492375</x:v>
      </x:c>
      <x:c r="H44" s="24" t="str">
        <x:f>IF('Расчёт'!S144=1,IF('Расчёт'!K144+'Расчёт'!L144*D44+0.00000001&gt;='Расчёт'!J144,"OK","Падение"),"Исправить ввод")</x:f>
        <x:v>OK</x:v>
      </x:c>
      <x:c r="I44" s="24" t="str">
        <x:f>IF('Расчёт'!S144=1,IF('Расчёт'!N144+'Расчёт'!O144*D44+0.00000001&gt;='Расчёт'!M144,"OK","Падение"),"Исправить ввод")</x:f>
        <x:v>OK</x:v>
      </x:c>
      <x:c r="J44" s="24" t="str">
        <x:f>IF('Расчёт'!S144=1,IF('Расчёт'!H144+'Расчёт'!I144*D44+0.000001&gt;='Расчёт'!G144,"OK","Падение"),"Исправить ввод")</x:f>
        <x:v>OK</x:v>
      </x:c>
      <x:c r="K44" s="24" t="str">
        <x:f>IF('Расчёт'!S144=1,IF(AND(E44&gt;0,H44="OK",I44="OK",J44="OK"),"Проходит","Не проходит"),"Исправить ввод")</x:f>
        <x:v>Проходит</x:v>
      </x:c>
      <x:c r="L44" s="1" t="str">
        <x:v>Штрафы — допущение; эффект — расчёт</x:v>
      </x:c>
    </x:row>
    <x:row r="45" ht="24" customHeight="1">
      <x:c r="A45" s="1" t="str">
        <x:v>H5</x:v>
      </x:c>
      <x:c r="B45" s="8" t="n">
        <x:v>0.25</x:v>
      </x:c>
      <x:c r="C45" s="8" t="n">
        <x:v>0.25</x:v>
      </x:c>
      <x:c r="D45" s="8" t="n">
        <x:f>(1-B45)*(1-C45)</x:f>
        <x:v>0.5625</x:v>
      </x:c>
      <x:c r="E45" s="12" t="n">
        <x:f>IF('Расчёт'!S144=1,'Расчёт'!E144+'Расчёт'!F144*D45-'Расчёт'!B144,"Исправить ввод")</x:f>
        <x:v>42.41164423639566</x:v>
      </x:c>
      <x:c r="F45" s="16" t="n">
        <x:f>IF('Расчёт'!S144=1,E45/'Параметры'!$B$8*100,"Исправить ввод")</x:f>
        <x:v>0.04241164423639566</x:v>
      </x:c>
      <x:c r="G45" s="8" t="n">
        <x:f>IF('Расчёт'!S144=1,IF('Расчёт'!B144=0,"n.a.",E45/'Расчёт'!B144),"Исправить ввод")</x:f>
        <x:v>0.0021100320515619734</x:v>
      </x:c>
      <x:c r="H45" s="24" t="str">
        <x:f>IF('Расчёт'!S144=1,IF('Расчёт'!K144+'Расчёт'!L144*D45+0.00000001&gt;='Расчёт'!J144,"OK","Падение"),"Исправить ввод")</x:f>
        <x:v>OK</x:v>
      </x:c>
      <x:c r="I45" s="24" t="str">
        <x:f>IF('Расчёт'!S144=1,IF('Расчёт'!N144+'Расчёт'!O144*D45+0.00000001&gt;='Расчёт'!M144,"OK","Падение"),"Исправить ввод")</x:f>
        <x:v>OK</x:v>
      </x:c>
      <x:c r="J45" s="24" t="str">
        <x:f>IF('Расчёт'!S144=1,IF('Расчёт'!H144+'Расчёт'!I144*D45+0.000001&gt;='Расчёт'!G144,"OK","Падение"),"Исправить ввод")</x:f>
        <x:v>OK</x:v>
      </x:c>
      <x:c r="K45" s="24" t="str">
        <x:f>IF('Расчёт'!S144=1,IF(AND(E45&gt;0,H45="OK",I45="OK",J45="OK"),"Проходит","Не проходит"),"Исправить ввод")</x:f>
        <x:v>Проходит</x:v>
      </x:c>
      <x:c r="L45" s="1" t="str">
        <x:v>Штрафы — допущение; эффект — расчёт</x:v>
      </x:c>
    </x:row>
    <x:row r="46" ht="24" customHeight="1">
      <x:c r="A46" s="1" t="str">
        <x:v>H5</x:v>
      </x:c>
      <x:c r="B46" s="8" t="n">
        <x:v>0.25</x:v>
      </x:c>
      <x:c r="C46" s="8" t="n">
        <x:v>0.5</x:v>
      </x:c>
      <x:c r="D46" s="8" t="n">
        <x:f>(1-B46)*(1-C46)</x:f>
        <x:v>0.375</x:v>
      </x:c>
      <x:c r="E46" s="12" t="n">
        <x:f>IF('Расчёт'!S144=1,'Расчёт'!E144+'Расчёт'!F144*D46-'Расчёт'!B144,"Исправить ввод")</x:f>
        <x:v>28.274429490931652</x:v>
      </x:c>
      <x:c r="F46" s="16" t="n">
        <x:f>IF('Расчёт'!S144=1,E46/'Параметры'!$B$8*100,"Исправить ввод")</x:f>
        <x:v>0.02827442949093165</x:v>
      </x:c>
      <x:c r="G46" s="8" t="n">
        <x:f>IF('Расчёт'!S144=1,IF('Расчёт'!B144=0,"n.a.",E46/'Расчёт'!B144),"Исправить ввод")</x:f>
        <x:v>0.0014066880343747094</x:v>
      </x:c>
      <x:c r="H46" s="24" t="str">
        <x:f>IF('Расчёт'!S144=1,IF('Расчёт'!K144+'Расчёт'!L144*D46+0.00000001&gt;='Расчёт'!J144,"OK","Падение"),"Исправить ввод")</x:f>
        <x:v>OK</x:v>
      </x:c>
      <x:c r="I46" s="24" t="str">
        <x:f>IF('Расчёт'!S144=1,IF('Расчёт'!N144+'Расчёт'!O144*D46+0.00000001&gt;='Расчёт'!M144,"OK","Падение"),"Исправить ввод")</x:f>
        <x:v>OK</x:v>
      </x:c>
      <x:c r="J46" s="24" t="str">
        <x:f>IF('Расчёт'!S144=1,IF('Расчёт'!H144+'Расчёт'!I144*D46+0.000001&gt;='Расчёт'!G144,"OK","Падение"),"Исправить ввод")</x:f>
        <x:v>OK</x:v>
      </x:c>
      <x:c r="K46" s="24" t="str">
        <x:f>IF('Расчёт'!S144=1,IF(AND(E46&gt;0,H46="OK",I46="OK",J46="OK"),"Проходит","Не проходит"),"Исправить ввод")</x:f>
        <x:v>Проходит</x:v>
      </x:c>
      <x:c r="L46" s="1" t="str">
        <x:v>Штрафы — допущение; эффект — расчёт</x:v>
      </x:c>
    </x:row>
    <x:row r="47" ht="24" customHeight="1">
      <x:c r="A47" s="1" t="str">
        <x:v>H5</x:v>
      </x:c>
      <x:c r="B47" s="8" t="n">
        <x:v>0.5</x:v>
      </x:c>
      <x:c r="C47" s="8" t="n">
        <x:v>0</x:v>
      </x:c>
      <x:c r="D47" s="8" t="n">
        <x:f>(1-B47)*(1-C47)</x:f>
        <x:v>0.5</x:v>
      </x:c>
      <x:c r="E47" s="12" t="n">
        <x:f>IF('Расчёт'!S144=1,'Расчёт'!E144+'Расчёт'!F144*D47-'Расчёт'!B144,"Исправить ввод")</x:f>
        <x:v>37.6992393212422</x:v>
      </x:c>
      <x:c r="F47" s="16" t="n">
        <x:f>IF('Расчёт'!S144=1,E47/'Параметры'!$B$8*100,"Исправить ввод")</x:f>
        <x:v>0.0376992393212422</x:v>
      </x:c>
      <x:c r="G47" s="8" t="n">
        <x:f>IF('Расчёт'!S144=1,IF('Расчёт'!B144=0,"n.a.",E47/'Расчёт'!B144),"Исправить ввод")</x:f>
        <x:v>0.0018755840458329457</x:v>
      </x:c>
      <x:c r="H47" s="24" t="str">
        <x:f>IF('Расчёт'!S144=1,IF('Расчёт'!K144+'Расчёт'!L144*D47+0.00000001&gt;='Расчёт'!J144,"OK","Падение"),"Исправить ввод")</x:f>
        <x:v>OK</x:v>
      </x:c>
      <x:c r="I47" s="24" t="str">
        <x:f>IF('Расчёт'!S144=1,IF('Расчёт'!N144+'Расчёт'!O144*D47+0.00000001&gt;='Расчёт'!M144,"OK","Падение"),"Исправить ввод")</x:f>
        <x:v>OK</x:v>
      </x:c>
      <x:c r="J47" s="24" t="str">
        <x:f>IF('Расчёт'!S144=1,IF('Расчёт'!H144+'Расчёт'!I144*D47+0.000001&gt;='Расчёт'!G144,"OK","Падение"),"Исправить ввод")</x:f>
        <x:v>OK</x:v>
      </x:c>
      <x:c r="K47" s="24" t="str">
        <x:f>IF('Расчёт'!S144=1,IF(AND(E47&gt;0,H47="OK",I47="OK",J47="OK"),"Проходит","Не проходит"),"Исправить ввод")</x:f>
        <x:v>Проходит</x:v>
      </x:c>
      <x:c r="L47" s="1" t="str">
        <x:v>Штрафы — допущение; эффект — расчёт</x:v>
      </x:c>
    </x:row>
    <x:row r="48" ht="24" customHeight="1">
      <x:c r="A48" s="1" t="str">
        <x:v>H5</x:v>
      </x:c>
      <x:c r="B48" s="8" t="n">
        <x:v>0.5</x:v>
      </x:c>
      <x:c r="C48" s="8" t="n">
        <x:v>0.25</x:v>
      </x:c>
      <x:c r="D48" s="8" t="n">
        <x:f>(1-B48)*(1-C48)</x:f>
        <x:v>0.375</x:v>
      </x:c>
      <x:c r="E48" s="12" t="n">
        <x:f>IF('Расчёт'!S144=1,'Расчёт'!E144+'Расчёт'!F144*D48-'Расчёт'!B144,"Исправить ввод")</x:f>
        <x:v>28.274429490931652</x:v>
      </x:c>
      <x:c r="F48" s="16" t="n">
        <x:f>IF('Расчёт'!S144=1,E48/'Параметры'!$B$8*100,"Исправить ввод")</x:f>
        <x:v>0.02827442949093165</x:v>
      </x:c>
      <x:c r="G48" s="8" t="n">
        <x:f>IF('Расчёт'!S144=1,IF('Расчёт'!B144=0,"n.a.",E48/'Расчёт'!B144),"Исправить ввод")</x:f>
        <x:v>0.0014066880343747094</x:v>
      </x:c>
      <x:c r="H48" s="24" t="str">
        <x:f>IF('Расчёт'!S144=1,IF('Расчёт'!K144+'Расчёт'!L144*D48+0.00000001&gt;='Расчёт'!J144,"OK","Падение"),"Исправить ввод")</x:f>
        <x:v>OK</x:v>
      </x:c>
      <x:c r="I48" s="24" t="str">
        <x:f>IF('Расчёт'!S144=1,IF('Расчёт'!N144+'Расчёт'!O144*D48+0.00000001&gt;='Расчёт'!M144,"OK","Падение"),"Исправить ввод")</x:f>
        <x:v>OK</x:v>
      </x:c>
      <x:c r="J48" s="24" t="str">
        <x:f>IF('Расчёт'!S144=1,IF('Расчёт'!H144+'Расчёт'!I144*D48+0.000001&gt;='Расчёт'!G144,"OK","Падение"),"Исправить ввод")</x:f>
        <x:v>OK</x:v>
      </x:c>
      <x:c r="K48" s="24" t="str">
        <x:f>IF('Расчёт'!S144=1,IF(AND(E48&gt;0,H48="OK",I48="OK",J48="OK"),"Проходит","Не проходит"),"Исправить ввод")</x:f>
        <x:v>Проходит</x:v>
      </x:c>
      <x:c r="L48" s="1" t="str">
        <x:v>Штрафы — допущение; эффект — расчёт</x:v>
      </x:c>
    </x:row>
    <x:row r="49" ht="24" customHeight="1">
      <x:c r="A49" s="1" t="str">
        <x:v>H5</x:v>
      </x:c>
      <x:c r="B49" s="8" t="n">
        <x:v>0.5</x:v>
      </x:c>
      <x:c r="C49" s="8" t="n">
        <x:v>0.5</x:v>
      </x:c>
      <x:c r="D49" s="8" t="n">
        <x:f>(1-B49)*(1-C49)</x:f>
        <x:v>0.25</x:v>
      </x:c>
      <x:c r="E49" s="12" t="n">
        <x:f>IF('Расчёт'!S144=1,'Расчёт'!E144+'Расчёт'!F144*D49-'Расчёт'!B144,"Исправить ввод")</x:f>
        <x:v>18.8496196606211</x:v>
      </x:c>
      <x:c r="F49" s="16" t="n">
        <x:f>IF('Расчёт'!S144=1,E49/'Параметры'!$B$8*100,"Исправить ввод")</x:f>
        <x:v>0.0188496196606211</x:v>
      </x:c>
      <x:c r="G49" s="8" t="n">
        <x:f>IF('Расчёт'!S144=1,IF('Расчёт'!B144=0,"n.a.",E49/'Расчёт'!B144),"Исправить ввод")</x:f>
        <x:v>0.0009377920229164729</x:v>
      </x:c>
      <x:c r="H49" s="24" t="str">
        <x:f>IF('Расчёт'!S144=1,IF('Расчёт'!K144+'Расчёт'!L144*D49+0.00000001&gt;='Расчёт'!J144,"OK","Падение"),"Исправить ввод")</x:f>
        <x:v>OK</x:v>
      </x:c>
      <x:c r="I49" s="24" t="str">
        <x:f>IF('Расчёт'!S144=1,IF('Расчёт'!N144+'Расчёт'!O144*D49+0.00000001&gt;='Расчёт'!M144,"OK","Падение"),"Исправить ввод")</x:f>
        <x:v>OK</x:v>
      </x:c>
      <x:c r="J49" s="24" t="str">
        <x:f>IF('Расчёт'!S144=1,IF('Расчёт'!H144+'Расчёт'!I144*D49+0.000001&gt;='Расчёт'!G144,"OK","Падение"),"Исправить ввод")</x:f>
        <x:v>OK</x:v>
      </x:c>
      <x:c r="K49" s="24" t="str">
        <x:f>IF('Расчёт'!S144=1,IF(AND(E49&gt;0,H49="OK",I49="OK",J49="OK"),"Проходит","Не проходит"),"Исправить ввод")</x:f>
        <x:v>Проходит</x:v>
      </x:c>
      <x:c r="L49" s="1" t="str">
        <x:v>Штрафы — допущение; эффект — расчёт</x:v>
      </x:c>
    </x:row>
    <x:row r="50" ht="24" customHeight="1">
      <x:c r="A50" s="1" t="str">
        <x:v>H6.1</x:v>
      </x:c>
      <x:c r="B50" s="8" t="n">
        <x:v>0</x:v>
      </x:c>
      <x:c r="C50" s="8" t="n">
        <x:v>0</x:v>
      </x:c>
      <x:c r="D50" s="8" t="n">
        <x:f>(1-B50)*(1-C50)</x:f>
        <x:v>1</x:v>
      </x:c>
      <x:c r="E50" s="12" t="n">
        <x:f>IF('Расчёт'!S145=1,'Расчёт'!E145+'Расчёт'!F145*D50-'Расчёт'!B145,"Исправить ввод")</x:f>
        <x:v>43.13048566413272</x:v>
      </x:c>
      <x:c r="F50" s="16" t="n">
        <x:f>IF('Расчёт'!S145=1,E50/'Параметры'!$B$8*100,"Исправить ввод")</x:f>
        <x:v>0.04313048566413272</x:v>
      </x:c>
      <x:c r="G50" s="8" t="n">
        <x:f>IF('Расчёт'!S145=1,IF('Расчёт'!B145=0,"n.a.",E50/'Расчёт'!B145),"Исправить ввод")</x:f>
        <x:v>0.00214579530667327</x:v>
      </x:c>
      <x:c r="H50" s="24" t="str">
        <x:f>IF('Расчёт'!S145=1,IF('Расчёт'!K145+'Расчёт'!L145*D50+0.00000001&gt;='Расчёт'!J145,"OK","Падение"),"Исправить ввод")</x:f>
        <x:v>OK</x:v>
      </x:c>
      <x:c r="I50" s="24" t="str">
        <x:f>IF('Расчёт'!S145=1,IF('Расчёт'!N145+'Расчёт'!O145*D50+0.00000001&gt;='Расчёт'!M145,"OK","Падение"),"Исправить ввод")</x:f>
        <x:v>OK</x:v>
      </x:c>
      <x:c r="J50" s="24" t="str">
        <x:f>IF('Расчёт'!S145=1,IF('Расчёт'!H145+'Расчёт'!I145*D50+0.000001&gt;='Расчёт'!G145,"OK","Падение"),"Исправить ввод")</x:f>
        <x:v>OK</x:v>
      </x:c>
      <x:c r="K50" s="24" t="str">
        <x:f>IF('Расчёт'!S145=1,IF(AND(E50&gt;0,H50="OK",I50="OK",J50="OK"),"Проходит","Не проходит"),"Исправить ввод")</x:f>
        <x:v>Проходит</x:v>
      </x:c>
      <x:c r="L50" s="1" t="str">
        <x:v>Штрафы — допущение; эффект — расчёт</x:v>
      </x:c>
    </x:row>
    <x:row r="51" ht="24" customHeight="1">
      <x:c r="A51" s="1" t="str">
        <x:v>H6.1</x:v>
      </x:c>
      <x:c r="B51" s="8" t="n">
        <x:v>0</x:v>
      </x:c>
      <x:c r="C51" s="8" t="n">
        <x:v>0.25</x:v>
      </x:c>
      <x:c r="D51" s="8" t="n">
        <x:f>(1-B51)*(1-C51)</x:f>
        <x:v>0.75</x:v>
      </x:c>
      <x:c r="E51" s="12" t="n">
        <x:f>IF('Расчёт'!S145=1,'Расчёт'!E145+'Расчёт'!F145*D51-'Расчёт'!B145,"Исправить ввод")</x:f>
        <x:v>32.34786424809863</x:v>
      </x:c>
      <x:c r="F51" s="16" t="n">
        <x:f>IF('Расчёт'!S145=1,E51/'Параметры'!$B$8*100,"Исправить ввод")</x:f>
        <x:v>0.03234786424809863</x:v>
      </x:c>
      <x:c r="G51" s="8" t="n">
        <x:f>IF('Расчёт'!S145=1,IF('Расчёт'!B145=0,"n.a.",E51/'Расчёт'!B145),"Исправить ввод")</x:f>
        <x:v>0.0016093464800049073</x:v>
      </x:c>
      <x:c r="H51" s="24" t="str">
        <x:f>IF('Расчёт'!S145=1,IF('Расчёт'!K145+'Расчёт'!L145*D51+0.00000001&gt;='Расчёт'!J145,"OK","Падение"),"Исправить ввод")</x:f>
        <x:v>OK</x:v>
      </x:c>
      <x:c r="I51" s="24" t="str">
        <x:f>IF('Расчёт'!S145=1,IF('Расчёт'!N145+'Расчёт'!O145*D51+0.00000001&gt;='Расчёт'!M145,"OK","Падение"),"Исправить ввод")</x:f>
        <x:v>OK</x:v>
      </x:c>
      <x:c r="J51" s="24" t="str">
        <x:f>IF('Расчёт'!S145=1,IF('Расчёт'!H145+'Расчёт'!I145*D51+0.000001&gt;='Расчёт'!G145,"OK","Падение"),"Исправить ввод")</x:f>
        <x:v>OK</x:v>
      </x:c>
      <x:c r="K51" s="24" t="str">
        <x:f>IF('Расчёт'!S145=1,IF(AND(E51&gt;0,H51="OK",I51="OK",J51="OK"),"Проходит","Не проходит"),"Исправить ввод")</x:f>
        <x:v>Проходит</x:v>
      </x:c>
      <x:c r="L51" s="1" t="str">
        <x:v>Штрафы — допущение; эффект — расчёт</x:v>
      </x:c>
    </x:row>
    <x:row r="52" ht="24" customHeight="1">
      <x:c r="A52" s="1" t="str">
        <x:v>H6.1</x:v>
      </x:c>
      <x:c r="B52" s="8" t="n">
        <x:v>0</x:v>
      </x:c>
      <x:c r="C52" s="8" t="n">
        <x:v>0.5</x:v>
      </x:c>
      <x:c r="D52" s="8" t="n">
        <x:f>(1-B52)*(1-C52)</x:f>
        <x:v>0.5</x:v>
      </x:c>
      <x:c r="E52" s="12" t="n">
        <x:f>IF('Расчёт'!S145=1,'Расчёт'!E145+'Расчёт'!F145*D52-'Расчёт'!B145,"Исправить ввод")</x:f>
        <x:v>21.56524283206454</x:v>
      </x:c>
      <x:c r="F52" s="16" t="n">
        <x:f>IF('Расчёт'!S145=1,E52/'Параметры'!$B$8*100,"Исправить ввод")</x:f>
        <x:v>0.02156524283206454</x:v>
      </x:c>
      <x:c r="G52" s="8" t="n">
        <x:f>IF('Расчёт'!S145=1,IF('Расчёт'!B145=0,"n.a.",E52/'Расчёт'!B145),"Исправить ввод")</x:f>
        <x:v>0.0010728976533365445</x:v>
      </x:c>
      <x:c r="H52" s="24" t="str">
        <x:f>IF('Расчёт'!S145=1,IF('Расчёт'!K145+'Расчёт'!L145*D52+0.00000001&gt;='Расчёт'!J145,"OK","Падение"),"Исправить ввод")</x:f>
        <x:v>OK</x:v>
      </x:c>
      <x:c r="I52" s="24" t="str">
        <x:f>IF('Расчёт'!S145=1,IF('Расчёт'!N145+'Расчёт'!O145*D52+0.00000001&gt;='Расчёт'!M145,"OK","Падение"),"Исправить ввод")</x:f>
        <x:v>OK</x:v>
      </x:c>
      <x:c r="J52" s="24" t="str">
        <x:f>IF('Расчёт'!S145=1,IF('Расчёт'!H145+'Расчёт'!I145*D52+0.000001&gt;='Расчёт'!G145,"OK","Падение"),"Исправить ввод")</x:f>
        <x:v>OK</x:v>
      </x:c>
      <x:c r="K52" s="24" t="str">
        <x:f>IF('Расчёт'!S145=1,IF(AND(E52&gt;0,H52="OK",I52="OK",J52="OK"),"Проходит","Не проходит"),"Исправить ввод")</x:f>
        <x:v>Проходит</x:v>
      </x:c>
      <x:c r="L52" s="1" t="str">
        <x:v>Штрафы — допущение; эффект — расчёт</x:v>
      </x:c>
    </x:row>
    <x:row r="53" ht="24" customHeight="1">
      <x:c r="A53" s="1" t="str">
        <x:v>H6.1</x:v>
      </x:c>
      <x:c r="B53" s="8" t="n">
        <x:v>0.25</x:v>
      </x:c>
      <x:c r="C53" s="8" t="n">
        <x:v>0</x:v>
      </x:c>
      <x:c r="D53" s="8" t="n">
        <x:f>(1-B53)*(1-C53)</x:f>
        <x:v>0.75</x:v>
      </x:c>
      <x:c r="E53" s="12" t="n">
        <x:f>IF('Расчёт'!S145=1,'Расчёт'!E145+'Расчёт'!F145*D53-'Расчёт'!B145,"Исправить ввод")</x:f>
        <x:v>32.34786424809863</x:v>
      </x:c>
      <x:c r="F53" s="16" t="n">
        <x:f>IF('Расчёт'!S145=1,E53/'Параметры'!$B$8*100,"Исправить ввод")</x:f>
        <x:v>0.03234786424809863</x:v>
      </x:c>
      <x:c r="G53" s="8" t="n">
        <x:f>IF('Расчёт'!S145=1,IF('Расчёт'!B145=0,"n.a.",E53/'Расчёт'!B145),"Исправить ввод")</x:f>
        <x:v>0.0016093464800049073</x:v>
      </x:c>
      <x:c r="H53" s="24" t="str">
        <x:f>IF('Расчёт'!S145=1,IF('Расчёт'!K145+'Расчёт'!L145*D53+0.00000001&gt;='Расчёт'!J145,"OK","Падение"),"Исправить ввод")</x:f>
        <x:v>OK</x:v>
      </x:c>
      <x:c r="I53" s="24" t="str">
        <x:f>IF('Расчёт'!S145=1,IF('Расчёт'!N145+'Расчёт'!O145*D53+0.00000001&gt;='Расчёт'!M145,"OK","Падение"),"Исправить ввод")</x:f>
        <x:v>OK</x:v>
      </x:c>
      <x:c r="J53" s="24" t="str">
        <x:f>IF('Расчёт'!S145=1,IF('Расчёт'!H145+'Расчёт'!I145*D53+0.000001&gt;='Расчёт'!G145,"OK","Падение"),"Исправить ввод")</x:f>
        <x:v>OK</x:v>
      </x:c>
      <x:c r="K53" s="24" t="str">
        <x:f>IF('Расчёт'!S145=1,IF(AND(E53&gt;0,H53="OK",I53="OK",J53="OK"),"Проходит","Не проходит"),"Исправить ввод")</x:f>
        <x:v>Проходит</x:v>
      </x:c>
      <x:c r="L53" s="1" t="str">
        <x:v>Штрафы — допущение; эффект — расчёт</x:v>
      </x:c>
    </x:row>
    <x:row r="54" ht="24" customHeight="1">
      <x:c r="A54" s="1" t="str">
        <x:v>H6.1</x:v>
      </x:c>
      <x:c r="B54" s="8" t="n">
        <x:v>0.25</x:v>
      </x:c>
      <x:c r="C54" s="8" t="n">
        <x:v>0.25</x:v>
      </x:c>
      <x:c r="D54" s="8" t="n">
        <x:f>(1-B54)*(1-C54)</x:f>
        <x:v>0.5625</x:v>
      </x:c>
      <x:c r="E54" s="12" t="n">
        <x:f>IF('Расчёт'!S145=1,'Расчёт'!E145+'Расчёт'!F145*D54-'Расчёт'!B145,"Исправить ввод")</x:f>
        <x:v>24.260898186072154</x:v>
      </x:c>
      <x:c r="F54" s="16" t="n">
        <x:f>IF('Расчёт'!S145=1,E54/'Параметры'!$B$8*100,"Исправить ввод")</x:f>
        <x:v>0.024260898186072154</x:v>
      </x:c>
      <x:c r="G54" s="8" t="n">
        <x:f>IF('Расчёт'!S145=1,IF('Расчёт'!B145=0,"n.a.",E54/'Расчёт'!B145),"Исправить ввод")</x:f>
        <x:v>0.00120700986000359</x:v>
      </x:c>
      <x:c r="H54" s="24" t="str">
        <x:f>IF('Расчёт'!S145=1,IF('Расчёт'!K145+'Расчёт'!L145*D54+0.00000001&gt;='Расчёт'!J145,"OK","Падение"),"Исправить ввод")</x:f>
        <x:v>OK</x:v>
      </x:c>
      <x:c r="I54" s="24" t="str">
        <x:f>IF('Расчёт'!S145=1,IF('Расчёт'!N145+'Расчёт'!O145*D54+0.00000001&gt;='Расчёт'!M145,"OK","Падение"),"Исправить ввод")</x:f>
        <x:v>OK</x:v>
      </x:c>
      <x:c r="J54" s="24" t="str">
        <x:f>IF('Расчёт'!S145=1,IF('Расчёт'!H145+'Расчёт'!I145*D54+0.000001&gt;='Расчёт'!G145,"OK","Падение"),"Исправить ввод")</x:f>
        <x:v>OK</x:v>
      </x:c>
      <x:c r="K54" s="24" t="str">
        <x:f>IF('Расчёт'!S145=1,IF(AND(E54&gt;0,H54="OK",I54="OK",J54="OK"),"Проходит","Не проходит"),"Исправить ввод")</x:f>
        <x:v>Проходит</x:v>
      </x:c>
      <x:c r="L54" s="1" t="str">
        <x:v>Штрафы — допущение; эффект — расчёт</x:v>
      </x:c>
    </x:row>
    <x:row r="55" ht="24" customHeight="1">
      <x:c r="A55" s="1" t="str">
        <x:v>H6.1</x:v>
      </x:c>
      <x:c r="B55" s="8" t="n">
        <x:v>0.25</x:v>
      </x:c>
      <x:c r="C55" s="8" t="n">
        <x:v>0.5</x:v>
      </x:c>
      <x:c r="D55" s="8" t="n">
        <x:f>(1-B55)*(1-C55)</x:f>
        <x:v>0.375</x:v>
      </x:c>
      <x:c r="E55" s="12" t="n">
        <x:f>IF('Расчёт'!S145=1,'Расчёт'!E145+'Расчёт'!F145*D55-'Расчёт'!B145,"Исправить ввод")</x:f>
        <x:v>16.173932124049315</x:v>
      </x:c>
      <x:c r="F55" s="16" t="n">
        <x:f>IF('Расчёт'!S145=1,E55/'Параметры'!$B$8*100,"Исправить ввод")</x:f>
        <x:v>0.016173932124049314</x:v>
      </x:c>
      <x:c r="G55" s="8" t="n">
        <x:f>IF('Расчёт'!S145=1,IF('Расчёт'!B145=0,"n.a.",E55/'Расчёт'!B145),"Исправить ввод")</x:f>
        <x:v>0.0008046732400024537</x:v>
      </x:c>
      <x:c r="H55" s="24" t="str">
        <x:f>IF('Расчёт'!S145=1,IF('Расчёт'!K145+'Расчёт'!L145*D55+0.00000001&gt;='Расчёт'!J145,"OK","Падение"),"Исправить ввод")</x:f>
        <x:v>OK</x:v>
      </x:c>
      <x:c r="I55" s="24" t="str">
        <x:f>IF('Расчёт'!S145=1,IF('Расчёт'!N145+'Расчёт'!O145*D55+0.00000001&gt;='Расчёт'!M145,"OK","Падение"),"Исправить ввод")</x:f>
        <x:v>OK</x:v>
      </x:c>
      <x:c r="J55" s="24" t="str">
        <x:f>IF('Расчёт'!S145=1,IF('Расчёт'!H145+'Расчёт'!I145*D55+0.000001&gt;='Расчёт'!G145,"OK","Падение"),"Исправить ввод")</x:f>
        <x:v>OK</x:v>
      </x:c>
      <x:c r="K55" s="24" t="str">
        <x:f>IF('Расчёт'!S145=1,IF(AND(E55&gt;0,H55="OK",I55="OK",J55="OK"),"Проходит","Не проходит"),"Исправить ввод")</x:f>
        <x:v>Проходит</x:v>
      </x:c>
      <x:c r="L55" s="1" t="str">
        <x:v>Штрафы — допущение; эффект — расчёт</x:v>
      </x:c>
    </x:row>
    <x:row r="56" ht="24" customHeight="1">
      <x:c r="A56" s="1" t="str">
        <x:v>H6.1</x:v>
      </x:c>
      <x:c r="B56" s="8" t="n">
        <x:v>0.5</x:v>
      </x:c>
      <x:c r="C56" s="8" t="n">
        <x:v>0</x:v>
      </x:c>
      <x:c r="D56" s="8" t="n">
        <x:f>(1-B56)*(1-C56)</x:f>
        <x:v>0.5</x:v>
      </x:c>
      <x:c r="E56" s="12" t="n">
        <x:f>IF('Расчёт'!S145=1,'Расчёт'!E145+'Расчёт'!F145*D56-'Расчёт'!B145,"Исправить ввод")</x:f>
        <x:v>21.56524283206454</x:v>
      </x:c>
      <x:c r="F56" s="16" t="n">
        <x:f>IF('Расчёт'!S145=1,E56/'Параметры'!$B$8*100,"Исправить ввод")</x:f>
        <x:v>0.02156524283206454</x:v>
      </x:c>
      <x:c r="G56" s="8" t="n">
        <x:f>IF('Расчёт'!S145=1,IF('Расчёт'!B145=0,"n.a.",E56/'Расчёт'!B145),"Исправить ввод")</x:f>
        <x:v>0.0010728976533365445</x:v>
      </x:c>
      <x:c r="H56" s="24" t="str">
        <x:f>IF('Расчёт'!S145=1,IF('Расчёт'!K145+'Расчёт'!L145*D56+0.00000001&gt;='Расчёт'!J145,"OK","Падение"),"Исправить ввод")</x:f>
        <x:v>OK</x:v>
      </x:c>
      <x:c r="I56" s="24" t="str">
        <x:f>IF('Расчёт'!S145=1,IF('Расчёт'!N145+'Расчёт'!O145*D56+0.00000001&gt;='Расчёт'!M145,"OK","Падение"),"Исправить ввод")</x:f>
        <x:v>OK</x:v>
      </x:c>
      <x:c r="J56" s="24" t="str">
        <x:f>IF('Расчёт'!S145=1,IF('Расчёт'!H145+'Расчёт'!I145*D56+0.000001&gt;='Расчёт'!G145,"OK","Падение"),"Исправить ввод")</x:f>
        <x:v>OK</x:v>
      </x:c>
      <x:c r="K56" s="24" t="str">
        <x:f>IF('Расчёт'!S145=1,IF(AND(E56&gt;0,H56="OK",I56="OK",J56="OK"),"Проходит","Не проходит"),"Исправить ввод")</x:f>
        <x:v>Проходит</x:v>
      </x:c>
      <x:c r="L56" s="1" t="str">
        <x:v>Штрафы — допущение; эффект — расчёт</x:v>
      </x:c>
    </x:row>
    <x:row r="57" ht="24" customHeight="1">
      <x:c r="A57" s="1" t="str">
        <x:v>H6.1</x:v>
      </x:c>
      <x:c r="B57" s="8" t="n">
        <x:v>0.5</x:v>
      </x:c>
      <x:c r="C57" s="8" t="n">
        <x:v>0.25</x:v>
      </x:c>
      <x:c r="D57" s="8" t="n">
        <x:f>(1-B57)*(1-C57)</x:f>
        <x:v>0.375</x:v>
      </x:c>
      <x:c r="E57" s="12" t="n">
        <x:f>IF('Расчёт'!S145=1,'Расчёт'!E145+'Расчёт'!F145*D57-'Расчёт'!B145,"Исправить ввод")</x:f>
        <x:v>16.173932124049315</x:v>
      </x:c>
      <x:c r="F57" s="16" t="n">
        <x:f>IF('Расчёт'!S145=1,E57/'Параметры'!$B$8*100,"Исправить ввод")</x:f>
        <x:v>0.016173932124049314</x:v>
      </x:c>
      <x:c r="G57" s="8" t="n">
        <x:f>IF('Расчёт'!S145=1,IF('Расчёт'!B145=0,"n.a.",E57/'Расчёт'!B145),"Исправить ввод")</x:f>
        <x:v>0.0008046732400024537</x:v>
      </x:c>
      <x:c r="H57" s="24" t="str">
        <x:f>IF('Расчёт'!S145=1,IF('Расчёт'!K145+'Расчёт'!L145*D57+0.00000001&gt;='Расчёт'!J145,"OK","Падение"),"Исправить ввод")</x:f>
        <x:v>OK</x:v>
      </x:c>
      <x:c r="I57" s="24" t="str">
        <x:f>IF('Расчёт'!S145=1,IF('Расчёт'!N145+'Расчёт'!O145*D57+0.00000001&gt;='Расчёт'!M145,"OK","Падение"),"Исправить ввод")</x:f>
        <x:v>OK</x:v>
      </x:c>
      <x:c r="J57" s="24" t="str">
        <x:f>IF('Расчёт'!S145=1,IF('Расчёт'!H145+'Расчёт'!I145*D57+0.000001&gt;='Расчёт'!G145,"OK","Падение"),"Исправить ввод")</x:f>
        <x:v>OK</x:v>
      </x:c>
      <x:c r="K57" s="24" t="str">
        <x:f>IF('Расчёт'!S145=1,IF(AND(E57&gt;0,H57="OK",I57="OK",J57="OK"),"Проходит","Не проходит"),"Исправить ввод")</x:f>
        <x:v>Проходит</x:v>
      </x:c>
      <x:c r="L57" s="1" t="str">
        <x:v>Штрафы — допущение; эффект — расчёт</x:v>
      </x:c>
    </x:row>
    <x:row r="58" ht="24" customHeight="1">
      <x:c r="A58" s="1" t="str">
        <x:v>H6.1</x:v>
      </x:c>
      <x:c r="B58" s="8" t="n">
        <x:v>0.5</x:v>
      </x:c>
      <x:c r="C58" s="8" t="n">
        <x:v>0.5</x:v>
      </x:c>
      <x:c r="D58" s="8" t="n">
        <x:f>(1-B58)*(1-C58)</x:f>
        <x:v>0.25</x:v>
      </x:c>
      <x:c r="E58" s="12" t="n">
        <x:f>IF('Расчёт'!S145=1,'Расчёт'!E145+'Расчёт'!F145*D58-'Расчёт'!B145,"Исправить ввод")</x:f>
        <x:v>10.78262141603409</x:v>
      </x:c>
      <x:c r="F58" s="16" t="n">
        <x:f>IF('Расчёт'!S145=1,E58/'Параметры'!$B$8*100,"Исправить ввод")</x:f>
        <x:v>0.010782621416034088</x:v>
      </x:c>
      <x:c r="G58" s="8" t="n">
        <x:f>IF('Расчёт'!S145=1,IF('Расчёт'!B145=0,"n.a.",E58/'Расчёт'!B145),"Исправить ввод")</x:f>
        <x:v>0.0005364488266683628</x:v>
      </x:c>
      <x:c r="H58" s="24" t="str">
        <x:f>IF('Расчёт'!S145=1,IF('Расчёт'!K145+'Расчёт'!L145*D58+0.00000001&gt;='Расчёт'!J145,"OK","Падение"),"Исправить ввод")</x:f>
        <x:v>OK</x:v>
      </x:c>
      <x:c r="I58" s="24" t="str">
        <x:f>IF('Расчёт'!S145=1,IF('Расчёт'!N145+'Расчёт'!O145*D58+0.00000001&gt;='Расчёт'!M145,"OK","Падение"),"Исправить ввод")</x:f>
        <x:v>OK</x:v>
      </x:c>
      <x:c r="J58" s="24" t="str">
        <x:f>IF('Расчёт'!S145=1,IF('Расчёт'!H145+'Расчёт'!I145*D58+0.000001&gt;='Расчёт'!G145,"OK","Падение"),"Исправить ввод")</x:f>
        <x:v>OK</x:v>
      </x:c>
      <x:c r="K58" s="24" t="str">
        <x:f>IF('Расчёт'!S145=1,IF(AND(E58&gt;0,H58="OK",I58="OK",J58="OK"),"Проходит","Не проходит"),"Исправить ввод")</x:f>
        <x:v>Проходит</x:v>
      </x:c>
      <x:c r="L58" s="1" t="str">
        <x:v>Штрафы — допущение; эффект — расчёт</x:v>
      </x:c>
    </x:row>
    <x:row r="59" ht="24" customHeight="1">
      <x:c r="A59" s="1" t="str">
        <x:v>H6.2</x:v>
      </x:c>
      <x:c r="B59" s="8" t="n">
        <x:v>0</x:v>
      </x:c>
      <x:c r="C59" s="8" t="n">
        <x:v>0</x:v>
      </x:c>
      <x:c r="D59" s="8" t="n">
        <x:f>(1-B59)*(1-C59)</x:f>
        <x:v>1</x:v>
      </x:c>
      <x:c r="E59" s="12" t="n">
        <x:f>IF('Расчёт'!S146=1,'Расчёт'!E146+'Расчёт'!F146*D59-'Расчёт'!B146,"Исправить ввод")</x:f>
        <x:v>43.13048566413272</x:v>
      </x:c>
      <x:c r="F59" s="16" t="n">
        <x:f>IF('Расчёт'!S146=1,E59/'Параметры'!$B$8*100,"Исправить ввод")</x:f>
        <x:v>0.04313048566413272</x:v>
      </x:c>
      <x:c r="G59" s="8" t="n">
        <x:f>IF('Расчёт'!S146=1,IF('Расчёт'!B146=0,"n.a.",E59/'Расчёт'!B146),"Исправить ввод")</x:f>
        <x:v>0.00214579530667327</x:v>
      </x:c>
      <x:c r="H59" s="24" t="str">
        <x:f>IF('Расчёт'!S146=1,IF('Расчёт'!K146+'Расчёт'!L146*D59+0.00000001&gt;='Расчёт'!J146,"OK","Падение"),"Исправить ввод")</x:f>
        <x:v>OK</x:v>
      </x:c>
      <x:c r="I59" s="24" t="str">
        <x:f>IF('Расчёт'!S146=1,IF('Расчёт'!N146+'Расчёт'!O146*D59+0.00000001&gt;='Расчёт'!M146,"OK","Падение"),"Исправить ввод")</x:f>
        <x:v>OK</x:v>
      </x:c>
      <x:c r="J59" s="24" t="str">
        <x:f>IF('Расчёт'!S146=1,IF('Расчёт'!H146+'Расчёт'!I146*D59+0.000001&gt;='Расчёт'!G146,"OK","Падение"),"Исправить ввод")</x:f>
        <x:v>OK</x:v>
      </x:c>
      <x:c r="K59" s="24" t="str">
        <x:f>IF('Расчёт'!S146=1,IF(AND(E59&gt;0,H59="OK",I59="OK",J59="OK"),"Проходит","Не проходит"),"Исправить ввод")</x:f>
        <x:v>Проходит</x:v>
      </x:c>
      <x:c r="L59" s="1" t="str">
        <x:v>Штрафы — допущение; эффект — расчёт</x:v>
      </x:c>
    </x:row>
    <x:row r="60" ht="24" customHeight="1">
      <x:c r="A60" s="1" t="str">
        <x:v>H6.2</x:v>
      </x:c>
      <x:c r="B60" s="8" t="n">
        <x:v>0</x:v>
      </x:c>
      <x:c r="C60" s="8" t="n">
        <x:v>0.25</x:v>
      </x:c>
      <x:c r="D60" s="8" t="n">
        <x:f>(1-B60)*(1-C60)</x:f>
        <x:v>0.75</x:v>
      </x:c>
      <x:c r="E60" s="12" t="n">
        <x:f>IF('Расчёт'!S146=1,'Расчёт'!E146+'Расчёт'!F146*D60-'Расчёт'!B146,"Исправить ввод")</x:f>
        <x:v>32.34786424809863</x:v>
      </x:c>
      <x:c r="F60" s="16" t="n">
        <x:f>IF('Расчёт'!S146=1,E60/'Параметры'!$B$8*100,"Исправить ввод")</x:f>
        <x:v>0.03234786424809863</x:v>
      </x:c>
      <x:c r="G60" s="8" t="n">
        <x:f>IF('Расчёт'!S146=1,IF('Расчёт'!B146=0,"n.a.",E60/'Расчёт'!B146),"Исправить ввод")</x:f>
        <x:v>0.0016093464800049073</x:v>
      </x:c>
      <x:c r="H60" s="24" t="str">
        <x:f>IF('Расчёт'!S146=1,IF('Расчёт'!K146+'Расчёт'!L146*D60+0.00000001&gt;='Расчёт'!J146,"OK","Падение"),"Исправить ввод")</x:f>
        <x:v>OK</x:v>
      </x:c>
      <x:c r="I60" s="24" t="str">
        <x:f>IF('Расчёт'!S146=1,IF('Расчёт'!N146+'Расчёт'!O146*D60+0.00000001&gt;='Расчёт'!M146,"OK","Падение"),"Исправить ввод")</x:f>
        <x:v>OK</x:v>
      </x:c>
      <x:c r="J60" s="24" t="str">
        <x:f>IF('Расчёт'!S146=1,IF('Расчёт'!H146+'Расчёт'!I146*D60+0.000001&gt;='Расчёт'!G146,"OK","Падение"),"Исправить ввод")</x:f>
        <x:v>OK</x:v>
      </x:c>
      <x:c r="K60" s="24" t="str">
        <x:f>IF('Расчёт'!S146=1,IF(AND(E60&gt;0,H60="OK",I60="OK",J60="OK"),"Проходит","Не проходит"),"Исправить ввод")</x:f>
        <x:v>Проходит</x:v>
      </x:c>
      <x:c r="L60" s="1" t="str">
        <x:v>Штрафы — допущение; эффект — расчёт</x:v>
      </x:c>
    </x:row>
    <x:row r="61" ht="24" customHeight="1">
      <x:c r="A61" s="1" t="str">
        <x:v>H6.2</x:v>
      </x:c>
      <x:c r="B61" s="8" t="n">
        <x:v>0</x:v>
      </x:c>
      <x:c r="C61" s="8" t="n">
        <x:v>0.5</x:v>
      </x:c>
      <x:c r="D61" s="8" t="n">
        <x:f>(1-B61)*(1-C61)</x:f>
        <x:v>0.5</x:v>
      </x:c>
      <x:c r="E61" s="12" t="n">
        <x:f>IF('Расчёт'!S146=1,'Расчёт'!E146+'Расчёт'!F146*D61-'Расчёт'!B146,"Исправить ввод")</x:f>
        <x:v>21.56524283206454</x:v>
      </x:c>
      <x:c r="F61" s="16" t="n">
        <x:f>IF('Расчёт'!S146=1,E61/'Параметры'!$B$8*100,"Исправить ввод")</x:f>
        <x:v>0.02156524283206454</x:v>
      </x:c>
      <x:c r="G61" s="8" t="n">
        <x:f>IF('Расчёт'!S146=1,IF('Расчёт'!B146=0,"n.a.",E61/'Расчёт'!B146),"Исправить ввод")</x:f>
        <x:v>0.0010728976533365445</x:v>
      </x:c>
      <x:c r="H61" s="24" t="str">
        <x:f>IF('Расчёт'!S146=1,IF('Расчёт'!K146+'Расчёт'!L146*D61+0.00000001&gt;='Расчёт'!J146,"OK","Падение"),"Исправить ввод")</x:f>
        <x:v>OK</x:v>
      </x:c>
      <x:c r="I61" s="24" t="str">
        <x:f>IF('Расчёт'!S146=1,IF('Расчёт'!N146+'Расчёт'!O146*D61+0.00000001&gt;='Расчёт'!M146,"OK","Падение"),"Исправить ввод")</x:f>
        <x:v>OK</x:v>
      </x:c>
      <x:c r="J61" s="24" t="str">
        <x:f>IF('Расчёт'!S146=1,IF('Расчёт'!H146+'Расчёт'!I146*D61+0.000001&gt;='Расчёт'!G146,"OK","Падение"),"Исправить ввод")</x:f>
        <x:v>OK</x:v>
      </x:c>
      <x:c r="K61" s="24" t="str">
        <x:f>IF('Расчёт'!S146=1,IF(AND(E61&gt;0,H61="OK",I61="OK",J61="OK"),"Проходит","Не проходит"),"Исправить ввод")</x:f>
        <x:v>Проходит</x:v>
      </x:c>
      <x:c r="L61" s="1" t="str">
        <x:v>Штрафы — допущение; эффект — расчёт</x:v>
      </x:c>
    </x:row>
    <x:row r="62" ht="24" customHeight="1">
      <x:c r="A62" s="1" t="str">
        <x:v>H6.2</x:v>
      </x:c>
      <x:c r="B62" s="8" t="n">
        <x:v>0.25</x:v>
      </x:c>
      <x:c r="C62" s="8" t="n">
        <x:v>0</x:v>
      </x:c>
      <x:c r="D62" s="8" t="n">
        <x:f>(1-B62)*(1-C62)</x:f>
        <x:v>0.75</x:v>
      </x:c>
      <x:c r="E62" s="12" t="n">
        <x:f>IF('Расчёт'!S146=1,'Расчёт'!E146+'Расчёт'!F146*D62-'Расчёт'!B146,"Исправить ввод")</x:f>
        <x:v>32.34786424809863</x:v>
      </x:c>
      <x:c r="F62" s="16" t="n">
        <x:f>IF('Расчёт'!S146=1,E62/'Параметры'!$B$8*100,"Исправить ввод")</x:f>
        <x:v>0.03234786424809863</x:v>
      </x:c>
      <x:c r="G62" s="8" t="n">
        <x:f>IF('Расчёт'!S146=1,IF('Расчёт'!B146=0,"n.a.",E62/'Расчёт'!B146),"Исправить ввод")</x:f>
        <x:v>0.0016093464800049073</x:v>
      </x:c>
      <x:c r="H62" s="24" t="str">
        <x:f>IF('Расчёт'!S146=1,IF('Расчёт'!K146+'Расчёт'!L146*D62+0.00000001&gt;='Расчёт'!J146,"OK","Падение"),"Исправить ввод")</x:f>
        <x:v>OK</x:v>
      </x:c>
      <x:c r="I62" s="24" t="str">
        <x:f>IF('Расчёт'!S146=1,IF('Расчёт'!N146+'Расчёт'!O146*D62+0.00000001&gt;='Расчёт'!M146,"OK","Падение"),"Исправить ввод")</x:f>
        <x:v>OK</x:v>
      </x:c>
      <x:c r="J62" s="24" t="str">
        <x:f>IF('Расчёт'!S146=1,IF('Расчёт'!H146+'Расчёт'!I146*D62+0.000001&gt;='Расчёт'!G146,"OK","Падение"),"Исправить ввод")</x:f>
        <x:v>OK</x:v>
      </x:c>
      <x:c r="K62" s="24" t="str">
        <x:f>IF('Расчёт'!S146=1,IF(AND(E62&gt;0,H62="OK",I62="OK",J62="OK"),"Проходит","Не проходит"),"Исправить ввод")</x:f>
        <x:v>Проходит</x:v>
      </x:c>
      <x:c r="L62" s="1" t="str">
        <x:v>Штрафы — допущение; эффект — расчёт</x:v>
      </x:c>
    </x:row>
    <x:row r="63" ht="24" customHeight="1">
      <x:c r="A63" s="1" t="str">
        <x:v>H6.2</x:v>
      </x:c>
      <x:c r="B63" s="8" t="n">
        <x:v>0.25</x:v>
      </x:c>
      <x:c r="C63" s="8" t="n">
        <x:v>0.25</x:v>
      </x:c>
      <x:c r="D63" s="8" t="n">
        <x:f>(1-B63)*(1-C63)</x:f>
        <x:v>0.5625</x:v>
      </x:c>
      <x:c r="E63" s="12" t="n">
        <x:f>IF('Расчёт'!S146=1,'Расчёт'!E146+'Расчёт'!F146*D63-'Расчёт'!B146,"Исправить ввод")</x:f>
        <x:v>24.260898186072154</x:v>
      </x:c>
      <x:c r="F63" s="16" t="n">
        <x:f>IF('Расчёт'!S146=1,E63/'Параметры'!$B$8*100,"Исправить ввод")</x:f>
        <x:v>0.024260898186072154</x:v>
      </x:c>
      <x:c r="G63" s="8" t="n">
        <x:f>IF('Расчёт'!S146=1,IF('Расчёт'!B146=0,"n.a.",E63/'Расчёт'!B146),"Исправить ввод")</x:f>
        <x:v>0.00120700986000359</x:v>
      </x:c>
      <x:c r="H63" s="24" t="str">
        <x:f>IF('Расчёт'!S146=1,IF('Расчёт'!K146+'Расчёт'!L146*D63+0.00000001&gt;='Расчёт'!J146,"OK","Падение"),"Исправить ввод")</x:f>
        <x:v>OK</x:v>
      </x:c>
      <x:c r="I63" s="24" t="str">
        <x:f>IF('Расчёт'!S146=1,IF('Расчёт'!N146+'Расчёт'!O146*D63+0.00000001&gt;='Расчёт'!M146,"OK","Падение"),"Исправить ввод")</x:f>
        <x:v>OK</x:v>
      </x:c>
      <x:c r="J63" s="24" t="str">
        <x:f>IF('Расчёт'!S146=1,IF('Расчёт'!H146+'Расчёт'!I146*D63+0.000001&gt;='Расчёт'!G146,"OK","Падение"),"Исправить ввод")</x:f>
        <x:v>OK</x:v>
      </x:c>
      <x:c r="K63" s="24" t="str">
        <x:f>IF('Расчёт'!S146=1,IF(AND(E63&gt;0,H63="OK",I63="OK",J63="OK"),"Проходит","Не проходит"),"Исправить ввод")</x:f>
        <x:v>Проходит</x:v>
      </x:c>
      <x:c r="L63" s="1" t="str">
        <x:v>Штрафы — допущение; эффект — расчёт</x:v>
      </x:c>
    </x:row>
    <x:row r="64" ht="24" customHeight="1">
      <x:c r="A64" s="1" t="str">
        <x:v>H6.2</x:v>
      </x:c>
      <x:c r="B64" s="8" t="n">
        <x:v>0.25</x:v>
      </x:c>
      <x:c r="C64" s="8" t="n">
        <x:v>0.5</x:v>
      </x:c>
      <x:c r="D64" s="8" t="n">
        <x:f>(1-B64)*(1-C64)</x:f>
        <x:v>0.375</x:v>
      </x:c>
      <x:c r="E64" s="12" t="n">
        <x:f>IF('Расчёт'!S146=1,'Расчёт'!E146+'Расчёт'!F146*D64-'Расчёт'!B146,"Исправить ввод")</x:f>
        <x:v>16.173932124049315</x:v>
      </x:c>
      <x:c r="F64" s="16" t="n">
        <x:f>IF('Расчёт'!S146=1,E64/'Параметры'!$B$8*100,"Исправить ввод")</x:f>
        <x:v>0.016173932124049314</x:v>
      </x:c>
      <x:c r="G64" s="8" t="n">
        <x:f>IF('Расчёт'!S146=1,IF('Расчёт'!B146=0,"n.a.",E64/'Расчёт'!B146),"Исправить ввод")</x:f>
        <x:v>0.0008046732400024537</x:v>
      </x:c>
      <x:c r="H64" s="24" t="str">
        <x:f>IF('Расчёт'!S146=1,IF('Расчёт'!K146+'Расчёт'!L146*D64+0.00000001&gt;='Расчёт'!J146,"OK","Падение"),"Исправить ввод")</x:f>
        <x:v>OK</x:v>
      </x:c>
      <x:c r="I64" s="24" t="str">
        <x:f>IF('Расчёт'!S146=1,IF('Расчёт'!N146+'Расчёт'!O146*D64+0.00000001&gt;='Расчёт'!M146,"OK","Падение"),"Исправить ввод")</x:f>
        <x:v>OK</x:v>
      </x:c>
      <x:c r="J64" s="24" t="str">
        <x:f>IF('Расчёт'!S146=1,IF('Расчёт'!H146+'Расчёт'!I146*D64+0.000001&gt;='Расчёт'!G146,"OK","Падение"),"Исправить ввод")</x:f>
        <x:v>OK</x:v>
      </x:c>
      <x:c r="K64" s="24" t="str">
        <x:f>IF('Расчёт'!S146=1,IF(AND(E64&gt;0,H64="OK",I64="OK",J64="OK"),"Проходит","Не проходит"),"Исправить ввод")</x:f>
        <x:v>Проходит</x:v>
      </x:c>
      <x:c r="L64" s="1" t="str">
        <x:v>Штрафы — допущение; эффект — расчёт</x:v>
      </x:c>
    </x:row>
    <x:row r="65" ht="24" customHeight="1">
      <x:c r="A65" s="1" t="str">
        <x:v>H6.2</x:v>
      </x:c>
      <x:c r="B65" s="8" t="n">
        <x:v>0.5</x:v>
      </x:c>
      <x:c r="C65" s="8" t="n">
        <x:v>0</x:v>
      </x:c>
      <x:c r="D65" s="8" t="n">
        <x:f>(1-B65)*(1-C65)</x:f>
        <x:v>0.5</x:v>
      </x:c>
      <x:c r="E65" s="12" t="n">
        <x:f>IF('Расчёт'!S146=1,'Расчёт'!E146+'Расчёт'!F146*D65-'Расчёт'!B146,"Исправить ввод")</x:f>
        <x:v>21.56524283206454</x:v>
      </x:c>
      <x:c r="F65" s="16" t="n">
        <x:f>IF('Расчёт'!S146=1,E65/'Параметры'!$B$8*100,"Исправить ввод")</x:f>
        <x:v>0.02156524283206454</x:v>
      </x:c>
      <x:c r="G65" s="8" t="n">
        <x:f>IF('Расчёт'!S146=1,IF('Расчёт'!B146=0,"n.a.",E65/'Расчёт'!B146),"Исправить ввод")</x:f>
        <x:v>0.0010728976533365445</x:v>
      </x:c>
      <x:c r="H65" s="24" t="str">
        <x:f>IF('Расчёт'!S146=1,IF('Расчёт'!K146+'Расчёт'!L146*D65+0.00000001&gt;='Расчёт'!J146,"OK","Падение"),"Исправить ввод")</x:f>
        <x:v>OK</x:v>
      </x:c>
      <x:c r="I65" s="24" t="str">
        <x:f>IF('Расчёт'!S146=1,IF('Расчёт'!N146+'Расчёт'!O146*D65+0.00000001&gt;='Расчёт'!M146,"OK","Падение"),"Исправить ввод")</x:f>
        <x:v>OK</x:v>
      </x:c>
      <x:c r="J65" s="24" t="str">
        <x:f>IF('Расчёт'!S146=1,IF('Расчёт'!H146+'Расчёт'!I146*D65+0.000001&gt;='Расчёт'!G146,"OK","Падение"),"Исправить ввод")</x:f>
        <x:v>OK</x:v>
      </x:c>
      <x:c r="K65" s="24" t="str">
        <x:f>IF('Расчёт'!S146=1,IF(AND(E65&gt;0,H65="OK",I65="OK",J65="OK"),"Проходит","Не проходит"),"Исправить ввод")</x:f>
        <x:v>Проходит</x:v>
      </x:c>
      <x:c r="L65" s="1" t="str">
        <x:v>Штрафы — допущение; эффект — расчёт</x:v>
      </x:c>
    </x:row>
    <x:row r="66" ht="24" customHeight="1">
      <x:c r="A66" s="1" t="str">
        <x:v>H6.2</x:v>
      </x:c>
      <x:c r="B66" s="8" t="n">
        <x:v>0.5</x:v>
      </x:c>
      <x:c r="C66" s="8" t="n">
        <x:v>0.25</x:v>
      </x:c>
      <x:c r="D66" s="8" t="n">
        <x:f>(1-B66)*(1-C66)</x:f>
        <x:v>0.375</x:v>
      </x:c>
      <x:c r="E66" s="12" t="n">
        <x:f>IF('Расчёт'!S146=1,'Расчёт'!E146+'Расчёт'!F146*D66-'Расчёт'!B146,"Исправить ввод")</x:f>
        <x:v>16.173932124049315</x:v>
      </x:c>
      <x:c r="F66" s="16" t="n">
        <x:f>IF('Расчёт'!S146=1,E66/'Параметры'!$B$8*100,"Исправить ввод")</x:f>
        <x:v>0.016173932124049314</x:v>
      </x:c>
      <x:c r="G66" s="8" t="n">
        <x:f>IF('Расчёт'!S146=1,IF('Расчёт'!B146=0,"n.a.",E66/'Расчёт'!B146),"Исправить ввод")</x:f>
        <x:v>0.0008046732400024537</x:v>
      </x:c>
      <x:c r="H66" s="24" t="str">
        <x:f>IF('Расчёт'!S146=1,IF('Расчёт'!K146+'Расчёт'!L146*D66+0.00000001&gt;='Расчёт'!J146,"OK","Падение"),"Исправить ввод")</x:f>
        <x:v>OK</x:v>
      </x:c>
      <x:c r="I66" s="24" t="str">
        <x:f>IF('Расчёт'!S146=1,IF('Расчёт'!N146+'Расчёт'!O146*D66+0.00000001&gt;='Расчёт'!M146,"OK","Падение"),"Исправить ввод")</x:f>
        <x:v>OK</x:v>
      </x:c>
      <x:c r="J66" s="24" t="str">
        <x:f>IF('Расчёт'!S146=1,IF('Расчёт'!H146+'Расчёт'!I146*D66+0.000001&gt;='Расчёт'!G146,"OK","Падение"),"Исправить ввод")</x:f>
        <x:v>OK</x:v>
      </x:c>
      <x:c r="K66" s="24" t="str">
        <x:f>IF('Расчёт'!S146=1,IF(AND(E66&gt;0,H66="OK",I66="OK",J66="OK"),"Проходит","Не проходит"),"Исправить ввод")</x:f>
        <x:v>Проходит</x:v>
      </x:c>
      <x:c r="L66" s="1" t="str">
        <x:v>Штрафы — допущение; эффект — расчёт</x:v>
      </x:c>
    </x:row>
    <x:row r="67" ht="24" customHeight="1">
      <x:c r="A67" s="1" t="str">
        <x:v>H6.2</x:v>
      </x:c>
      <x:c r="B67" s="8" t="n">
        <x:v>0.5</x:v>
      </x:c>
      <x:c r="C67" s="8" t="n">
        <x:v>0.5</x:v>
      </x:c>
      <x:c r="D67" s="8" t="n">
        <x:f>(1-B67)*(1-C67)</x:f>
        <x:v>0.25</x:v>
      </x:c>
      <x:c r="E67" s="12" t="n">
        <x:f>IF('Расчёт'!S146=1,'Расчёт'!E146+'Расчёт'!F146*D67-'Расчёт'!B146,"Исправить ввод")</x:f>
        <x:v>10.78262141603409</x:v>
      </x:c>
      <x:c r="F67" s="16" t="n">
        <x:f>IF('Расчёт'!S146=1,E67/'Параметры'!$B$8*100,"Исправить ввод")</x:f>
        <x:v>0.010782621416034088</x:v>
      </x:c>
      <x:c r="G67" s="8" t="n">
        <x:f>IF('Расчёт'!S146=1,IF('Расчёт'!B146=0,"n.a.",E67/'Расчёт'!B146),"Исправить ввод")</x:f>
        <x:v>0.0005364488266683628</x:v>
      </x:c>
      <x:c r="H67" s="24" t="str">
        <x:f>IF('Расчёт'!S146=1,IF('Расчёт'!K146+'Расчёт'!L146*D67+0.00000001&gt;='Расчёт'!J146,"OK","Падение"),"Исправить ввод")</x:f>
        <x:v>OK</x:v>
      </x:c>
      <x:c r="I67" s="24" t="str">
        <x:f>IF('Расчёт'!S146=1,IF('Расчёт'!N146+'Расчёт'!O146*D67+0.00000001&gt;='Расчёт'!M146,"OK","Падение"),"Исправить ввод")</x:f>
        <x:v>OK</x:v>
      </x:c>
      <x:c r="J67" s="24" t="str">
        <x:f>IF('Расчёт'!S146=1,IF('Расчёт'!H146+'Расчёт'!I146*D67+0.000001&gt;='Расчёт'!G146,"OK","Падение"),"Исправить ввод")</x:f>
        <x:v>OK</x:v>
      </x:c>
      <x:c r="K67" s="24" t="str">
        <x:f>IF('Расчёт'!S146=1,IF(AND(E67&gt;0,H67="OK",I67="OK",J67="OK"),"Проходит","Не проходит"),"Исправить ввод")</x:f>
        <x:v>Проходит</x:v>
      </x:c>
      <x:c r="L67" s="1" t="str">
        <x:v>Штрафы — допущение; эффект — расчёт</x:v>
      </x:c>
    </x:row>
    <x:row r="68" ht="24" customHeight="1">
      <x:c r="A68" s="1" t="str">
        <x:v>H6.3</x:v>
      </x:c>
      <x:c r="B68" s="8" t="n">
        <x:v>0</x:v>
      </x:c>
      <x:c r="C68" s="8" t="n">
        <x:v>0</x:v>
      </x:c>
      <x:c r="D68" s="8" t="n">
        <x:f>(1-B68)*(1-C68)</x:f>
        <x:v>1</x:v>
      </x:c>
      <x:c r="E68" s="12" t="n">
        <x:f>IF('Расчёт'!S147=1,'Расчёт'!E147+'Расчёт'!F147*D68-'Расчёт'!B147,"Исправить ввод")</x:f>
        <x:v>43.13048566413272</x:v>
      </x:c>
      <x:c r="F68" s="16" t="n">
        <x:f>IF('Расчёт'!S147=1,E68/'Параметры'!$B$8*100,"Исправить ввод")</x:f>
        <x:v>0.04313048566413272</x:v>
      </x:c>
      <x:c r="G68" s="8" t="n">
        <x:f>IF('Расчёт'!S147=1,IF('Расчёт'!B147=0,"n.a.",E68/'Расчёт'!B147),"Исправить ввод")</x:f>
        <x:v>0.00214579530667327</x:v>
      </x:c>
      <x:c r="H68" s="24" t="str">
        <x:f>IF('Расчёт'!S147=1,IF('Расчёт'!K147+'Расчёт'!L147*D68+0.00000001&gt;='Расчёт'!J147,"OK","Падение"),"Исправить ввод")</x:f>
        <x:v>OK</x:v>
      </x:c>
      <x:c r="I68" s="24" t="str">
        <x:f>IF('Расчёт'!S147=1,IF('Расчёт'!N147+'Расчёт'!O147*D68+0.00000001&gt;='Расчёт'!M147,"OK","Падение"),"Исправить ввод")</x:f>
        <x:v>OK</x:v>
      </x:c>
      <x:c r="J68" s="24" t="str">
        <x:f>IF('Расчёт'!S147=1,IF('Расчёт'!H147+'Расчёт'!I147*D68+0.000001&gt;='Расчёт'!G147,"OK","Падение"),"Исправить ввод")</x:f>
        <x:v>OK</x:v>
      </x:c>
      <x:c r="K68" s="24" t="str">
        <x:f>IF('Расчёт'!S147=1,IF(AND(E68&gt;0,H68="OK",I68="OK",J68="OK"),"Проходит","Не проходит"),"Исправить ввод")</x:f>
        <x:v>Проходит</x:v>
      </x:c>
      <x:c r="L68" s="1" t="str">
        <x:v>Штрафы — допущение; эффект — расчёт</x:v>
      </x:c>
    </x:row>
    <x:row r="69" ht="24" customHeight="1">
      <x:c r="A69" s="1" t="str">
        <x:v>H6.3</x:v>
      </x:c>
      <x:c r="B69" s="8" t="n">
        <x:v>0</x:v>
      </x:c>
      <x:c r="C69" s="8" t="n">
        <x:v>0.25</x:v>
      </x:c>
      <x:c r="D69" s="8" t="n">
        <x:f>(1-B69)*(1-C69)</x:f>
        <x:v>0.75</x:v>
      </x:c>
      <x:c r="E69" s="12" t="n">
        <x:f>IF('Расчёт'!S147=1,'Расчёт'!E147+'Расчёт'!F147*D69-'Расчёт'!B147,"Исправить ввод")</x:f>
        <x:v>32.34786424809863</x:v>
      </x:c>
      <x:c r="F69" s="16" t="n">
        <x:f>IF('Расчёт'!S147=1,E69/'Параметры'!$B$8*100,"Исправить ввод")</x:f>
        <x:v>0.03234786424809863</x:v>
      </x:c>
      <x:c r="G69" s="8" t="n">
        <x:f>IF('Расчёт'!S147=1,IF('Расчёт'!B147=0,"n.a.",E69/'Расчёт'!B147),"Исправить ввод")</x:f>
        <x:v>0.0016093464800049073</x:v>
      </x:c>
      <x:c r="H69" s="24" t="str">
        <x:f>IF('Расчёт'!S147=1,IF('Расчёт'!K147+'Расчёт'!L147*D69+0.00000001&gt;='Расчёт'!J147,"OK","Падение"),"Исправить ввод")</x:f>
        <x:v>OK</x:v>
      </x:c>
      <x:c r="I69" s="24" t="str">
        <x:f>IF('Расчёт'!S147=1,IF('Расчёт'!N147+'Расчёт'!O147*D69+0.00000001&gt;='Расчёт'!M147,"OK","Падение"),"Исправить ввод")</x:f>
        <x:v>OK</x:v>
      </x:c>
      <x:c r="J69" s="24" t="str">
        <x:f>IF('Расчёт'!S147=1,IF('Расчёт'!H147+'Расчёт'!I147*D69+0.000001&gt;='Расчёт'!G147,"OK","Падение"),"Исправить ввод")</x:f>
        <x:v>OK</x:v>
      </x:c>
      <x:c r="K69" s="24" t="str">
        <x:f>IF('Расчёт'!S147=1,IF(AND(E69&gt;0,H69="OK",I69="OK",J69="OK"),"Проходит","Не проходит"),"Исправить ввод")</x:f>
        <x:v>Проходит</x:v>
      </x:c>
      <x:c r="L69" s="1" t="str">
        <x:v>Штрафы — допущение; эффект — расчёт</x:v>
      </x:c>
    </x:row>
    <x:row r="70" ht="24" customHeight="1">
      <x:c r="A70" s="1" t="str">
        <x:v>H6.3</x:v>
      </x:c>
      <x:c r="B70" s="8" t="n">
        <x:v>0</x:v>
      </x:c>
      <x:c r="C70" s="8" t="n">
        <x:v>0.5</x:v>
      </x:c>
      <x:c r="D70" s="8" t="n">
        <x:f>(1-B70)*(1-C70)</x:f>
        <x:v>0.5</x:v>
      </x:c>
      <x:c r="E70" s="12" t="n">
        <x:f>IF('Расчёт'!S147=1,'Расчёт'!E147+'Расчёт'!F147*D70-'Расчёт'!B147,"Исправить ввод")</x:f>
        <x:v>21.56524283206454</x:v>
      </x:c>
      <x:c r="F70" s="16" t="n">
        <x:f>IF('Расчёт'!S147=1,E70/'Параметры'!$B$8*100,"Исправить ввод")</x:f>
        <x:v>0.02156524283206454</x:v>
      </x:c>
      <x:c r="G70" s="8" t="n">
        <x:f>IF('Расчёт'!S147=1,IF('Расчёт'!B147=0,"n.a.",E70/'Расчёт'!B147),"Исправить ввод")</x:f>
        <x:v>0.0010728976533365445</x:v>
      </x:c>
      <x:c r="H70" s="24" t="str">
        <x:f>IF('Расчёт'!S147=1,IF('Расчёт'!K147+'Расчёт'!L147*D70+0.00000001&gt;='Расчёт'!J147,"OK","Падение"),"Исправить ввод")</x:f>
        <x:v>OK</x:v>
      </x:c>
      <x:c r="I70" s="24" t="str">
        <x:f>IF('Расчёт'!S147=1,IF('Расчёт'!N147+'Расчёт'!O147*D70+0.00000001&gt;='Расчёт'!M147,"OK","Падение"),"Исправить ввод")</x:f>
        <x:v>OK</x:v>
      </x:c>
      <x:c r="J70" s="24" t="str">
        <x:f>IF('Расчёт'!S147=1,IF('Расчёт'!H147+'Расчёт'!I147*D70+0.000001&gt;='Расчёт'!G147,"OK","Падение"),"Исправить ввод")</x:f>
        <x:v>OK</x:v>
      </x:c>
      <x:c r="K70" s="24" t="str">
        <x:f>IF('Расчёт'!S147=1,IF(AND(E70&gt;0,H70="OK",I70="OK",J70="OK"),"Проходит","Не проходит"),"Исправить ввод")</x:f>
        <x:v>Проходит</x:v>
      </x:c>
      <x:c r="L70" s="1" t="str">
        <x:v>Штрафы — допущение; эффект — расчёт</x:v>
      </x:c>
    </x:row>
    <x:row r="71" ht="24" customHeight="1">
      <x:c r="A71" s="1" t="str">
        <x:v>H6.3</x:v>
      </x:c>
      <x:c r="B71" s="8" t="n">
        <x:v>0.25</x:v>
      </x:c>
      <x:c r="C71" s="8" t="n">
        <x:v>0</x:v>
      </x:c>
      <x:c r="D71" s="8" t="n">
        <x:f>(1-B71)*(1-C71)</x:f>
        <x:v>0.75</x:v>
      </x:c>
      <x:c r="E71" s="12" t="n">
        <x:f>IF('Расчёт'!S147=1,'Расчёт'!E147+'Расчёт'!F147*D71-'Расчёт'!B147,"Исправить ввод")</x:f>
        <x:v>32.34786424809863</x:v>
      </x:c>
      <x:c r="F71" s="16" t="n">
        <x:f>IF('Расчёт'!S147=1,E71/'Параметры'!$B$8*100,"Исправить ввод")</x:f>
        <x:v>0.03234786424809863</x:v>
      </x:c>
      <x:c r="G71" s="8" t="n">
        <x:f>IF('Расчёт'!S147=1,IF('Расчёт'!B147=0,"n.a.",E71/'Расчёт'!B147),"Исправить ввод")</x:f>
        <x:v>0.0016093464800049073</x:v>
      </x:c>
      <x:c r="H71" s="24" t="str">
        <x:f>IF('Расчёт'!S147=1,IF('Расчёт'!K147+'Расчёт'!L147*D71+0.00000001&gt;='Расчёт'!J147,"OK","Падение"),"Исправить ввод")</x:f>
        <x:v>OK</x:v>
      </x:c>
      <x:c r="I71" s="24" t="str">
        <x:f>IF('Расчёт'!S147=1,IF('Расчёт'!N147+'Расчёт'!O147*D71+0.00000001&gt;='Расчёт'!M147,"OK","Падение"),"Исправить ввод")</x:f>
        <x:v>OK</x:v>
      </x:c>
      <x:c r="J71" s="24" t="str">
        <x:f>IF('Расчёт'!S147=1,IF('Расчёт'!H147+'Расчёт'!I147*D71+0.000001&gt;='Расчёт'!G147,"OK","Падение"),"Исправить ввод")</x:f>
        <x:v>OK</x:v>
      </x:c>
      <x:c r="K71" s="24" t="str">
        <x:f>IF('Расчёт'!S147=1,IF(AND(E71&gt;0,H71="OK",I71="OK",J71="OK"),"Проходит","Не проходит"),"Исправить ввод")</x:f>
        <x:v>Проходит</x:v>
      </x:c>
      <x:c r="L71" s="1" t="str">
        <x:v>Штрафы — допущение; эффект — расчёт</x:v>
      </x:c>
    </x:row>
    <x:row r="72" ht="24" customHeight="1">
      <x:c r="A72" s="1" t="str">
        <x:v>H6.3</x:v>
      </x:c>
      <x:c r="B72" s="8" t="n">
        <x:v>0.25</x:v>
      </x:c>
      <x:c r="C72" s="8" t="n">
        <x:v>0.25</x:v>
      </x:c>
      <x:c r="D72" s="8" t="n">
        <x:f>(1-B72)*(1-C72)</x:f>
        <x:v>0.5625</x:v>
      </x:c>
      <x:c r="E72" s="12" t="n">
        <x:f>IF('Расчёт'!S147=1,'Расчёт'!E147+'Расчёт'!F147*D72-'Расчёт'!B147,"Исправить ввод")</x:f>
        <x:v>24.260898186072154</x:v>
      </x:c>
      <x:c r="F72" s="16" t="n">
        <x:f>IF('Расчёт'!S147=1,E72/'Параметры'!$B$8*100,"Исправить ввод")</x:f>
        <x:v>0.024260898186072154</x:v>
      </x:c>
      <x:c r="G72" s="8" t="n">
        <x:f>IF('Расчёт'!S147=1,IF('Расчёт'!B147=0,"n.a.",E72/'Расчёт'!B147),"Исправить ввод")</x:f>
        <x:v>0.00120700986000359</x:v>
      </x:c>
      <x:c r="H72" s="24" t="str">
        <x:f>IF('Расчёт'!S147=1,IF('Расчёт'!K147+'Расчёт'!L147*D72+0.00000001&gt;='Расчёт'!J147,"OK","Падение"),"Исправить ввод")</x:f>
        <x:v>OK</x:v>
      </x:c>
      <x:c r="I72" s="24" t="str">
        <x:f>IF('Расчёт'!S147=1,IF('Расчёт'!N147+'Расчёт'!O147*D72+0.00000001&gt;='Расчёт'!M147,"OK","Падение"),"Исправить ввод")</x:f>
        <x:v>OK</x:v>
      </x:c>
      <x:c r="J72" s="24" t="str">
        <x:f>IF('Расчёт'!S147=1,IF('Расчёт'!H147+'Расчёт'!I147*D72+0.000001&gt;='Расчёт'!G147,"OK","Падение"),"Исправить ввод")</x:f>
        <x:v>OK</x:v>
      </x:c>
      <x:c r="K72" s="24" t="str">
        <x:f>IF('Расчёт'!S147=1,IF(AND(E72&gt;0,H72="OK",I72="OK",J72="OK"),"Проходит","Не проходит"),"Исправить ввод")</x:f>
        <x:v>Проходит</x:v>
      </x:c>
      <x:c r="L72" s="1" t="str">
        <x:v>Штрафы — допущение; эффект — расчёт</x:v>
      </x:c>
    </x:row>
    <x:row r="73" ht="24" customHeight="1">
      <x:c r="A73" s="1" t="str">
        <x:v>H6.3</x:v>
      </x:c>
      <x:c r="B73" s="8" t="n">
        <x:v>0.25</x:v>
      </x:c>
      <x:c r="C73" s="8" t="n">
        <x:v>0.5</x:v>
      </x:c>
      <x:c r="D73" s="8" t="n">
        <x:f>(1-B73)*(1-C73)</x:f>
        <x:v>0.375</x:v>
      </x:c>
      <x:c r="E73" s="12" t="n">
        <x:f>IF('Расчёт'!S147=1,'Расчёт'!E147+'Расчёт'!F147*D73-'Расчёт'!B147,"Исправить ввод")</x:f>
        <x:v>16.173932124049315</x:v>
      </x:c>
      <x:c r="F73" s="16" t="n">
        <x:f>IF('Расчёт'!S147=1,E73/'Параметры'!$B$8*100,"Исправить ввод")</x:f>
        <x:v>0.016173932124049314</x:v>
      </x:c>
      <x:c r="G73" s="8" t="n">
        <x:f>IF('Расчёт'!S147=1,IF('Расчёт'!B147=0,"n.a.",E73/'Расчёт'!B147),"Исправить ввод")</x:f>
        <x:v>0.0008046732400024537</x:v>
      </x:c>
      <x:c r="H73" s="24" t="str">
        <x:f>IF('Расчёт'!S147=1,IF('Расчёт'!K147+'Расчёт'!L147*D73+0.00000001&gt;='Расчёт'!J147,"OK","Падение"),"Исправить ввод")</x:f>
        <x:v>OK</x:v>
      </x:c>
      <x:c r="I73" s="24" t="str">
        <x:f>IF('Расчёт'!S147=1,IF('Расчёт'!N147+'Расчёт'!O147*D73+0.00000001&gt;='Расчёт'!M147,"OK","Падение"),"Исправить ввод")</x:f>
        <x:v>OK</x:v>
      </x:c>
      <x:c r="J73" s="24" t="str">
        <x:f>IF('Расчёт'!S147=1,IF('Расчёт'!H147+'Расчёт'!I147*D73+0.000001&gt;='Расчёт'!G147,"OK","Падение"),"Исправить ввод")</x:f>
        <x:v>OK</x:v>
      </x:c>
      <x:c r="K73" s="24" t="str">
        <x:f>IF('Расчёт'!S147=1,IF(AND(E73&gt;0,H73="OK",I73="OK",J73="OK"),"Проходит","Не проходит"),"Исправить ввод")</x:f>
        <x:v>Проходит</x:v>
      </x:c>
      <x:c r="L73" s="1" t="str">
        <x:v>Штрафы — допущение; эффект — расчёт</x:v>
      </x:c>
    </x:row>
    <x:row r="74" ht="24" customHeight="1">
      <x:c r="A74" s="1" t="str">
        <x:v>H6.3</x:v>
      </x:c>
      <x:c r="B74" s="8" t="n">
        <x:v>0.5</x:v>
      </x:c>
      <x:c r="C74" s="8" t="n">
        <x:v>0</x:v>
      </x:c>
      <x:c r="D74" s="8" t="n">
        <x:f>(1-B74)*(1-C74)</x:f>
        <x:v>0.5</x:v>
      </x:c>
      <x:c r="E74" s="12" t="n">
        <x:f>IF('Расчёт'!S147=1,'Расчёт'!E147+'Расчёт'!F147*D74-'Расчёт'!B147,"Исправить ввод")</x:f>
        <x:v>21.56524283206454</x:v>
      </x:c>
      <x:c r="F74" s="16" t="n">
        <x:f>IF('Расчёт'!S147=1,E74/'Параметры'!$B$8*100,"Исправить ввод")</x:f>
        <x:v>0.02156524283206454</x:v>
      </x:c>
      <x:c r="G74" s="8" t="n">
        <x:f>IF('Расчёт'!S147=1,IF('Расчёт'!B147=0,"n.a.",E74/'Расчёт'!B147),"Исправить ввод")</x:f>
        <x:v>0.0010728976533365445</x:v>
      </x:c>
      <x:c r="H74" s="24" t="str">
        <x:f>IF('Расчёт'!S147=1,IF('Расчёт'!K147+'Расчёт'!L147*D74+0.00000001&gt;='Расчёт'!J147,"OK","Падение"),"Исправить ввод")</x:f>
        <x:v>OK</x:v>
      </x:c>
      <x:c r="I74" s="24" t="str">
        <x:f>IF('Расчёт'!S147=1,IF('Расчёт'!N147+'Расчёт'!O147*D74+0.00000001&gt;='Расчёт'!M147,"OK","Падение"),"Исправить ввод")</x:f>
        <x:v>OK</x:v>
      </x:c>
      <x:c r="J74" s="24" t="str">
        <x:f>IF('Расчёт'!S147=1,IF('Расчёт'!H147+'Расчёт'!I147*D74+0.000001&gt;='Расчёт'!G147,"OK","Падение"),"Исправить ввод")</x:f>
        <x:v>OK</x:v>
      </x:c>
      <x:c r="K74" s="24" t="str">
        <x:f>IF('Расчёт'!S147=1,IF(AND(E74&gt;0,H74="OK",I74="OK",J74="OK"),"Проходит","Не проходит"),"Исправить ввод")</x:f>
        <x:v>Проходит</x:v>
      </x:c>
      <x:c r="L74" s="1" t="str">
        <x:v>Штрафы — допущение; эффект — расчёт</x:v>
      </x:c>
    </x:row>
    <x:row r="75" ht="24" customHeight="1">
      <x:c r="A75" s="1" t="str">
        <x:v>H6.3</x:v>
      </x:c>
      <x:c r="B75" s="8" t="n">
        <x:v>0.5</x:v>
      </x:c>
      <x:c r="C75" s="8" t="n">
        <x:v>0.25</x:v>
      </x:c>
      <x:c r="D75" s="8" t="n">
        <x:f>(1-B75)*(1-C75)</x:f>
        <x:v>0.375</x:v>
      </x:c>
      <x:c r="E75" s="12" t="n">
        <x:f>IF('Расчёт'!S147=1,'Расчёт'!E147+'Расчёт'!F147*D75-'Расчёт'!B147,"Исправить ввод")</x:f>
        <x:v>16.173932124049315</x:v>
      </x:c>
      <x:c r="F75" s="16" t="n">
        <x:f>IF('Расчёт'!S147=1,E75/'Параметры'!$B$8*100,"Исправить ввод")</x:f>
        <x:v>0.016173932124049314</x:v>
      </x:c>
      <x:c r="G75" s="8" t="n">
        <x:f>IF('Расчёт'!S147=1,IF('Расчёт'!B147=0,"n.a.",E75/'Расчёт'!B147),"Исправить ввод")</x:f>
        <x:v>0.0008046732400024537</x:v>
      </x:c>
      <x:c r="H75" s="24" t="str">
        <x:f>IF('Расчёт'!S147=1,IF('Расчёт'!K147+'Расчёт'!L147*D75+0.00000001&gt;='Расчёт'!J147,"OK","Падение"),"Исправить ввод")</x:f>
        <x:v>OK</x:v>
      </x:c>
      <x:c r="I75" s="24" t="str">
        <x:f>IF('Расчёт'!S147=1,IF('Расчёт'!N147+'Расчёт'!O147*D75+0.00000001&gt;='Расчёт'!M147,"OK","Падение"),"Исправить ввод")</x:f>
        <x:v>OK</x:v>
      </x:c>
      <x:c r="J75" s="24" t="str">
        <x:f>IF('Расчёт'!S147=1,IF('Расчёт'!H147+'Расчёт'!I147*D75+0.000001&gt;='Расчёт'!G147,"OK","Падение"),"Исправить ввод")</x:f>
        <x:v>OK</x:v>
      </x:c>
      <x:c r="K75" s="24" t="str">
        <x:f>IF('Расчёт'!S147=1,IF(AND(E75&gt;0,H75="OK",I75="OK",J75="OK"),"Проходит","Не проходит"),"Исправить ввод")</x:f>
        <x:v>Проходит</x:v>
      </x:c>
      <x:c r="L75" s="1" t="str">
        <x:v>Штрафы — допущение; эффект — расчёт</x:v>
      </x:c>
    </x:row>
    <x:row r="76" ht="24" customHeight="1">
      <x:c r="A76" s="1" t="str">
        <x:v>H6.3</x:v>
      </x:c>
      <x:c r="B76" s="8" t="n">
        <x:v>0.5</x:v>
      </x:c>
      <x:c r="C76" s="8" t="n">
        <x:v>0.5</x:v>
      </x:c>
      <x:c r="D76" s="8" t="n">
        <x:f>(1-B76)*(1-C76)</x:f>
        <x:v>0.25</x:v>
      </x:c>
      <x:c r="E76" s="12" t="n">
        <x:f>IF('Расчёт'!S147=1,'Расчёт'!E147+'Расчёт'!F147*D76-'Расчёт'!B147,"Исправить ввод")</x:f>
        <x:v>10.78262141603409</x:v>
      </x:c>
      <x:c r="F76" s="16" t="n">
        <x:f>IF('Расчёт'!S147=1,E76/'Параметры'!$B$8*100,"Исправить ввод")</x:f>
        <x:v>0.010782621416034088</x:v>
      </x:c>
      <x:c r="G76" s="8" t="n">
        <x:f>IF('Расчёт'!S147=1,IF('Расчёт'!B147=0,"n.a.",E76/'Расчёт'!B147),"Исправить ввод")</x:f>
        <x:v>0.0005364488266683628</x:v>
      </x:c>
      <x:c r="H76" s="24" t="str">
        <x:f>IF('Расчёт'!S147=1,IF('Расчёт'!K147+'Расчёт'!L147*D76+0.00000001&gt;='Расчёт'!J147,"OK","Падение"),"Исправить ввод")</x:f>
        <x:v>OK</x:v>
      </x:c>
      <x:c r="I76" s="24" t="str">
        <x:f>IF('Расчёт'!S147=1,IF('Расчёт'!N147+'Расчёт'!O147*D76+0.00000001&gt;='Расчёт'!M147,"OK","Падение"),"Исправить ввод")</x:f>
        <x:v>OK</x:v>
      </x:c>
      <x:c r="J76" s="24" t="str">
        <x:f>IF('Расчёт'!S147=1,IF('Расчёт'!H147+'Расчёт'!I147*D76+0.000001&gt;='Расчёт'!G147,"OK","Падение"),"Исправить ввод")</x:f>
        <x:v>OK</x:v>
      </x:c>
      <x:c r="K76" s="24" t="str">
        <x:f>IF('Расчёт'!S147=1,IF(AND(E76&gt;0,H76="OK",I76="OK",J76="OK"),"Проходит","Не проходит"),"Исправить ввод")</x:f>
        <x:v>Проходит</x:v>
      </x:c>
      <x:c r="L76" s="1" t="str">
        <x:v>Штрафы — допущение; эффект — расчёт</x:v>
      </x:c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4" customHeight="1">
      <x:c r="A79" s="1" t="str">
        <x:v>0/25/50% × 0/25/50%: это независимые сценарии потерь полезного эффекта, не измеренные вероятности.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4" customHeight="1">
      <x:c r="A80" s="1" t="str">
        <x:v>Сначала выберите сценарий когорт. Девять строк на H пересчитываются из одной базы; это не портфель.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</x:sheetData>
  <x:conditionalFormatting sqref="H5:K76">
    <x:cfRule type="containsText" dxfId="7" priority="1" operator="containsText" text="Падение"/>
    <x:cfRule type="containsText" dxfId="8" priority="2" operator="containsText" text="Не проходит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A5A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4" customHeight="1">
      <x:c r="A1" s="1" t="str">
        <x:v>Сценарий</x:v>
      </x:c>
      <x:c r="B1" s="1" t="str">
        <x:f>'Итоги'!B3</x:f>
        <x:v>Базовый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32" customHeight="1">
      <x:c r="A2" s="2" t="str">
        <x:v>Расчёт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50" customHeight="1">
      <x:c r="A4" s="7" t="str">
        <x:v>H</x:v>
      </x:c>
      <x:c r="B4" s="7" t="str">
        <x:v>Когорта</x:v>
      </x:c>
      <x:c r="C4" s="7" t="str">
        <x:v>Состояние</x:v>
      </x:c>
      <x:c r="D4" s="7" t="str">
        <x:v>Есть C</x:v>
      </x:c>
      <x:c r="E4" s="7" t="str">
        <x:v>Есть F</x:v>
      </x:c>
      <x:c r="F4" s="7" t="str">
        <x:v>Людей</x:v>
      </x:c>
      <x:c r="G4" s="7" t="str">
        <x:v>CR когорты</x:v>
      </x:c>
      <x:c r="H4" s="7" t="str">
        <x:v>Вес состояния</x:v>
      </x:c>
      <x:c r="I4" s="7" t="str">
        <x:v>CR состояния</x:v>
      </x:c>
      <x:c r="J4" s="7" t="str">
        <x:v>Покупатели 0</x:v>
      </x:c>
      <x:c r="K4" s="7" t="str">
        <x:v>Цель C</x:v>
      </x:c>
      <x:c r="L4" s="7" t="str">
        <x:v>Цель F</x:v>
      </x:c>
      <x:c r="M4" s="7" t="str">
        <x:v>Пересечение</x:v>
      </x:c>
      <x:c r="N4" s="7" t="str">
        <x:v>Уникальная цель</x:v>
      </x:c>
      <x:c r="O4" s="7" t="str">
        <x:v>Грубый прирост</x:v>
      </x:c>
      <x:c r="P4" s="7" t="str">
        <x:v>Сохранение базы</x:v>
      </x:c>
      <x:c r="Q4" s="7" t="str">
        <x:v>База после потерь</x:v>
      </x:c>
      <x:c r="R4" s="7" t="str">
        <x:v>Коэф. прироста</x:v>
      </x:c>
      <x:c r="S4" s="7" t="str">
        <x:v>Сохранение uplift</x:v>
      </x:c>
      <x:c r="T4" s="7" t="str">
        <x:v>Покупатели 1</x:v>
      </x:c>
      <x:c r="U4" s="7" t="str">
        <x:v>Δ покупателей</x:v>
      </x:c>
      <x:c r="V4" s="7" t="str">
        <x:v>Доход 0</x:v>
      </x:c>
      <x:c r="W4" s="7" t="str">
        <x:v>Доход после потерь</x:v>
      </x:c>
      <x:c r="X4" s="7" t="str">
        <x:v>Коэф. дохода</x:v>
      </x:c>
      <x:c r="Y4" s="7" t="str">
        <x:v>Доход 1</x:v>
      </x:c>
      <x:c r="Z4" s="7" t="str">
        <x:v>Целевых людей</x:v>
      </x:c>
      <x:c r="AA4" s="7" t="str">
        <x:v>Покупат. C0</x:v>
      </x:c>
      <x:c r="AB4" s="7" t="str">
        <x:v>C после потерь</x:v>
      </x:c>
      <x:c r="AC4" s="7" t="str">
        <x:v>Коэф. C</x:v>
      </x:c>
      <x:c r="AD4" s="7" t="str">
        <x:v>Покупат. F0</x:v>
      </x:c>
      <x:c r="AE4" s="7" t="str">
        <x:v>F после потерь</x:v>
      </x:c>
      <x:c r="AF4" s="7" t="str">
        <x:v>Коэф. F</x:v>
      </x:c>
      <x:c r="AG4" s="7" t="str">
        <x:v>Допустимость</x:v>
      </x:c>
      <x:c r="AH4" s="1"/>
      <x:c r="AI4" s="1"/>
    </x:row>
    <x:row r="5" ht="24" customHeight="1">
      <x:c r="A5" s="1" t="str">
        <x:v>H1</x:v>
      </x:c>
      <x:c r="B5" s="1" t="str">
        <x:v>S1</x:v>
      </x:c>
      <x:c r="C5" s="1" t="str">
        <x:v>Только C</x:v>
      </x:c>
      <x:c r="D5" s="1" t="n">
        <x:v>1</x:v>
      </x:c>
      <x:c r="E5" s="1" t="n">
        <x:v>0</x:v>
      </x:c>
      <x:c r="F5" s="12" t="n">
        <x:f>'Когорты'!D5*'Когорты'!L5</x:f>
        <x:v>10920</x:v>
      </x:c>
      <x:c r="G5" s="8" t="n">
        <x:f>'Когорты'!F5</x:f>
        <x:v>0.3</x:v>
      </x:c>
      <x:c r="H5" s="1" t="n">
        <x:f>'Когорты'!O5</x:f>
        <x:v>1.5</x:v>
      </x:c>
      <x:c r="I5" s="8" t="n">
        <x:f>IF('Когорты'!S5&gt;0,G5*H5/'Когорты'!S5,0)</x:f>
        <x:v>0.43885313048566404</x:v>
      </x:c>
      <x:c r="J5" s="1" t="n">
        <x:f>F5*I5</x:f>
        <x:v>4792.276184903451</x:v>
      </x:c>
      <x:c r="K5" s="8" t="n">
        <x:f>'Воздействие'!C5*D5</x:f>
        <x:v>0</x:v>
      </x:c>
      <x:c r="L5" s="8" t="n">
        <x:f>'Воздействие'!D5*E5</x:f>
        <x:v>0</x:v>
      </x:c>
      <x:c r="M5" s="8" t="n">
        <x:f>'Воздействие'!E5*D5*E5</x:f>
        <x:v>0</x:v>
      </x:c>
      <x:c r="N5" s="8" t="n">
        <x:f>K5+L5-M5</x:f>
        <x:v>0</x:v>
      </x:c>
      <x:c r="O5" s="1" t="n">
        <x:f>J5*'Параметры'!$B$10*N5</x:f>
        <x:v>0</x:v>
      </x:c>
      <x:c r="P5" s="8" t="n">
        <x:f>(1-'Воздействие'!F5*D5)*(1-'Воздействие'!G5*E5)</x:f>
        <x:v>1</x:v>
      </x:c>
      <x:c r="Q5" s="1" t="n">
        <x:f>J5*P5</x:f>
        <x:v>4792.276184903451</x:v>
      </x:c>
      <x:c r="R5" s="1" t="n">
        <x:f>O5*P5</x:f>
        <x:v>0</x:v>
      </x:c>
      <x:c r="S5" s="8" t="n">
        <x:f>(1-'Гипотезы'!D5)*(1-'Гипотезы'!E5)</x:f>
        <x:v>0.5625</x:v>
      </x:c>
      <x:c r="T5" s="12" t="n">
        <x:f>Q5+R5*S5</x:f>
        <x:v>4792.276184903451</x:v>
      </x:c>
      <x:c r="U5" s="12" t="n">
        <x:f>T5-J5</x:f>
        <x:v>0</x:v>
      </x:c>
      <x:c r="V5" s="12" t="n">
        <x:f>J5*'Когорты'!T5</x:f>
        <x:v>4792276.184903451</x:v>
      </x:c>
      <x:c r="W5" s="12" t="n">
        <x:f>Q5*'Когорты'!T5*(1+'Воздействие'!H5*N5)</x:f>
        <x:v>4792276.184903451</x:v>
      </x:c>
      <x:c r="X5" s="12" t="n">
        <x:f>R5*'Когорты'!T5*(1+'Воздействие'!H5*N5)</x:f>
        <x:v>0</x:v>
      </x:c>
      <x:c r="Y5" s="12" t="n">
        <x:f>W5+X5*S5</x:f>
        <x:v>4792276.184903451</x:v>
      </x:c>
      <x:c r="Z5" s="12" t="n">
        <x:f>F5*N5</x:f>
        <x:v>0</x:v>
      </x:c>
      <x:c r="AA5" s="12" t="n">
        <x:f>J5*D5</x:f>
        <x:v>4792.276184903451</x:v>
      </x:c>
      <x:c r="AB5" s="12" t="n">
        <x:f>Q5*D5</x:f>
        <x:v>4792.276184903451</x:v>
      </x:c>
      <x:c r="AC5" s="12" t="n">
        <x:f>R5*D5</x:f>
        <x:v>0</x:v>
      </x:c>
      <x:c r="AD5" s="12" t="n">
        <x:f>J5*E5</x:f>
        <x:v>0</x:v>
      </x:c>
      <x:c r="AE5" s="12" t="n">
        <x:f>Q5*E5</x:f>
        <x:v>0</x:v>
      </x:c>
      <x:c r="AF5" s="12" t="n">
        <x:f>R5*E5</x:f>
        <x:v>0</x:v>
      </x:c>
      <x:c r="AG5" s="1" t="n">
        <x:f>IF(AND(I5&gt;=0,I5&lt;=1,Q5+R5&lt;=F5+0.00000001,N5&gt;=0,N5&lt;=1),1,0)</x:f>
        <x:v>1</x:v>
      </x:c>
      <x:c r="AH5" s="1"/>
      <x:c r="AI5" s="1"/>
    </x:row>
    <x:row r="6" ht="24" customHeight="1">
      <x:c r="A6" s="1" t="str">
        <x:v>H1</x:v>
      </x:c>
      <x:c r="B6" s="1" t="str">
        <x:v>S1</x:v>
      </x:c>
      <x:c r="C6" s="1" t="str">
        <x:v>Только F</x:v>
      </x:c>
      <x:c r="D6" s="1" t="n">
        <x:v>0</x:v>
      </x:c>
      <x:c r="E6" s="1" t="n">
        <x:v>1</x:v>
      </x:c>
      <x:c r="F6" s="12" t="n">
        <x:f>'Когорты'!D5*'Когорты'!M5</x:f>
        <x:v>519.9999999999999</x:v>
      </x:c>
      <x:c r="G6" s="8" t="n">
        <x:f>'Когорты'!F5</x:f>
        <x:v>0.3</x:v>
      </x:c>
      <x:c r="H6" s="1" t="n">
        <x:f>'Когорты'!P5</x:f>
        <x:v>0.2</x:v>
      </x:c>
      <x:c r="I6" s="8" t="n">
        <x:f>IF('Когорты'!S5&gt;0,G6*H6/'Когорты'!S5,0)</x:f>
        <x:v>0.05851375073142188</x:v>
      </x:c>
      <x:c r="J6" s="1" t="n">
        <x:f>F6*I6</x:f>
        <x:v>30.42715038033937</x:v>
      </x:c>
      <x:c r="K6" s="8" t="n">
        <x:f>'Воздействие'!C5*D6</x:f>
        <x:v>0</x:v>
      </x:c>
      <x:c r="L6" s="8" t="n">
        <x:f>'Воздействие'!D5*E6</x:f>
        <x:v>0</x:v>
      </x:c>
      <x:c r="M6" s="8" t="n">
        <x:f>'Воздействие'!E5*D6*E6</x:f>
        <x:v>0</x:v>
      </x:c>
      <x:c r="N6" s="8" t="n">
        <x:f>K6+L6-M6</x:f>
        <x:v>0</x:v>
      </x:c>
      <x:c r="O6" s="1" t="n">
        <x:f>J6*'Параметры'!$B$10*N6</x:f>
        <x:v>0</x:v>
      </x:c>
      <x:c r="P6" s="8" t="n">
        <x:f>(1-'Воздействие'!F5*D6)*(1-'Воздействие'!G5*E6)</x:f>
        <x:v>1</x:v>
      </x:c>
      <x:c r="Q6" s="1" t="n">
        <x:f>J6*P6</x:f>
        <x:v>30.42715038033937</x:v>
      </x:c>
      <x:c r="R6" s="1" t="n">
        <x:f>O6*P6</x:f>
        <x:v>0</x:v>
      </x:c>
      <x:c r="S6" s="8" t="n">
        <x:f>(1-'Гипотезы'!D5)*(1-'Гипотезы'!E5)</x:f>
        <x:v>0.5625</x:v>
      </x:c>
      <x:c r="T6" s="12" t="n">
        <x:f>Q6+R6*S6</x:f>
        <x:v>30.42715038033937</x:v>
      </x:c>
      <x:c r="U6" s="12" t="n">
        <x:f>T6-J6</x:f>
        <x:v>0</x:v>
      </x:c>
      <x:c r="V6" s="12" t="n">
        <x:f>J6*'Когорты'!T5</x:f>
        <x:v>30427.15038033937</x:v>
      </x:c>
      <x:c r="W6" s="12" t="n">
        <x:f>Q6*'Когорты'!T5*(1+'Воздействие'!H5*N6)</x:f>
        <x:v>30427.15038033937</x:v>
      </x:c>
      <x:c r="X6" s="12" t="n">
        <x:f>R6*'Когорты'!T5*(1+'Воздействие'!H5*N6)</x:f>
        <x:v>0</x:v>
      </x:c>
      <x:c r="Y6" s="12" t="n">
        <x:f>W6+X6*S6</x:f>
        <x:v>30427.15038033937</x:v>
      </x:c>
      <x:c r="Z6" s="12" t="n">
        <x:f>F6*N6</x:f>
        <x:v>0</x:v>
      </x:c>
      <x:c r="AA6" s="12" t="n">
        <x:f>J6*D6</x:f>
        <x:v>0</x:v>
      </x:c>
      <x:c r="AB6" s="12" t="n">
        <x:f>Q6*D6</x:f>
        <x:v>0</x:v>
      </x:c>
      <x:c r="AC6" s="12" t="n">
        <x:f>R6*D6</x:f>
        <x:v>0</x:v>
      </x:c>
      <x:c r="AD6" s="12" t="n">
        <x:f>J6*E6</x:f>
        <x:v>30.42715038033937</x:v>
      </x:c>
      <x:c r="AE6" s="12" t="n">
        <x:f>Q6*E6</x:f>
        <x:v>30.42715038033937</x:v>
      </x:c>
      <x:c r="AF6" s="12" t="n">
        <x:f>R6*E6</x:f>
        <x:v>0</x:v>
      </x:c>
      <x:c r="AG6" s="1" t="n">
        <x:f>IF(AND(I6&gt;=0,I6&lt;=1,Q6+R6&lt;=F6+0.00000001,N6&gt;=0,N6&lt;=1),1,0)</x:f>
        <x:v>1</x:v>
      </x:c>
      <x:c r="AH6" s="1"/>
      <x:c r="AI6" s="1"/>
    </x:row>
    <x:row r="7" ht="24" customHeight="1">
      <x:c r="A7" s="1" t="str">
        <x:v>H1</x:v>
      </x:c>
      <x:c r="B7" s="1" t="str">
        <x:v>S1</x:v>
      </x:c>
      <x:c r="C7" s="1" t="str">
        <x:v>Оба</x:v>
      </x:c>
      <x:c r="D7" s="1" t="n">
        <x:v>1</x:v>
      </x:c>
      <x:c r="E7" s="1" t="n">
        <x:v>1</x:v>
      </x:c>
      <x:c r="F7" s="12" t="n">
        <x:f>'Когорты'!D5*'Когорты'!K5</x:f>
        <x:v>2080</x:v>
      </x:c>
      <x:c r="G7" s="8" t="n">
        <x:f>'Когорты'!F5</x:f>
        <x:v>0.3</x:v>
      </x:c>
      <x:c r="H7" s="1" t="n">
        <x:f>'Когорты'!Q5</x:f>
        <x:v>1</x:v>
      </x:c>
      <x:c r="I7" s="8" t="n">
        <x:f>IF('Когорты'!S5&gt;0,G7*H7/'Когорты'!S5,0)</x:f>
        <x:v>0.2925687536571094</x:v>
      </x:c>
      <x:c r="J7" s="1" t="n">
        <x:f>F7*I7</x:f>
        <x:v>608.5430076067876</x:v>
      </x:c>
      <x:c r="K7" s="8" t="n">
        <x:f>'Воздействие'!C5*D7</x:f>
        <x:v>0</x:v>
      </x:c>
      <x:c r="L7" s="8" t="n">
        <x:f>'Воздействие'!D5*E7</x:f>
        <x:v>0</x:v>
      </x:c>
      <x:c r="M7" s="8" t="n">
        <x:f>'Воздействие'!E5*D7*E7</x:f>
        <x:v>0</x:v>
      </x:c>
      <x:c r="N7" s="8" t="n">
        <x:f>K7+L7-M7</x:f>
        <x:v>0</x:v>
      </x:c>
      <x:c r="O7" s="1" t="n">
        <x:f>J7*'Параметры'!$B$10*N7</x:f>
        <x:v>0</x:v>
      </x:c>
      <x:c r="P7" s="8" t="n">
        <x:f>(1-'Воздействие'!F5*D7)*(1-'Воздействие'!G5*E7)</x:f>
        <x:v>1</x:v>
      </x:c>
      <x:c r="Q7" s="1" t="n">
        <x:f>J7*P7</x:f>
        <x:v>608.5430076067876</x:v>
      </x:c>
      <x:c r="R7" s="1" t="n">
        <x:f>O7*P7</x:f>
        <x:v>0</x:v>
      </x:c>
      <x:c r="S7" s="8" t="n">
        <x:f>(1-'Гипотезы'!D5)*(1-'Гипотезы'!E5)</x:f>
        <x:v>0.5625</x:v>
      </x:c>
      <x:c r="T7" s="12" t="n">
        <x:f>Q7+R7*S7</x:f>
        <x:v>608.5430076067876</x:v>
      </x:c>
      <x:c r="U7" s="12" t="n">
        <x:f>T7-J7</x:f>
        <x:v>0</x:v>
      </x:c>
      <x:c r="V7" s="12" t="n">
        <x:f>J7*'Когорты'!T5</x:f>
        <x:v>608543.0076067876</x:v>
      </x:c>
      <x:c r="W7" s="12" t="n">
        <x:f>Q7*'Когорты'!T5*(1+'Воздействие'!H5*N7)</x:f>
        <x:v>608543.0076067876</x:v>
      </x:c>
      <x:c r="X7" s="12" t="n">
        <x:f>R7*'Когорты'!T5*(1+'Воздействие'!H5*N7)</x:f>
        <x:v>0</x:v>
      </x:c>
      <x:c r="Y7" s="12" t="n">
        <x:f>W7+X7*S7</x:f>
        <x:v>608543.0076067876</x:v>
      </x:c>
      <x:c r="Z7" s="12" t="n">
        <x:f>F7*N7</x:f>
        <x:v>0</x:v>
      </x:c>
      <x:c r="AA7" s="12" t="n">
        <x:f>J7*D7</x:f>
        <x:v>608.5430076067876</x:v>
      </x:c>
      <x:c r="AB7" s="12" t="n">
        <x:f>Q7*D7</x:f>
        <x:v>608.5430076067876</x:v>
      </x:c>
      <x:c r="AC7" s="12" t="n">
        <x:f>R7*D7</x:f>
        <x:v>0</x:v>
      </x:c>
      <x:c r="AD7" s="12" t="n">
        <x:f>J7*E7</x:f>
        <x:v>608.5430076067876</x:v>
      </x:c>
      <x:c r="AE7" s="12" t="n">
        <x:f>Q7*E7</x:f>
        <x:v>608.5430076067876</x:v>
      </x:c>
      <x:c r="AF7" s="12" t="n">
        <x:f>R7*E7</x:f>
        <x:v>0</x:v>
      </x:c>
      <x:c r="AG7" s="1" t="n">
        <x:f>IF(AND(I7&gt;=0,I7&lt;=1,Q7+R7&lt;=F7+0.00000001,N7&gt;=0,N7&lt;=1),1,0)</x:f>
        <x:v>1</x:v>
      </x:c>
      <x:c r="AH7" s="1"/>
      <x:c r="AI7" s="1"/>
    </x:row>
    <x:row r="8" ht="24" customHeight="1">
      <x:c r="A8" s="1" t="str">
        <x:v>H1</x:v>
      </x:c>
      <x:c r="B8" s="1" t="str">
        <x:v>S1</x:v>
      </x:c>
      <x:c r="C8" s="1" t="str">
        <x:v>Ни один</x:v>
      </x:c>
      <x:c r="D8" s="1" t="n">
        <x:v>0</x:v>
      </x:c>
      <x:c r="E8" s="1" t="n">
        <x:v>0</x:v>
      </x:c>
      <x:c r="F8" s="12" t="n">
        <x:f>'Когорты'!D5*'Когорты'!N5</x:f>
        <x:v>6479.999999999999</x:v>
      </x:c>
      <x:c r="G8" s="8" t="n">
        <x:f>'Когорты'!F5</x:f>
        <x:v>0.3</x:v>
      </x:c>
      <x:c r="H8" s="1" t="n">
        <x:f>'Когорты'!R5</x:f>
        <x:v>0.3</x:v>
      </x:c>
      <x:c r="I8" s="8" t="n">
        <x:f>IF('Когорты'!S5&gt;0,G8*H8/'Когорты'!S5,0)</x:f>
        <x:v>0.08777062609713282</x:v>
      </x:c>
      <x:c r="J8" s="1" t="n">
        <x:f>F8*I8</x:f>
        <x:v>568.7536571094206</x:v>
      </x:c>
      <x:c r="K8" s="8" t="n">
        <x:f>'Воздействие'!C5*D8</x:f>
        <x:v>0</x:v>
      </x:c>
      <x:c r="L8" s="8" t="n">
        <x:f>'Воздействие'!D5*E8</x:f>
        <x:v>0</x:v>
      </x:c>
      <x:c r="M8" s="8" t="n">
        <x:f>'Воздействие'!E5*D8*E8</x:f>
        <x:v>0</x:v>
      </x:c>
      <x:c r="N8" s="8" t="n">
        <x:f>K8+L8-M8</x:f>
        <x:v>0</x:v>
      </x:c>
      <x:c r="O8" s="1" t="n">
        <x:f>J8*'Параметры'!$B$10*N8</x:f>
        <x:v>0</x:v>
      </x:c>
      <x:c r="P8" s="8" t="n">
        <x:f>(1-'Воздействие'!F5*D8)*(1-'Воздействие'!G5*E8)</x:f>
        <x:v>1</x:v>
      </x:c>
      <x:c r="Q8" s="1" t="n">
        <x:f>J8*P8</x:f>
        <x:v>568.7536571094206</x:v>
      </x:c>
      <x:c r="R8" s="1" t="n">
        <x:f>O8*P8</x:f>
        <x:v>0</x:v>
      </x:c>
      <x:c r="S8" s="8" t="n">
        <x:f>(1-'Гипотезы'!D5)*(1-'Гипотезы'!E5)</x:f>
        <x:v>0.5625</x:v>
      </x:c>
      <x:c r="T8" s="12" t="n">
        <x:f>Q8+R8*S8</x:f>
        <x:v>568.7536571094206</x:v>
      </x:c>
      <x:c r="U8" s="12" t="n">
        <x:f>T8-J8</x:f>
        <x:v>0</x:v>
      </x:c>
      <x:c r="V8" s="12" t="n">
        <x:f>J8*'Когорты'!T5</x:f>
        <x:v>568753.6571094206</x:v>
      </x:c>
      <x:c r="W8" s="12" t="n">
        <x:f>Q8*'Когорты'!T5*(1+'Воздействие'!H5*N8)</x:f>
        <x:v>568753.6571094206</x:v>
      </x:c>
      <x:c r="X8" s="12" t="n">
        <x:f>R8*'Когорты'!T5*(1+'Воздействие'!H5*N8)</x:f>
        <x:v>0</x:v>
      </x:c>
      <x:c r="Y8" s="12" t="n">
        <x:f>W8+X8*S8</x:f>
        <x:v>568753.6571094206</x:v>
      </x:c>
      <x:c r="Z8" s="12" t="n">
        <x:f>F8*N8</x:f>
        <x:v>0</x:v>
      </x:c>
      <x:c r="AA8" s="12" t="n">
        <x:f>J8*D8</x:f>
        <x:v>0</x:v>
      </x:c>
      <x:c r="AB8" s="12" t="n">
        <x:f>Q8*D8</x:f>
        <x:v>0</x:v>
      </x:c>
      <x:c r="AC8" s="12" t="n">
        <x:f>R8*D8</x:f>
        <x:v>0</x:v>
      </x:c>
      <x:c r="AD8" s="12" t="n">
        <x:f>J8*E8</x:f>
        <x:v>0</x:v>
      </x:c>
      <x:c r="AE8" s="12" t="n">
        <x:f>Q8*E8</x:f>
        <x:v>0</x:v>
      </x:c>
      <x:c r="AF8" s="12" t="n">
        <x:f>R8*E8</x:f>
        <x:v>0</x:v>
      </x:c>
      <x:c r="AG8" s="1" t="n">
        <x:f>IF(AND(I8&gt;=0,I8&lt;=1,Q8+R8&lt;=F8+0.00000001,N8&gt;=0,N8&lt;=1),1,0)</x:f>
        <x:v>1</x:v>
      </x:c>
      <x:c r="AH8" s="1"/>
      <x:c r="AI8" s="1"/>
    </x:row>
    <x:row r="9" ht="24" customHeight="1">
      <x:c r="A9" s="1" t="str">
        <x:v>H1</x:v>
      </x:c>
      <x:c r="B9" s="1" t="str">
        <x:v>S2</x:v>
      </x:c>
      <x:c r="C9" s="1" t="str">
        <x:v>Только C</x:v>
      </x:c>
      <x:c r="D9" s="1" t="n">
        <x:v>1</x:v>
      </x:c>
      <x:c r="E9" s="1" t="n">
        <x:v>0</x:v>
      </x:c>
      <x:c r="F9" s="12" t="n">
        <x:f>'Когорты'!D6*'Когорты'!L6</x:f>
        <x:v>10920</x:v>
      </x:c>
      <x:c r="G9" s="8" t="n">
        <x:f>'Когорты'!F6</x:f>
        <x:v>0.21</x:v>
      </x:c>
      <x:c r="H9" s="1" t="n">
        <x:f>'Когорты'!O6</x:f>
        <x:v>1.5</x:v>
      </x:c>
      <x:c r="I9" s="8" t="n">
        <x:f>IF('Когорты'!S6&gt;0,G9*H9/'Когорты'!S6,0)</x:f>
        <x:v>0.30719719133996487</x:v>
      </x:c>
      <x:c r="J9" s="1" t="n">
        <x:f>F9*I9</x:f>
        <x:v>3354.5933294324163</x:v>
      </x:c>
      <x:c r="K9" s="8" t="n">
        <x:f>'Воздействие'!C6*D9</x:f>
        <x:v>0.4</x:v>
      </x:c>
      <x:c r="L9" s="8" t="n">
        <x:f>'Воздействие'!D6*E9</x:f>
        <x:v>0</x:v>
      </x:c>
      <x:c r="M9" s="8" t="n">
        <x:f>'Воздействие'!E6*D9*E9</x:f>
        <x:v>0</x:v>
      </x:c>
      <x:c r="N9" s="8" t="n">
        <x:f>K9+L9-M9</x:f>
        <x:v>0.4</x:v>
      </x:c>
      <x:c r="O9" s="1" t="n">
        <x:f>J9*'Параметры'!$B$10*N9</x:f>
        <x:v>134.18373317729666</x:v>
      </x:c>
      <x:c r="P9" s="8" t="n">
        <x:f>(1-'Воздействие'!F6*D9)*(1-'Воздействие'!G6*E9)</x:f>
        <x:v>1</x:v>
      </x:c>
      <x:c r="Q9" s="1" t="n">
        <x:f>J9*P9</x:f>
        <x:v>3354.5933294324163</x:v>
      </x:c>
      <x:c r="R9" s="1" t="n">
        <x:f>O9*P9</x:f>
        <x:v>134.18373317729666</x:v>
      </x:c>
      <x:c r="S9" s="8" t="n">
        <x:f>(1-'Гипотезы'!D5)*(1-'Гипотезы'!E5)</x:f>
        <x:v>0.5625</x:v>
      </x:c>
      <x:c r="T9" s="12" t="n">
        <x:f>Q9+R9*S9</x:f>
        <x:v>3430.071679344646</x:v>
      </x:c>
      <x:c r="U9" s="12" t="n">
        <x:f>T9-J9</x:f>
        <x:v>75.47834991222953</x:v>
      </x:c>
      <x:c r="V9" s="12" t="n">
        <x:f>J9*'Когорты'!T6</x:f>
        <x:v>3354593.3294324162</x:v>
      </x:c>
      <x:c r="W9" s="12" t="n">
        <x:f>Q9*'Когорты'!T6*(1+'Воздействие'!H6*N9)</x:f>
        <x:v>3354593.3294324162</x:v>
      </x:c>
      <x:c r="X9" s="12" t="n">
        <x:f>R9*'Когорты'!T6*(1+'Воздействие'!H6*N9)</x:f>
        <x:v>134183.73317729667</x:v>
      </x:c>
      <x:c r="Y9" s="12" t="n">
        <x:f>W9+X9*S9</x:f>
        <x:v>3430071.6793446457</x:v>
      </x:c>
      <x:c r="Z9" s="12" t="n">
        <x:f>F9*N9</x:f>
        <x:v>4368</x:v>
      </x:c>
      <x:c r="AA9" s="12" t="n">
        <x:f>J9*D9</x:f>
        <x:v>3354.5933294324163</x:v>
      </x:c>
      <x:c r="AB9" s="12" t="n">
        <x:f>Q9*D9</x:f>
        <x:v>3354.5933294324163</x:v>
      </x:c>
      <x:c r="AC9" s="12" t="n">
        <x:f>R9*D9</x:f>
        <x:v>134.18373317729666</x:v>
      </x:c>
      <x:c r="AD9" s="12" t="n">
        <x:f>J9*E9</x:f>
        <x:v>0</x:v>
      </x:c>
      <x:c r="AE9" s="12" t="n">
        <x:f>Q9*E9</x:f>
        <x:v>0</x:v>
      </x:c>
      <x:c r="AF9" s="12" t="n">
        <x:f>R9*E9</x:f>
        <x:v>0</x:v>
      </x:c>
      <x:c r="AG9" s="1" t="n">
        <x:f>IF(AND(I9&gt;=0,I9&lt;=1,Q9+R9&lt;=F9+0.00000001,N9&gt;=0,N9&lt;=1),1,0)</x:f>
        <x:v>1</x:v>
      </x:c>
      <x:c r="AH9" s="1"/>
      <x:c r="AI9" s="1"/>
    </x:row>
    <x:row r="10" ht="24" customHeight="1">
      <x:c r="A10" s="1" t="str">
        <x:v>H1</x:v>
      </x:c>
      <x:c r="B10" s="1" t="str">
        <x:v>S2</x:v>
      </x:c>
      <x:c r="C10" s="1" t="str">
        <x:v>Только F</x:v>
      </x:c>
      <x:c r="D10" s="1" t="n">
        <x:v>0</x:v>
      </x:c>
      <x:c r="E10" s="1" t="n">
        <x:v>1</x:v>
      </x:c>
      <x:c r="F10" s="12" t="n">
        <x:f>'Когорты'!D6*'Когорты'!M6</x:f>
        <x:v>519.9999999999999</x:v>
      </x:c>
      <x:c r="G10" s="8" t="n">
        <x:f>'Когорты'!F6</x:f>
        <x:v>0.21</x:v>
      </x:c>
      <x:c r="H10" s="1" t="n">
        <x:f>'Когорты'!P6</x:f>
        <x:v>0.2</x:v>
      </x:c>
      <x:c r="I10" s="8" t="n">
        <x:f>IF('Когорты'!S6&gt;0,G10*H10/'Когорты'!S6,0)</x:f>
        <x:v>0.04095962551199532</x:v>
      </x:c>
      <x:c r="J10" s="1" t="n">
        <x:f>F10*I10</x:f>
        <x:v>21.29900526623756</x:v>
      </x:c>
      <x:c r="K10" s="8" t="n">
        <x:f>'Воздействие'!C6*D10</x:f>
        <x:v>0</x:v>
      </x:c>
      <x:c r="L10" s="8" t="n">
        <x:f>'Воздействие'!D6*E10</x:f>
        <x:v>0</x:v>
      </x:c>
      <x:c r="M10" s="8" t="n">
        <x:f>'Воздействие'!E6*D10*E10</x:f>
        <x:v>0</x:v>
      </x:c>
      <x:c r="N10" s="8" t="n">
        <x:f>K10+L10-M10</x:f>
        <x:v>0</x:v>
      </x:c>
      <x:c r="O10" s="1" t="n">
        <x:f>J10*'Параметры'!$B$10*N10</x:f>
        <x:v>0</x:v>
      </x:c>
      <x:c r="P10" s="8" t="n">
        <x:f>(1-'Воздействие'!F6*D10)*(1-'Воздействие'!G6*E10)</x:f>
        <x:v>1</x:v>
      </x:c>
      <x:c r="Q10" s="1" t="n">
        <x:f>J10*P10</x:f>
        <x:v>21.29900526623756</x:v>
      </x:c>
      <x:c r="R10" s="1" t="n">
        <x:f>O10*P10</x:f>
        <x:v>0</x:v>
      </x:c>
      <x:c r="S10" s="8" t="n">
        <x:f>(1-'Гипотезы'!D5)*(1-'Гипотезы'!E5)</x:f>
        <x:v>0.5625</x:v>
      </x:c>
      <x:c r="T10" s="12" t="n">
        <x:f>Q10+R10*S10</x:f>
        <x:v>21.29900526623756</x:v>
      </x:c>
      <x:c r="U10" s="12" t="n">
        <x:f>T10-J10</x:f>
        <x:v>0</x:v>
      </x:c>
      <x:c r="V10" s="12" t="n">
        <x:f>J10*'Когорты'!T6</x:f>
        <x:v>21299.00526623756</x:v>
      </x:c>
      <x:c r="W10" s="12" t="n">
        <x:f>Q10*'Когорты'!T6*(1+'Воздействие'!H6*N10)</x:f>
        <x:v>21299.00526623756</x:v>
      </x:c>
      <x:c r="X10" s="12" t="n">
        <x:f>R10*'Когорты'!T6*(1+'Воздействие'!H6*N10)</x:f>
        <x:v>0</x:v>
      </x:c>
      <x:c r="Y10" s="12" t="n">
        <x:f>W10+X10*S10</x:f>
        <x:v>21299.00526623756</x:v>
      </x:c>
      <x:c r="Z10" s="12" t="n">
        <x:f>F10*N10</x:f>
        <x:v>0</x:v>
      </x:c>
      <x:c r="AA10" s="12" t="n">
        <x:f>J10*D10</x:f>
        <x:v>0</x:v>
      </x:c>
      <x:c r="AB10" s="12" t="n">
        <x:f>Q10*D10</x:f>
        <x:v>0</x:v>
      </x:c>
      <x:c r="AC10" s="12" t="n">
        <x:f>R10*D10</x:f>
        <x:v>0</x:v>
      </x:c>
      <x:c r="AD10" s="12" t="n">
        <x:f>J10*E10</x:f>
        <x:v>21.29900526623756</x:v>
      </x:c>
      <x:c r="AE10" s="12" t="n">
        <x:f>Q10*E10</x:f>
        <x:v>21.29900526623756</x:v>
      </x:c>
      <x:c r="AF10" s="12" t="n">
        <x:f>R10*E10</x:f>
        <x:v>0</x:v>
      </x:c>
      <x:c r="AG10" s="1" t="n">
        <x:f>IF(AND(I10&gt;=0,I10&lt;=1,Q10+R10&lt;=F10+0.00000001,N10&gt;=0,N10&lt;=1),1,0)</x:f>
        <x:v>1</x:v>
      </x:c>
      <x:c r="AH10" s="1"/>
      <x:c r="AI10" s="1"/>
    </x:row>
    <x:row r="11" ht="24" customHeight="1">
      <x:c r="A11" s="1" t="str">
        <x:v>H1</x:v>
      </x:c>
      <x:c r="B11" s="1" t="str">
        <x:v>S2</x:v>
      </x:c>
      <x:c r="C11" s="1" t="str">
        <x:v>Оба</x:v>
      </x:c>
      <x:c r="D11" s="1" t="n">
        <x:v>1</x:v>
      </x:c>
      <x:c r="E11" s="1" t="n">
        <x:v>1</x:v>
      </x:c>
      <x:c r="F11" s="12" t="n">
        <x:f>'Когорты'!D6*'Когорты'!K6</x:f>
        <x:v>2080</x:v>
      </x:c>
      <x:c r="G11" s="8" t="n">
        <x:f>'Когорты'!F6</x:f>
        <x:v>0.21</x:v>
      </x:c>
      <x:c r="H11" s="1" t="n">
        <x:f>'Когорты'!Q6</x:f>
        <x:v>1</x:v>
      </x:c>
      <x:c r="I11" s="8" t="n">
        <x:f>IF('Когорты'!S6&gt;0,G11*H11/'Когорты'!S6,0)</x:f>
        <x:v>0.20479812755997656</x:v>
      </x:c>
      <x:c r="J11" s="1" t="n">
        <x:f>F11*I11</x:f>
        <x:v>425.98010532475126</x:v>
      </x:c>
      <x:c r="K11" s="8" t="n">
        <x:f>'Воздействие'!C6*D11</x:f>
        <x:v>0.4</x:v>
      </x:c>
      <x:c r="L11" s="8" t="n">
        <x:f>'Воздействие'!D6*E11</x:f>
        <x:v>0</x:v>
      </x:c>
      <x:c r="M11" s="8" t="n">
        <x:f>'Воздействие'!E6*D11*E11</x:f>
        <x:v>0</x:v>
      </x:c>
      <x:c r="N11" s="8" t="n">
        <x:f>K11+L11-M11</x:f>
        <x:v>0.4</x:v>
      </x:c>
      <x:c r="O11" s="1" t="n">
        <x:f>J11*'Параметры'!$B$10*N11</x:f>
        <x:v>17.039204212990054</x:v>
      </x:c>
      <x:c r="P11" s="8" t="n">
        <x:f>(1-'Воздействие'!F6*D11)*(1-'Воздействие'!G6*E11)</x:f>
        <x:v>1</x:v>
      </x:c>
      <x:c r="Q11" s="1" t="n">
        <x:f>J11*P11</x:f>
        <x:v>425.98010532475126</x:v>
      </x:c>
      <x:c r="R11" s="1" t="n">
        <x:f>O11*P11</x:f>
        <x:v>17.039204212990054</x:v>
      </x:c>
      <x:c r="S11" s="8" t="n">
        <x:f>(1-'Гипотезы'!D5)*(1-'Гипотезы'!E5)</x:f>
        <x:v>0.5625</x:v>
      </x:c>
      <x:c r="T11" s="12" t="n">
        <x:f>Q11+R11*S11</x:f>
        <x:v>435.56465769455815</x:v>
      </x:c>
      <x:c r="U11" s="12" t="n">
        <x:f>T11-J11</x:f>
        <x:v>9.584552369806886</x:v>
      </x:c>
      <x:c r="V11" s="12" t="n">
        <x:f>J11*'Когорты'!T6</x:f>
        <x:v>425980.1053247513</x:v>
      </x:c>
      <x:c r="W11" s="12" t="n">
        <x:f>Q11*'Когорты'!T6*(1+'Воздействие'!H6*N11)</x:f>
        <x:v>425980.1053247513</x:v>
      </x:c>
      <x:c r="X11" s="12" t="n">
        <x:f>R11*'Когорты'!T6*(1+'Воздействие'!H6*N11)</x:f>
        <x:v>17039.204212990055</x:v>
      </x:c>
      <x:c r="Y11" s="12" t="n">
        <x:f>W11+X11*S11</x:f>
        <x:v>435564.6576945582</x:v>
      </x:c>
      <x:c r="Z11" s="12" t="n">
        <x:f>F11*N11</x:f>
        <x:v>832</x:v>
      </x:c>
      <x:c r="AA11" s="12" t="n">
        <x:f>J11*D11</x:f>
        <x:v>425.98010532475126</x:v>
      </x:c>
      <x:c r="AB11" s="12" t="n">
        <x:f>Q11*D11</x:f>
        <x:v>425.98010532475126</x:v>
      </x:c>
      <x:c r="AC11" s="12" t="n">
        <x:f>R11*D11</x:f>
        <x:v>17.039204212990054</x:v>
      </x:c>
      <x:c r="AD11" s="12" t="n">
        <x:f>J11*E11</x:f>
        <x:v>425.98010532475126</x:v>
      </x:c>
      <x:c r="AE11" s="12" t="n">
        <x:f>Q11*E11</x:f>
        <x:v>425.98010532475126</x:v>
      </x:c>
      <x:c r="AF11" s="12" t="n">
        <x:f>R11*E11</x:f>
        <x:v>17.039204212990054</x:v>
      </x:c>
      <x:c r="AG11" s="1" t="n">
        <x:f>IF(AND(I11&gt;=0,I11&lt;=1,Q11+R11&lt;=F11+0.00000001,N11&gt;=0,N11&lt;=1),1,0)</x:f>
        <x:v>1</x:v>
      </x:c>
      <x:c r="AH11" s="1"/>
      <x:c r="AI11" s="1"/>
    </x:row>
    <x:row r="12" ht="24" customHeight="1">
      <x:c r="A12" s="1" t="str">
        <x:v>H1</x:v>
      </x:c>
      <x:c r="B12" s="1" t="str">
        <x:v>S2</x:v>
      </x:c>
      <x:c r="C12" s="1" t="str">
        <x:v>Ни один</x:v>
      </x:c>
      <x:c r="D12" s="1" t="n">
        <x:v>0</x:v>
      </x:c>
      <x:c r="E12" s="1" t="n">
        <x:v>0</x:v>
      </x:c>
      <x:c r="F12" s="12" t="n">
        <x:f>'Когорты'!D6*'Когорты'!N6</x:f>
        <x:v>6479.999999999999</x:v>
      </x:c>
      <x:c r="G12" s="8" t="n">
        <x:f>'Когорты'!F6</x:f>
        <x:v>0.21</x:v>
      </x:c>
      <x:c r="H12" s="1" t="n">
        <x:f>'Когорты'!R6</x:f>
        <x:v>0.3</x:v>
      </x:c>
      <x:c r="I12" s="8" t="n">
        <x:f>IF('Когорты'!S6&gt;0,G12*H12/'Когорты'!S6,0)</x:f>
        <x:v>0.061439438267992974</x:v>
      </x:c>
      <x:c r="J12" s="1" t="n">
        <x:f>F12*I12</x:f>
        <x:v>398.1275599765944</x:v>
      </x:c>
      <x:c r="K12" s="8" t="n">
        <x:f>'Воздействие'!C6*D12</x:f>
        <x:v>0</x:v>
      </x:c>
      <x:c r="L12" s="8" t="n">
        <x:f>'Воздействие'!D6*E12</x:f>
        <x:v>0</x:v>
      </x:c>
      <x:c r="M12" s="8" t="n">
        <x:f>'Воздействие'!E6*D12*E12</x:f>
        <x:v>0</x:v>
      </x:c>
      <x:c r="N12" s="8" t="n">
        <x:f>K12+L12-M12</x:f>
        <x:v>0</x:v>
      </x:c>
      <x:c r="O12" s="1" t="n">
        <x:f>J12*'Параметры'!$B$10*N12</x:f>
        <x:v>0</x:v>
      </x:c>
      <x:c r="P12" s="8" t="n">
        <x:f>(1-'Воздействие'!F6*D12)*(1-'Воздействие'!G6*E12)</x:f>
        <x:v>1</x:v>
      </x:c>
      <x:c r="Q12" s="1" t="n">
        <x:f>J12*P12</x:f>
        <x:v>398.1275599765944</x:v>
      </x:c>
      <x:c r="R12" s="1" t="n">
        <x:f>O12*P12</x:f>
        <x:v>0</x:v>
      </x:c>
      <x:c r="S12" s="8" t="n">
        <x:f>(1-'Гипотезы'!D5)*(1-'Гипотезы'!E5)</x:f>
        <x:v>0.5625</x:v>
      </x:c>
      <x:c r="T12" s="12" t="n">
        <x:f>Q12+R12*S12</x:f>
        <x:v>398.1275599765944</x:v>
      </x:c>
      <x:c r="U12" s="12" t="n">
        <x:f>T12-J12</x:f>
        <x:v>0</x:v>
      </x:c>
      <x:c r="V12" s="12" t="n">
        <x:f>J12*'Когорты'!T6</x:f>
        <x:v>398127.5599765944</x:v>
      </x:c>
      <x:c r="W12" s="12" t="n">
        <x:f>Q12*'Когорты'!T6*(1+'Воздействие'!H6*N12)</x:f>
        <x:v>398127.5599765944</x:v>
      </x:c>
      <x:c r="X12" s="12" t="n">
        <x:f>R12*'Когорты'!T6*(1+'Воздействие'!H6*N12)</x:f>
        <x:v>0</x:v>
      </x:c>
      <x:c r="Y12" s="12" t="n">
        <x:f>W12+X12*S12</x:f>
        <x:v>398127.5599765944</x:v>
      </x:c>
      <x:c r="Z12" s="12" t="n">
        <x:f>F12*N12</x:f>
        <x:v>0</x:v>
      </x:c>
      <x:c r="AA12" s="12" t="n">
        <x:f>J12*D12</x:f>
        <x:v>0</x:v>
      </x:c>
      <x:c r="AB12" s="12" t="n">
        <x:f>Q12*D12</x:f>
        <x:v>0</x:v>
      </x:c>
      <x:c r="AC12" s="12" t="n">
        <x:f>R12*D12</x:f>
        <x:v>0</x:v>
      </x:c>
      <x:c r="AD12" s="12" t="n">
        <x:f>J12*E12</x:f>
        <x:v>0</x:v>
      </x:c>
      <x:c r="AE12" s="12" t="n">
        <x:f>Q12*E12</x:f>
        <x:v>0</x:v>
      </x:c>
      <x:c r="AF12" s="12" t="n">
        <x:f>R12*E12</x:f>
        <x:v>0</x:v>
      </x:c>
      <x:c r="AG12" s="1" t="n">
        <x:f>IF(AND(I12&gt;=0,I12&lt;=1,Q12+R12&lt;=F12+0.00000001,N12&gt;=0,N12&lt;=1),1,0)</x:f>
        <x:v>1</x:v>
      </x:c>
      <x:c r="AH12" s="1"/>
      <x:c r="AI12" s="1"/>
    </x:row>
    <x:row r="13" ht="24" customHeight="1">
      <x:c r="A13" s="1" t="str">
        <x:v>H1</x:v>
      </x:c>
      <x:c r="B13" s="1" t="str">
        <x:v>S3</x:v>
      </x:c>
      <x:c r="C13" s="1" t="str">
        <x:v>Только C</x:v>
      </x:c>
      <x:c r="D13" s="1" t="n">
        <x:v>1</x:v>
      </x:c>
      <x:c r="E13" s="1" t="n">
        <x:v>0</x:v>
      </x:c>
      <x:c r="F13" s="12" t="n">
        <x:f>'Когорты'!D7*'Когорты'!L7</x:f>
        <x:v>16380.000000000002</x:v>
      </x:c>
      <x:c r="G13" s="8" t="n">
        <x:f>'Когорты'!F7</x:f>
        <x:v>0.12</x:v>
      </x:c>
      <x:c r="H13" s="1" t="n">
        <x:f>'Когорты'!O7</x:f>
        <x:v>1.5</x:v>
      </x:c>
      <x:c r="I13" s="8" t="n">
        <x:f>IF('Когорты'!S7&gt;0,G13*H13/'Когорты'!S7,0)</x:f>
        <x:v>0.17554125219426564</x:v>
      </x:c>
      <x:c r="J13" s="1" t="n">
        <x:f>F13*I13</x:f>
        <x:v>2875.3657109420715</x:v>
      </x:c>
      <x:c r="K13" s="8" t="n">
        <x:f>'Воздействие'!C7*D13</x:f>
        <x:v>0.4</x:v>
      </x:c>
      <x:c r="L13" s="8" t="n">
        <x:f>'Воздействие'!D7*E13</x:f>
        <x:v>0</x:v>
      </x:c>
      <x:c r="M13" s="8" t="n">
        <x:f>'Воздействие'!E7*D13*E13</x:f>
        <x:v>0</x:v>
      </x:c>
      <x:c r="N13" s="8" t="n">
        <x:f>K13+L13-M13</x:f>
        <x:v>0.4</x:v>
      </x:c>
      <x:c r="O13" s="1" t="n">
        <x:f>J13*'Параметры'!$B$10*N13</x:f>
        <x:v>115.01462843768286</x:v>
      </x:c>
      <x:c r="P13" s="8" t="n">
        <x:f>(1-'Воздействие'!F7*D13)*(1-'Воздействие'!G7*E13)</x:f>
        <x:v>1</x:v>
      </x:c>
      <x:c r="Q13" s="1" t="n">
        <x:f>J13*P13</x:f>
        <x:v>2875.3657109420715</x:v>
      </x:c>
      <x:c r="R13" s="1" t="n">
        <x:f>O13*P13</x:f>
        <x:v>115.01462843768286</x:v>
      </x:c>
      <x:c r="S13" s="8" t="n">
        <x:f>(1-'Гипотезы'!D5)*(1-'Гипотезы'!E5)</x:f>
        <x:v>0.5625</x:v>
      </x:c>
      <x:c r="T13" s="12" t="n">
        <x:f>Q13+R13*S13</x:f>
        <x:v>2940.0614394382683</x:v>
      </x:c>
      <x:c r="U13" s="12" t="n">
        <x:f>T13-J13</x:f>
        <x:v>64.6957284961968</x:v>
      </x:c>
      <x:c r="V13" s="12" t="n">
        <x:f>J13*'Когорты'!T7</x:f>
        <x:v>2875365.7109420714</x:v>
      </x:c>
      <x:c r="W13" s="12" t="n">
        <x:f>Q13*'Когорты'!T7*(1+'Воздействие'!H7*N13)</x:f>
        <x:v>2875365.7109420714</x:v>
      </x:c>
      <x:c r="X13" s="12" t="n">
        <x:f>R13*'Когорты'!T7*(1+'Воздействие'!H7*N13)</x:f>
        <x:v>115014.62843768286</x:v>
      </x:c>
      <x:c r="Y13" s="12" t="n">
        <x:f>W13+X13*S13</x:f>
        <x:v>2940061.439438268</x:v>
      </x:c>
      <x:c r="Z13" s="12" t="n">
        <x:f>F13*N13</x:f>
        <x:v>6552.000000000001</x:v>
      </x:c>
      <x:c r="AA13" s="12" t="n">
        <x:f>J13*D13</x:f>
        <x:v>2875.3657109420715</x:v>
      </x:c>
      <x:c r="AB13" s="12" t="n">
        <x:f>Q13*D13</x:f>
        <x:v>2875.3657109420715</x:v>
      </x:c>
      <x:c r="AC13" s="12" t="n">
        <x:f>R13*D13</x:f>
        <x:v>115.01462843768286</x:v>
      </x:c>
      <x:c r="AD13" s="12" t="n">
        <x:f>J13*E13</x:f>
        <x:v>0</x:v>
      </x:c>
      <x:c r="AE13" s="12" t="n">
        <x:f>Q13*E13</x:f>
        <x:v>0</x:v>
      </x:c>
      <x:c r="AF13" s="12" t="n">
        <x:f>R13*E13</x:f>
        <x:v>0</x:v>
      </x:c>
      <x:c r="AG13" s="1" t="n">
        <x:f>IF(AND(I13&gt;=0,I13&lt;=1,Q13+R13&lt;=F13+0.00000001,N13&gt;=0,N13&lt;=1),1,0)</x:f>
        <x:v>1</x:v>
      </x:c>
      <x:c r="AH13" s="1"/>
      <x:c r="AI13" s="1"/>
    </x:row>
    <x:row r="14" ht="24" customHeight="1">
      <x:c r="A14" s="1" t="str">
        <x:v>H1</x:v>
      </x:c>
      <x:c r="B14" s="1" t="str">
        <x:v>S3</x:v>
      </x:c>
      <x:c r="C14" s="1" t="str">
        <x:v>Только F</x:v>
      </x:c>
      <x:c r="D14" s="1" t="n">
        <x:v>0</x:v>
      </x:c>
      <x:c r="E14" s="1" t="n">
        <x:v>1</x:v>
      </x:c>
      <x:c r="F14" s="12" t="n">
        <x:f>'Когорты'!D7*'Когорты'!M7</x:f>
        <x:v>779.9999999999999</x:v>
      </x:c>
      <x:c r="G14" s="8" t="n">
        <x:f>'Когорты'!F7</x:f>
        <x:v>0.12</x:v>
      </x:c>
      <x:c r="H14" s="1" t="n">
        <x:f>'Когорты'!P7</x:f>
        <x:v>0.2</x:v>
      </x:c>
      <x:c r="I14" s="8" t="n">
        <x:f>IF('Когорты'!S7&gt;0,G14*H14/'Когорты'!S7,0)</x:f>
        <x:v>0.023405500292568753</x:v>
      </x:c>
      <x:c r="J14" s="1" t="n">
        <x:f>F14*I14</x:f>
        <x:v>18.256290228203625</x:v>
      </x:c>
      <x:c r="K14" s="8" t="n">
        <x:f>'Воздействие'!C7*D14</x:f>
        <x:v>0</x:v>
      </x:c>
      <x:c r="L14" s="8" t="n">
        <x:f>'Воздействие'!D7*E14</x:f>
        <x:v>0</x:v>
      </x:c>
      <x:c r="M14" s="8" t="n">
        <x:f>'Воздействие'!E7*D14*E14</x:f>
        <x:v>0</x:v>
      </x:c>
      <x:c r="N14" s="8" t="n">
        <x:f>K14+L14-M14</x:f>
        <x:v>0</x:v>
      </x:c>
      <x:c r="O14" s="1" t="n">
        <x:f>J14*'Параметры'!$B$10*N14</x:f>
        <x:v>0</x:v>
      </x:c>
      <x:c r="P14" s="8" t="n">
        <x:f>(1-'Воздействие'!F7*D14)*(1-'Воздействие'!G7*E14)</x:f>
        <x:v>1</x:v>
      </x:c>
      <x:c r="Q14" s="1" t="n">
        <x:f>J14*P14</x:f>
        <x:v>18.256290228203625</x:v>
      </x:c>
      <x:c r="R14" s="1" t="n">
        <x:f>O14*P14</x:f>
        <x:v>0</x:v>
      </x:c>
      <x:c r="S14" s="8" t="n">
        <x:f>(1-'Гипотезы'!D5)*(1-'Гипотезы'!E5)</x:f>
        <x:v>0.5625</x:v>
      </x:c>
      <x:c r="T14" s="12" t="n">
        <x:f>Q14+R14*S14</x:f>
        <x:v>18.256290228203625</x:v>
      </x:c>
      <x:c r="U14" s="12" t="n">
        <x:f>T14-J14</x:f>
        <x:v>0</x:v>
      </x:c>
      <x:c r="V14" s="12" t="n">
        <x:f>J14*'Когорты'!T7</x:f>
        <x:v>18256.290228203623</x:v>
      </x:c>
      <x:c r="W14" s="12" t="n">
        <x:f>Q14*'Когорты'!T7*(1+'Воздействие'!H7*N14)</x:f>
        <x:v>18256.290228203623</x:v>
      </x:c>
      <x:c r="X14" s="12" t="n">
        <x:f>R14*'Когорты'!T7*(1+'Воздействие'!H7*N14)</x:f>
        <x:v>0</x:v>
      </x:c>
      <x:c r="Y14" s="12" t="n">
        <x:f>W14+X14*S14</x:f>
        <x:v>18256.290228203623</x:v>
      </x:c>
      <x:c r="Z14" s="12" t="n">
        <x:f>F14*N14</x:f>
        <x:v>0</x:v>
      </x:c>
      <x:c r="AA14" s="12" t="n">
        <x:f>J14*D14</x:f>
        <x:v>0</x:v>
      </x:c>
      <x:c r="AB14" s="12" t="n">
        <x:f>Q14*D14</x:f>
        <x:v>0</x:v>
      </x:c>
      <x:c r="AC14" s="12" t="n">
        <x:f>R14*D14</x:f>
        <x:v>0</x:v>
      </x:c>
      <x:c r="AD14" s="12" t="n">
        <x:f>J14*E14</x:f>
        <x:v>18.256290228203625</x:v>
      </x:c>
      <x:c r="AE14" s="12" t="n">
        <x:f>Q14*E14</x:f>
        <x:v>18.256290228203625</x:v>
      </x:c>
      <x:c r="AF14" s="12" t="n">
        <x:f>R14*E14</x:f>
        <x:v>0</x:v>
      </x:c>
      <x:c r="AG14" s="1" t="n">
        <x:f>IF(AND(I14&gt;=0,I14&lt;=1,Q14+R14&lt;=F14+0.00000001,N14&gt;=0,N14&lt;=1),1,0)</x:f>
        <x:v>1</x:v>
      </x:c>
      <x:c r="AH14" s="1"/>
      <x:c r="AI14" s="1"/>
    </x:row>
    <x:row r="15" ht="24" customHeight="1">
      <x:c r="A15" s="1" t="str">
        <x:v>H1</x:v>
      </x:c>
      <x:c r="B15" s="1" t="str">
        <x:v>S3</x:v>
      </x:c>
      <x:c r="C15" s="1" t="str">
        <x:v>Оба</x:v>
      </x:c>
      <x:c r="D15" s="1" t="n">
        <x:v>1</x:v>
      </x:c>
      <x:c r="E15" s="1" t="n">
        <x:v>1</x:v>
      </x:c>
      <x:c r="F15" s="12" t="n">
        <x:f>'Когорты'!D7*'Когорты'!K7</x:f>
        <x:v>3120.0000000000005</x:v>
      </x:c>
      <x:c r="G15" s="8" t="n">
        <x:f>'Когорты'!F7</x:f>
        <x:v>0.12</x:v>
      </x:c>
      <x:c r="H15" s="1" t="n">
        <x:f>'Когорты'!Q7</x:f>
        <x:v>1</x:v>
      </x:c>
      <x:c r="I15" s="8" t="n">
        <x:f>IF('Когорты'!S7&gt;0,G15*H15/'Когорты'!S7,0)</x:f>
        <x:v>0.11702750146284376</x:v>
      </x:c>
      <x:c r="J15" s="1" t="n">
        <x:f>F15*I15</x:f>
        <x:v>365.12580456407255</x:v>
      </x:c>
      <x:c r="K15" s="8" t="n">
        <x:f>'Воздействие'!C7*D15</x:f>
        <x:v>0.4</x:v>
      </x:c>
      <x:c r="L15" s="8" t="n">
        <x:f>'Воздействие'!D7*E15</x:f>
        <x:v>0</x:v>
      </x:c>
      <x:c r="M15" s="8" t="n">
        <x:f>'Воздействие'!E7*D15*E15</x:f>
        <x:v>0</x:v>
      </x:c>
      <x:c r="N15" s="8" t="n">
        <x:f>K15+L15-M15</x:f>
        <x:v>0.4</x:v>
      </x:c>
      <x:c r="O15" s="1" t="n">
        <x:f>J15*'Параметры'!$B$10*N15</x:f>
        <x:v>14.605032182562903</x:v>
      </x:c>
      <x:c r="P15" s="8" t="n">
        <x:f>(1-'Воздействие'!F7*D15)*(1-'Воздействие'!G7*E15)</x:f>
        <x:v>1</x:v>
      </x:c>
      <x:c r="Q15" s="1" t="n">
        <x:f>J15*P15</x:f>
        <x:v>365.12580456407255</x:v>
      </x:c>
      <x:c r="R15" s="1" t="n">
        <x:f>O15*P15</x:f>
        <x:v>14.605032182562903</x:v>
      </x:c>
      <x:c r="S15" s="8" t="n">
        <x:f>(1-'Гипотезы'!D5)*(1-'Гипотезы'!E5)</x:f>
        <x:v>0.5625</x:v>
      </x:c>
      <x:c r="T15" s="12" t="n">
        <x:f>Q15+R15*S15</x:f>
        <x:v>373.34113516676416</x:v>
      </x:c>
      <x:c r="U15" s="12" t="n">
        <x:f>T15-J15</x:f>
        <x:v>8.215330602691608</x:v>
      </x:c>
      <x:c r="V15" s="12" t="n">
        <x:f>J15*'Когорты'!T7</x:f>
        <x:v>365125.8045640726</x:v>
      </x:c>
      <x:c r="W15" s="12" t="n">
        <x:f>Q15*'Когорты'!T7*(1+'Воздействие'!H7*N15)</x:f>
        <x:v>365125.8045640726</x:v>
      </x:c>
      <x:c r="X15" s="12" t="n">
        <x:f>R15*'Когорты'!T7*(1+'Воздействие'!H7*N15)</x:f>
        <x:v>14605.032182562903</x:v>
      </x:c>
      <x:c r="Y15" s="12" t="n">
        <x:f>W15+X15*S15</x:f>
        <x:v>373341.1351667642</x:v>
      </x:c>
      <x:c r="Z15" s="12" t="n">
        <x:f>F15*N15</x:f>
        <x:v>1248.0000000000002</x:v>
      </x:c>
      <x:c r="AA15" s="12" t="n">
        <x:f>J15*D15</x:f>
        <x:v>365.12580456407255</x:v>
      </x:c>
      <x:c r="AB15" s="12" t="n">
        <x:f>Q15*D15</x:f>
        <x:v>365.12580456407255</x:v>
      </x:c>
      <x:c r="AC15" s="12" t="n">
        <x:f>R15*D15</x:f>
        <x:v>14.605032182562903</x:v>
      </x:c>
      <x:c r="AD15" s="12" t="n">
        <x:f>J15*E15</x:f>
        <x:v>365.12580456407255</x:v>
      </x:c>
      <x:c r="AE15" s="12" t="n">
        <x:f>Q15*E15</x:f>
        <x:v>365.12580456407255</x:v>
      </x:c>
      <x:c r="AF15" s="12" t="n">
        <x:f>R15*E15</x:f>
        <x:v>14.605032182562903</x:v>
      </x:c>
      <x:c r="AG15" s="1" t="n">
        <x:f>IF(AND(I15&gt;=0,I15&lt;=1,Q15+R15&lt;=F15+0.00000001,N15&gt;=0,N15&lt;=1),1,0)</x:f>
        <x:v>1</x:v>
      </x:c>
      <x:c r="AH15" s="1"/>
      <x:c r="AI15" s="1"/>
    </x:row>
    <x:row r="16" ht="24" customHeight="1">
      <x:c r="A16" s="1" t="str">
        <x:v>H1</x:v>
      </x:c>
      <x:c r="B16" s="1" t="str">
        <x:v>S3</x:v>
      </x:c>
      <x:c r="C16" s="1" t="str">
        <x:v>Ни один</x:v>
      </x:c>
      <x:c r="D16" s="1" t="n">
        <x:v>0</x:v>
      </x:c>
      <x:c r="E16" s="1" t="n">
        <x:v>0</x:v>
      </x:c>
      <x:c r="F16" s="12" t="n">
        <x:f>'Когорты'!D7*'Когорты'!N7</x:f>
        <x:v>9719.999999999998</x:v>
      </x:c>
      <x:c r="G16" s="8" t="n">
        <x:f>'Когорты'!F7</x:f>
        <x:v>0.12</x:v>
      </x:c>
      <x:c r="H16" s="1" t="n">
        <x:f>'Когорты'!R7</x:f>
        <x:v>0.3</x:v>
      </x:c>
      <x:c r="I16" s="8" t="n">
        <x:f>IF('Когорты'!S7&gt;0,G16*H16/'Когорты'!S7,0)</x:f>
        <x:v>0.03510825043885313</x:v>
      </x:c>
      <x:c r="J16" s="1" t="n">
        <x:f>F16*I16</x:f>
        <x:v>341.25219426565235</x:v>
      </x:c>
      <x:c r="K16" s="8" t="n">
        <x:f>'Воздействие'!C7*D16</x:f>
        <x:v>0</x:v>
      </x:c>
      <x:c r="L16" s="8" t="n">
        <x:f>'Воздействие'!D7*E16</x:f>
        <x:v>0</x:v>
      </x:c>
      <x:c r="M16" s="8" t="n">
        <x:f>'Воздействие'!E7*D16*E16</x:f>
        <x:v>0</x:v>
      </x:c>
      <x:c r="N16" s="8" t="n">
        <x:f>K16+L16-M16</x:f>
        <x:v>0</x:v>
      </x:c>
      <x:c r="O16" s="1" t="n">
        <x:f>J16*'Параметры'!$B$10*N16</x:f>
        <x:v>0</x:v>
      </x:c>
      <x:c r="P16" s="8" t="n">
        <x:f>(1-'Воздействие'!F7*D16)*(1-'Воздействие'!G7*E16)</x:f>
        <x:v>1</x:v>
      </x:c>
      <x:c r="Q16" s="1" t="n">
        <x:f>J16*P16</x:f>
        <x:v>341.25219426565235</x:v>
      </x:c>
      <x:c r="R16" s="1" t="n">
        <x:f>O16*P16</x:f>
        <x:v>0</x:v>
      </x:c>
      <x:c r="S16" s="8" t="n">
        <x:f>(1-'Гипотезы'!D5)*(1-'Гипотезы'!E5)</x:f>
        <x:v>0.5625</x:v>
      </x:c>
      <x:c r="T16" s="12" t="n">
        <x:f>Q16+R16*S16</x:f>
        <x:v>341.25219426565235</x:v>
      </x:c>
      <x:c r="U16" s="12" t="n">
        <x:f>T16-J16</x:f>
        <x:v>0</x:v>
      </x:c>
      <x:c r="V16" s="12" t="n">
        <x:f>J16*'Когорты'!T7</x:f>
        <x:v>341252.19426565233</x:v>
      </x:c>
      <x:c r="W16" s="12" t="n">
        <x:f>Q16*'Когорты'!T7*(1+'Воздействие'!H7*N16)</x:f>
        <x:v>341252.19426565233</x:v>
      </x:c>
      <x:c r="X16" s="12" t="n">
        <x:f>R16*'Когорты'!T7*(1+'Воздействие'!H7*N16)</x:f>
        <x:v>0</x:v>
      </x:c>
      <x:c r="Y16" s="12" t="n">
        <x:f>W16+X16*S16</x:f>
        <x:v>341252.19426565233</x:v>
      </x:c>
      <x:c r="Z16" s="12" t="n">
        <x:f>F16*N16</x:f>
        <x:v>0</x:v>
      </x:c>
      <x:c r="AA16" s="12" t="n">
        <x:f>J16*D16</x:f>
        <x:v>0</x:v>
      </x:c>
      <x:c r="AB16" s="12" t="n">
        <x:f>Q16*D16</x:f>
        <x:v>0</x:v>
      </x:c>
      <x:c r="AC16" s="12" t="n">
        <x:f>R16*D16</x:f>
        <x:v>0</x:v>
      </x:c>
      <x:c r="AD16" s="12" t="n">
        <x:f>J16*E16</x:f>
        <x:v>0</x:v>
      </x:c>
      <x:c r="AE16" s="12" t="n">
        <x:f>Q16*E16</x:f>
        <x:v>0</x:v>
      </x:c>
      <x:c r="AF16" s="12" t="n">
        <x:f>R16*E16</x:f>
        <x:v>0</x:v>
      </x:c>
      <x:c r="AG16" s="1" t="n">
        <x:f>IF(AND(I16&gt;=0,I16&lt;=1,Q16+R16&lt;=F16+0.00000001,N16&gt;=0,N16&lt;=1),1,0)</x:f>
        <x:v>1</x:v>
      </x:c>
      <x:c r="AH16" s="1"/>
      <x:c r="AI16" s="1"/>
    </x:row>
    <x:row r="17" ht="24" customHeight="1">
      <x:c r="A17" s="1" t="str">
        <x:v>H1</x:v>
      </x:c>
      <x:c r="B17" s="1" t="str">
        <x:v>S4</x:v>
      </x:c>
      <x:c r="C17" s="1" t="str">
        <x:v>Только C</x:v>
      </x:c>
      <x:c r="D17" s="1" t="n">
        <x:v>1</x:v>
      </x:c>
      <x:c r="E17" s="1" t="n">
        <x:v>0</x:v>
      </x:c>
      <x:c r="F17" s="12" t="n">
        <x:f>'Когорты'!D8*'Когорты'!L8</x:f>
        <x:v>16380.000000000002</x:v>
      </x:c>
      <x:c r="G17" s="8" t="n">
        <x:f>'Когорты'!F8</x:f>
        <x:v>0.21</x:v>
      </x:c>
      <x:c r="H17" s="1" t="n">
        <x:f>'Когорты'!O8</x:f>
        <x:v>1.5</x:v>
      </x:c>
      <x:c r="I17" s="8" t="n">
        <x:f>IF('Когорты'!S8&gt;0,G17*H17/'Когорты'!S8,0)</x:f>
        <x:v>0.30719719133996487</x:v>
      </x:c>
      <x:c r="J17" s="1" t="n">
        <x:f>F17*I17</x:f>
        <x:v>5031.889994148625</x:v>
      </x:c>
      <x:c r="K17" s="8" t="n">
        <x:f>'Воздействие'!C8*D17</x:f>
        <x:v>0</x:v>
      </x:c>
      <x:c r="L17" s="8" t="n">
        <x:f>'Воздействие'!D8*E17</x:f>
        <x:v>0</x:v>
      </x:c>
      <x:c r="M17" s="8" t="n">
        <x:f>'Воздействие'!E8*D17*E17</x:f>
        <x:v>0</x:v>
      </x:c>
      <x:c r="N17" s="8" t="n">
        <x:f>K17+L17-M17</x:f>
        <x:v>0</x:v>
      </x:c>
      <x:c r="O17" s="1" t="n">
        <x:f>J17*'Параметры'!$B$10*N17</x:f>
        <x:v>0</x:v>
      </x:c>
      <x:c r="P17" s="8" t="n">
        <x:f>(1-'Воздействие'!F8*D17)*(1-'Воздействие'!G8*E17)</x:f>
        <x:v>1</x:v>
      </x:c>
      <x:c r="Q17" s="1" t="n">
        <x:f>J17*P17</x:f>
        <x:v>5031.889994148625</x:v>
      </x:c>
      <x:c r="R17" s="1" t="n">
        <x:f>O17*P17</x:f>
        <x:v>0</x:v>
      </x:c>
      <x:c r="S17" s="8" t="n">
        <x:f>(1-'Гипотезы'!D5)*(1-'Гипотезы'!E5)</x:f>
        <x:v>0.5625</x:v>
      </x:c>
      <x:c r="T17" s="12" t="n">
        <x:f>Q17+R17*S17</x:f>
        <x:v>5031.889994148625</x:v>
      </x:c>
      <x:c r="U17" s="12" t="n">
        <x:f>T17-J17</x:f>
        <x:v>0</x:v>
      </x:c>
      <x:c r="V17" s="12" t="n">
        <x:f>J17*'Когорты'!T8</x:f>
        <x:v>5031889.994148625</x:v>
      </x:c>
      <x:c r="W17" s="12" t="n">
        <x:f>Q17*'Когорты'!T8*(1+'Воздействие'!H8*N17)</x:f>
        <x:v>5031889.994148625</x:v>
      </x:c>
      <x:c r="X17" s="12" t="n">
        <x:f>R17*'Когорты'!T8*(1+'Воздействие'!H8*N17)</x:f>
        <x:v>0</x:v>
      </x:c>
      <x:c r="Y17" s="12" t="n">
        <x:f>W17+X17*S17</x:f>
        <x:v>5031889.994148625</x:v>
      </x:c>
      <x:c r="Z17" s="12" t="n">
        <x:f>F17*N17</x:f>
        <x:v>0</x:v>
      </x:c>
      <x:c r="AA17" s="12" t="n">
        <x:f>J17*D17</x:f>
        <x:v>5031.889994148625</x:v>
      </x:c>
      <x:c r="AB17" s="12" t="n">
        <x:f>Q17*D17</x:f>
        <x:v>5031.889994148625</x:v>
      </x:c>
      <x:c r="AC17" s="12" t="n">
        <x:f>R17*D17</x:f>
        <x:v>0</x:v>
      </x:c>
      <x:c r="AD17" s="12" t="n">
        <x:f>J17*E17</x:f>
        <x:v>0</x:v>
      </x:c>
      <x:c r="AE17" s="12" t="n">
        <x:f>Q17*E17</x:f>
        <x:v>0</x:v>
      </x:c>
      <x:c r="AF17" s="12" t="n">
        <x:f>R17*E17</x:f>
        <x:v>0</x:v>
      </x:c>
      <x:c r="AG17" s="1" t="n">
        <x:f>IF(AND(I17&gt;=0,I17&lt;=1,Q17+R17&lt;=F17+0.00000001,N17&gt;=0,N17&lt;=1),1,0)</x:f>
        <x:v>1</x:v>
      </x:c>
      <x:c r="AH17" s="1"/>
      <x:c r="AI17" s="1"/>
    </x:row>
    <x:row r="18" ht="24" customHeight="1">
      <x:c r="A18" s="1" t="str">
        <x:v>H1</x:v>
      </x:c>
      <x:c r="B18" s="1" t="str">
        <x:v>S4</x:v>
      </x:c>
      <x:c r="C18" s="1" t="str">
        <x:v>Только F</x:v>
      </x:c>
      <x:c r="D18" s="1" t="n">
        <x:v>0</x:v>
      </x:c>
      <x:c r="E18" s="1" t="n">
        <x:v>1</x:v>
      </x:c>
      <x:c r="F18" s="12" t="n">
        <x:f>'Когорты'!D8*'Когорты'!M8</x:f>
        <x:v>779.9999999999999</x:v>
      </x:c>
      <x:c r="G18" s="8" t="n">
        <x:f>'Когорты'!F8</x:f>
        <x:v>0.21</x:v>
      </x:c>
      <x:c r="H18" s="1" t="n">
        <x:f>'Когорты'!P8</x:f>
        <x:v>0.2</x:v>
      </x:c>
      <x:c r="I18" s="8" t="n">
        <x:f>IF('Когорты'!S8&gt;0,G18*H18/'Когорты'!S8,0)</x:f>
        <x:v>0.04095962551199532</x:v>
      </x:c>
      <x:c r="J18" s="1" t="n">
        <x:f>F18*I18</x:f>
        <x:v>31.948507899356347</x:v>
      </x:c>
      <x:c r="K18" s="8" t="n">
        <x:f>'Воздействие'!C8*D18</x:f>
        <x:v>0</x:v>
      </x:c>
      <x:c r="L18" s="8" t="n">
        <x:f>'Воздействие'!D8*E18</x:f>
        <x:v>0</x:v>
      </x:c>
      <x:c r="M18" s="8" t="n">
        <x:f>'Воздействие'!E8*D18*E18</x:f>
        <x:v>0</x:v>
      </x:c>
      <x:c r="N18" s="8" t="n">
        <x:f>K18+L18-M18</x:f>
        <x:v>0</x:v>
      </x:c>
      <x:c r="O18" s="1" t="n">
        <x:f>J18*'Параметры'!$B$10*N18</x:f>
        <x:v>0</x:v>
      </x:c>
      <x:c r="P18" s="8" t="n">
        <x:f>(1-'Воздействие'!F8*D18)*(1-'Воздействие'!G8*E18)</x:f>
        <x:v>1</x:v>
      </x:c>
      <x:c r="Q18" s="1" t="n">
        <x:f>J18*P18</x:f>
        <x:v>31.948507899356347</x:v>
      </x:c>
      <x:c r="R18" s="1" t="n">
        <x:f>O18*P18</x:f>
        <x:v>0</x:v>
      </x:c>
      <x:c r="S18" s="8" t="n">
        <x:f>(1-'Гипотезы'!D5)*(1-'Гипотезы'!E5)</x:f>
        <x:v>0.5625</x:v>
      </x:c>
      <x:c r="T18" s="12" t="n">
        <x:f>Q18+R18*S18</x:f>
        <x:v>31.948507899356347</x:v>
      </x:c>
      <x:c r="U18" s="12" t="n">
        <x:f>T18-J18</x:f>
        <x:v>0</x:v>
      </x:c>
      <x:c r="V18" s="12" t="n">
        <x:f>J18*'Когорты'!T8</x:f>
        <x:v>31948.507899356347</x:v>
      </x:c>
      <x:c r="W18" s="12" t="n">
        <x:f>Q18*'Когорты'!T8*(1+'Воздействие'!H8*N18)</x:f>
        <x:v>31948.507899356347</x:v>
      </x:c>
      <x:c r="X18" s="12" t="n">
        <x:f>R18*'Когорты'!T8*(1+'Воздействие'!H8*N18)</x:f>
        <x:v>0</x:v>
      </x:c>
      <x:c r="Y18" s="12" t="n">
        <x:f>W18+X18*S18</x:f>
        <x:v>31948.507899356347</x:v>
      </x:c>
      <x:c r="Z18" s="12" t="n">
        <x:f>F18*N18</x:f>
        <x:v>0</x:v>
      </x:c>
      <x:c r="AA18" s="12" t="n">
        <x:f>J18*D18</x:f>
        <x:v>0</x:v>
      </x:c>
      <x:c r="AB18" s="12" t="n">
        <x:f>Q18*D18</x:f>
        <x:v>0</x:v>
      </x:c>
      <x:c r="AC18" s="12" t="n">
        <x:f>R18*D18</x:f>
        <x:v>0</x:v>
      </x:c>
      <x:c r="AD18" s="12" t="n">
        <x:f>J18*E18</x:f>
        <x:v>31.948507899356347</x:v>
      </x:c>
      <x:c r="AE18" s="12" t="n">
        <x:f>Q18*E18</x:f>
        <x:v>31.948507899356347</x:v>
      </x:c>
      <x:c r="AF18" s="12" t="n">
        <x:f>R18*E18</x:f>
        <x:v>0</x:v>
      </x:c>
      <x:c r="AG18" s="1" t="n">
        <x:f>IF(AND(I18&gt;=0,I18&lt;=1,Q18+R18&lt;=F18+0.00000001,N18&gt;=0,N18&lt;=1),1,0)</x:f>
        <x:v>1</x:v>
      </x:c>
      <x:c r="AH18" s="1"/>
      <x:c r="AI18" s="1"/>
    </x:row>
    <x:row r="19" ht="24" customHeight="1">
      <x:c r="A19" s="1" t="str">
        <x:v>H1</x:v>
      </x:c>
      <x:c r="B19" s="1" t="str">
        <x:v>S4</x:v>
      </x:c>
      <x:c r="C19" s="1" t="str">
        <x:v>Оба</x:v>
      </x:c>
      <x:c r="D19" s="1" t="n">
        <x:v>1</x:v>
      </x:c>
      <x:c r="E19" s="1" t="n">
        <x:v>1</x:v>
      </x:c>
      <x:c r="F19" s="12" t="n">
        <x:f>'Когорты'!D8*'Когорты'!K8</x:f>
        <x:v>3120.0000000000005</x:v>
      </x:c>
      <x:c r="G19" s="8" t="n">
        <x:f>'Когорты'!F8</x:f>
        <x:v>0.21</x:v>
      </x:c>
      <x:c r="H19" s="1" t="n">
        <x:f>'Когорты'!Q8</x:f>
        <x:v>1</x:v>
      </x:c>
      <x:c r="I19" s="8" t="n">
        <x:f>IF('Когорты'!S8&gt;0,G19*H19/'Когорты'!S8,0)</x:f>
        <x:v>0.20479812755997656</x:v>
      </x:c>
      <x:c r="J19" s="1" t="n">
        <x:f>F19*I19</x:f>
        <x:v>638.970157987127</x:v>
      </x:c>
      <x:c r="K19" s="8" t="n">
        <x:f>'Воздействие'!C8*D19</x:f>
        <x:v>0</x:v>
      </x:c>
      <x:c r="L19" s="8" t="n">
        <x:f>'Воздействие'!D8*E19</x:f>
        <x:v>0</x:v>
      </x:c>
      <x:c r="M19" s="8" t="n">
        <x:f>'Воздействие'!E8*D19*E19</x:f>
        <x:v>0</x:v>
      </x:c>
      <x:c r="N19" s="8" t="n">
        <x:f>K19+L19-M19</x:f>
        <x:v>0</x:v>
      </x:c>
      <x:c r="O19" s="1" t="n">
        <x:f>J19*'Параметры'!$B$10*N19</x:f>
        <x:v>0</x:v>
      </x:c>
      <x:c r="P19" s="8" t="n">
        <x:f>(1-'Воздействие'!F8*D19)*(1-'Воздействие'!G8*E19)</x:f>
        <x:v>1</x:v>
      </x:c>
      <x:c r="Q19" s="1" t="n">
        <x:f>J19*P19</x:f>
        <x:v>638.970157987127</x:v>
      </x:c>
      <x:c r="R19" s="1" t="n">
        <x:f>O19*P19</x:f>
        <x:v>0</x:v>
      </x:c>
      <x:c r="S19" s="8" t="n">
        <x:f>(1-'Гипотезы'!D5)*(1-'Гипотезы'!E5)</x:f>
        <x:v>0.5625</x:v>
      </x:c>
      <x:c r="T19" s="12" t="n">
        <x:f>Q19+R19*S19</x:f>
        <x:v>638.970157987127</x:v>
      </x:c>
      <x:c r="U19" s="12" t="n">
        <x:f>T19-J19</x:f>
        <x:v>0</x:v>
      </x:c>
      <x:c r="V19" s="12" t="n">
        <x:f>J19*'Когорты'!T8</x:f>
        <x:v>638970.157987127</x:v>
      </x:c>
      <x:c r="W19" s="12" t="n">
        <x:f>Q19*'Когорты'!T8*(1+'Воздействие'!H8*N19)</x:f>
        <x:v>638970.157987127</x:v>
      </x:c>
      <x:c r="X19" s="12" t="n">
        <x:f>R19*'Когорты'!T8*(1+'Воздействие'!H8*N19)</x:f>
        <x:v>0</x:v>
      </x:c>
      <x:c r="Y19" s="12" t="n">
        <x:f>W19+X19*S19</x:f>
        <x:v>638970.157987127</x:v>
      </x:c>
      <x:c r="Z19" s="12" t="n">
        <x:f>F19*N19</x:f>
        <x:v>0</x:v>
      </x:c>
      <x:c r="AA19" s="12" t="n">
        <x:f>J19*D19</x:f>
        <x:v>638.970157987127</x:v>
      </x:c>
      <x:c r="AB19" s="12" t="n">
        <x:f>Q19*D19</x:f>
        <x:v>638.970157987127</x:v>
      </x:c>
      <x:c r="AC19" s="12" t="n">
        <x:f>R19*D19</x:f>
        <x:v>0</x:v>
      </x:c>
      <x:c r="AD19" s="12" t="n">
        <x:f>J19*E19</x:f>
        <x:v>638.970157987127</x:v>
      </x:c>
      <x:c r="AE19" s="12" t="n">
        <x:f>Q19*E19</x:f>
        <x:v>638.970157987127</x:v>
      </x:c>
      <x:c r="AF19" s="12" t="n">
        <x:f>R19*E19</x:f>
        <x:v>0</x:v>
      </x:c>
      <x:c r="AG19" s="1" t="n">
        <x:f>IF(AND(I19&gt;=0,I19&lt;=1,Q19+R19&lt;=F19+0.00000001,N19&gt;=0,N19&lt;=1),1,0)</x:f>
        <x:v>1</x:v>
      </x:c>
      <x:c r="AH19" s="1"/>
      <x:c r="AI19" s="1"/>
    </x:row>
    <x:row r="20" ht="24" customHeight="1">
      <x:c r="A20" s="1" t="str">
        <x:v>H1</x:v>
      </x:c>
      <x:c r="B20" s="1" t="str">
        <x:v>S4</x:v>
      </x:c>
      <x:c r="C20" s="1" t="str">
        <x:v>Ни один</x:v>
      </x:c>
      <x:c r="D20" s="1" t="n">
        <x:v>0</x:v>
      </x:c>
      <x:c r="E20" s="1" t="n">
        <x:v>0</x:v>
      </x:c>
      <x:c r="F20" s="12" t="n">
        <x:f>'Когорты'!D8*'Когорты'!N8</x:f>
        <x:v>9719.999999999998</x:v>
      </x:c>
      <x:c r="G20" s="8" t="n">
        <x:f>'Когорты'!F8</x:f>
        <x:v>0.21</x:v>
      </x:c>
      <x:c r="H20" s="1" t="n">
        <x:f>'Когорты'!R8</x:f>
        <x:v>0.3</x:v>
      </x:c>
      <x:c r="I20" s="8" t="n">
        <x:f>IF('Когорты'!S8&gt;0,G20*H20/'Когорты'!S8,0)</x:f>
        <x:v>0.061439438267992974</x:v>
      </x:c>
      <x:c r="J20" s="1" t="n">
        <x:f>F20*I20</x:f>
        <x:v>597.1913399648915</x:v>
      </x:c>
      <x:c r="K20" s="8" t="n">
        <x:f>'Воздействие'!C8*D20</x:f>
        <x:v>0</x:v>
      </x:c>
      <x:c r="L20" s="8" t="n">
        <x:f>'Воздействие'!D8*E20</x:f>
        <x:v>0</x:v>
      </x:c>
      <x:c r="M20" s="8" t="n">
        <x:f>'Воздействие'!E8*D20*E20</x:f>
        <x:v>0</x:v>
      </x:c>
      <x:c r="N20" s="8" t="n">
        <x:f>K20+L20-M20</x:f>
        <x:v>0</x:v>
      </x:c>
      <x:c r="O20" s="1" t="n">
        <x:f>J20*'Параметры'!$B$10*N20</x:f>
        <x:v>0</x:v>
      </x:c>
      <x:c r="P20" s="8" t="n">
        <x:f>(1-'Воздействие'!F8*D20)*(1-'Воздействие'!G8*E20)</x:f>
        <x:v>1</x:v>
      </x:c>
      <x:c r="Q20" s="1" t="n">
        <x:f>J20*P20</x:f>
        <x:v>597.1913399648915</x:v>
      </x:c>
      <x:c r="R20" s="1" t="n">
        <x:f>O20*P20</x:f>
        <x:v>0</x:v>
      </x:c>
      <x:c r="S20" s="8" t="n">
        <x:f>(1-'Гипотезы'!D5)*(1-'Гипотезы'!E5)</x:f>
        <x:v>0.5625</x:v>
      </x:c>
      <x:c r="T20" s="12" t="n">
        <x:f>Q20+R20*S20</x:f>
        <x:v>597.1913399648915</x:v>
      </x:c>
      <x:c r="U20" s="12" t="n">
        <x:f>T20-J20</x:f>
        <x:v>0</x:v>
      </x:c>
      <x:c r="V20" s="12" t="n">
        <x:f>J20*'Когорты'!T8</x:f>
        <x:v>597191.3399648916</x:v>
      </x:c>
      <x:c r="W20" s="12" t="n">
        <x:f>Q20*'Когорты'!T8*(1+'Воздействие'!H8*N20)</x:f>
        <x:v>597191.3399648916</x:v>
      </x:c>
      <x:c r="X20" s="12" t="n">
        <x:f>R20*'Когорты'!T8*(1+'Воздействие'!H8*N20)</x:f>
        <x:v>0</x:v>
      </x:c>
      <x:c r="Y20" s="12" t="n">
        <x:f>W20+X20*S20</x:f>
        <x:v>597191.3399648916</x:v>
      </x:c>
      <x:c r="Z20" s="12" t="n">
        <x:f>F20*N20</x:f>
        <x:v>0</x:v>
      </x:c>
      <x:c r="AA20" s="12" t="n">
        <x:f>J20*D20</x:f>
        <x:v>0</x:v>
      </x:c>
      <x:c r="AB20" s="12" t="n">
        <x:f>Q20*D20</x:f>
        <x:v>0</x:v>
      </x:c>
      <x:c r="AC20" s="12" t="n">
        <x:f>R20*D20</x:f>
        <x:v>0</x:v>
      </x:c>
      <x:c r="AD20" s="12" t="n">
        <x:f>J20*E20</x:f>
        <x:v>0</x:v>
      </x:c>
      <x:c r="AE20" s="12" t="n">
        <x:f>Q20*E20</x:f>
        <x:v>0</x:v>
      </x:c>
      <x:c r="AF20" s="12" t="n">
        <x:f>R20*E20</x:f>
        <x:v>0</x:v>
      </x:c>
      <x:c r="AG20" s="1" t="n">
        <x:f>IF(AND(I20&gt;=0,I20&lt;=1,Q20+R20&lt;=F20+0.00000001,N20&gt;=0,N20&lt;=1),1,0)</x:f>
        <x:v>1</x:v>
      </x:c>
      <x:c r="AH20" s="1"/>
      <x:c r="AI20" s="1"/>
    </x:row>
    <x:row r="21" ht="24" customHeight="1">
      <x:c r="A21" s="1" t="str">
        <x:v>H2</x:v>
      </x:c>
      <x:c r="B21" s="1" t="str">
        <x:v>S1</x:v>
      </x:c>
      <x:c r="C21" s="1" t="str">
        <x:v>Только C</x:v>
      </x:c>
      <x:c r="D21" s="1" t="n">
        <x:v>1</x:v>
      </x:c>
      <x:c r="E21" s="1" t="n">
        <x:v>0</x:v>
      </x:c>
      <x:c r="F21" s="12" t="n">
        <x:f>'Когорты'!D5*'Когорты'!L5</x:f>
        <x:v>10920</x:v>
      </x:c>
      <x:c r="G21" s="8" t="n">
        <x:f>'Когорты'!F5</x:f>
        <x:v>0.3</x:v>
      </x:c>
      <x:c r="H21" s="1" t="n">
        <x:f>'Когорты'!O5</x:f>
        <x:v>1.5</x:v>
      </x:c>
      <x:c r="I21" s="8" t="n">
        <x:f>IF('Когорты'!S5&gt;0,G21*H21/'Когорты'!S5,0)</x:f>
        <x:v>0.43885313048566404</x:v>
      </x:c>
      <x:c r="J21" s="1" t="n">
        <x:f>F21*I21</x:f>
        <x:v>4792.276184903451</x:v>
      </x:c>
      <x:c r="K21" s="8" t="n">
        <x:f>'Воздействие'!C9*D21</x:f>
        <x:v>0.2</x:v>
      </x:c>
      <x:c r="L21" s="8" t="n">
        <x:f>'Воздействие'!D9*E21</x:f>
        <x:v>0</x:v>
      </x:c>
      <x:c r="M21" s="8" t="n">
        <x:f>'Воздействие'!E9*D21*E21</x:f>
        <x:v>0</x:v>
      </x:c>
      <x:c r="N21" s="8" t="n">
        <x:f>K21+L21-M21</x:f>
        <x:v>0.2</x:v>
      </x:c>
      <x:c r="O21" s="1" t="n">
        <x:f>J21*'Параметры'!$B$10*N21</x:f>
        <x:v>95.84552369806903</x:v>
      </x:c>
      <x:c r="P21" s="8" t="n">
        <x:f>(1-'Воздействие'!F9*D21)*(1-'Воздействие'!G9*E21)</x:f>
        <x:v>1</x:v>
      </x:c>
      <x:c r="Q21" s="1" t="n">
        <x:f>J21*P21</x:f>
        <x:v>4792.276184903451</x:v>
      </x:c>
      <x:c r="R21" s="1" t="n">
        <x:f>O21*P21</x:f>
        <x:v>95.84552369806903</x:v>
      </x:c>
      <x:c r="S21" s="8" t="n">
        <x:f>(1-'Гипотезы'!D6)*(1-'Гипотезы'!E6)</x:f>
        <x:v>0.5625</x:v>
      </x:c>
      <x:c r="T21" s="12" t="n">
        <x:f>Q21+R21*S21</x:f>
        <x:v>4846.1892919836155</x:v>
      </x:c>
      <x:c r="U21" s="12" t="n">
        <x:f>T21-J21</x:f>
        <x:v>53.91310708016408</x:v>
      </x:c>
      <x:c r="V21" s="12" t="n">
        <x:f>J21*'Когорты'!T5</x:f>
        <x:v>4792276.184903451</x:v>
      </x:c>
      <x:c r="W21" s="12" t="n">
        <x:f>Q21*'Когорты'!T5*(1+'Воздействие'!H9*N21)</x:f>
        <x:v>4792276.184903451</x:v>
      </x:c>
      <x:c r="X21" s="12" t="n">
        <x:f>R21*'Когорты'!T5*(1+'Воздействие'!H9*N21)</x:f>
        <x:v>95845.52369806902</x:v>
      </x:c>
      <x:c r="Y21" s="12" t="n">
        <x:f>W21+X21*S21</x:f>
        <x:v>4846189.291983615</x:v>
      </x:c>
      <x:c r="Z21" s="12" t="n">
        <x:f>F21*N21</x:f>
        <x:v>2184</x:v>
      </x:c>
      <x:c r="AA21" s="12" t="n">
        <x:f>J21*D21</x:f>
        <x:v>4792.276184903451</x:v>
      </x:c>
      <x:c r="AB21" s="12" t="n">
        <x:f>Q21*D21</x:f>
        <x:v>4792.276184903451</x:v>
      </x:c>
      <x:c r="AC21" s="12" t="n">
        <x:f>R21*D21</x:f>
        <x:v>95.84552369806903</x:v>
      </x:c>
      <x:c r="AD21" s="12" t="n">
        <x:f>J21*E21</x:f>
        <x:v>0</x:v>
      </x:c>
      <x:c r="AE21" s="12" t="n">
        <x:f>Q21*E21</x:f>
        <x:v>0</x:v>
      </x:c>
      <x:c r="AF21" s="12" t="n">
        <x:f>R21*E21</x:f>
        <x:v>0</x:v>
      </x:c>
      <x:c r="AG21" s="1" t="n">
        <x:f>IF(AND(I21&gt;=0,I21&lt;=1,Q21+R21&lt;=F21+0.00000001,N21&gt;=0,N21&lt;=1),1,0)</x:f>
        <x:v>1</x:v>
      </x:c>
      <x:c r="AH21" s="1"/>
      <x:c r="AI21" s="1"/>
    </x:row>
    <x:row r="22" ht="24" customHeight="1">
      <x:c r="A22" s="1" t="str">
        <x:v>H2</x:v>
      </x:c>
      <x:c r="B22" s="1" t="str">
        <x:v>S1</x:v>
      </x:c>
      <x:c r="C22" s="1" t="str">
        <x:v>Только F</x:v>
      </x:c>
      <x:c r="D22" s="1" t="n">
        <x:v>0</x:v>
      </x:c>
      <x:c r="E22" s="1" t="n">
        <x:v>1</x:v>
      </x:c>
      <x:c r="F22" s="12" t="n">
        <x:f>'Когорты'!D5*'Когорты'!M5</x:f>
        <x:v>519.9999999999999</x:v>
      </x:c>
      <x:c r="G22" s="8" t="n">
        <x:f>'Когорты'!F5</x:f>
        <x:v>0.3</x:v>
      </x:c>
      <x:c r="H22" s="1" t="n">
        <x:f>'Когорты'!P5</x:f>
        <x:v>0.2</x:v>
      </x:c>
      <x:c r="I22" s="8" t="n">
        <x:f>IF('Когорты'!S5&gt;0,G22*H22/'Когорты'!S5,0)</x:f>
        <x:v>0.05851375073142188</x:v>
      </x:c>
      <x:c r="J22" s="1" t="n">
        <x:f>F22*I22</x:f>
        <x:v>30.42715038033937</x:v>
      </x:c>
      <x:c r="K22" s="8" t="n">
        <x:f>'Воздействие'!C9*D22</x:f>
        <x:v>0</x:v>
      </x:c>
      <x:c r="L22" s="8" t="n">
        <x:f>'Воздействие'!D9*E22</x:f>
        <x:v>0.25</x:v>
      </x:c>
      <x:c r="M22" s="8" t="n">
        <x:f>'Воздействие'!E9*D22*E22</x:f>
        <x:v>0</x:v>
      </x:c>
      <x:c r="N22" s="8" t="n">
        <x:f>K22+L22-M22</x:f>
        <x:v>0.25</x:v>
      </x:c>
      <x:c r="O22" s="1" t="n">
        <x:f>J22*'Параметры'!$B$10*N22</x:f>
        <x:v>0.7606787595084843</x:v>
      </x:c>
      <x:c r="P22" s="8" t="n">
        <x:f>(1-'Воздействие'!F9*D22)*(1-'Воздействие'!G9*E22)</x:f>
        <x:v>1</x:v>
      </x:c>
      <x:c r="Q22" s="1" t="n">
        <x:f>J22*P22</x:f>
        <x:v>30.42715038033937</x:v>
      </x:c>
      <x:c r="R22" s="1" t="n">
        <x:f>O22*P22</x:f>
        <x:v>0.7606787595084843</x:v>
      </x:c>
      <x:c r="S22" s="8" t="n">
        <x:f>(1-'Гипотезы'!D6)*(1-'Гипотезы'!E6)</x:f>
        <x:v>0.5625</x:v>
      </x:c>
      <x:c r="T22" s="12" t="n">
        <x:f>Q22+R22*S22</x:f>
        <x:v>30.85503218256289</x:v>
      </x:c>
      <x:c r="U22" s="12" t="n">
        <x:f>T22-J22</x:f>
        <x:v>0.4278818022235207</x:v>
      </x:c>
      <x:c r="V22" s="12" t="n">
        <x:f>J22*'Когорты'!T5</x:f>
        <x:v>30427.15038033937</x:v>
      </x:c>
      <x:c r="W22" s="12" t="n">
        <x:f>Q22*'Когорты'!T5*(1+'Воздействие'!H9*N22)</x:f>
        <x:v>30427.15038033937</x:v>
      </x:c>
      <x:c r="X22" s="12" t="n">
        <x:f>R22*'Когорты'!T5*(1+'Воздействие'!H9*N22)</x:f>
        <x:v>760.6787595084843</x:v>
      </x:c>
      <x:c r="Y22" s="12" t="n">
        <x:f>W22+X22*S22</x:f>
        <x:v>30855.032182562893</x:v>
      </x:c>
      <x:c r="Z22" s="12" t="n">
        <x:f>F22*N22</x:f>
        <x:v>129.99999999999997</x:v>
      </x:c>
      <x:c r="AA22" s="12" t="n">
        <x:f>J22*D22</x:f>
        <x:v>0</x:v>
      </x:c>
      <x:c r="AB22" s="12" t="n">
        <x:f>Q22*D22</x:f>
        <x:v>0</x:v>
      </x:c>
      <x:c r="AC22" s="12" t="n">
        <x:f>R22*D22</x:f>
        <x:v>0</x:v>
      </x:c>
      <x:c r="AD22" s="12" t="n">
        <x:f>J22*E22</x:f>
        <x:v>30.42715038033937</x:v>
      </x:c>
      <x:c r="AE22" s="12" t="n">
        <x:f>Q22*E22</x:f>
        <x:v>30.42715038033937</x:v>
      </x:c>
      <x:c r="AF22" s="12" t="n">
        <x:f>R22*E22</x:f>
        <x:v>0.7606787595084843</x:v>
      </x:c>
      <x:c r="AG22" s="1" t="n">
        <x:f>IF(AND(I22&gt;=0,I22&lt;=1,Q22+R22&lt;=F22+0.00000001,N22&gt;=0,N22&lt;=1),1,0)</x:f>
        <x:v>1</x:v>
      </x:c>
      <x:c r="AH22" s="1"/>
      <x:c r="AI22" s="1"/>
    </x:row>
    <x:row r="23" ht="24" customHeight="1">
      <x:c r="A23" s="1" t="str">
        <x:v>H2</x:v>
      </x:c>
      <x:c r="B23" s="1" t="str">
        <x:v>S1</x:v>
      </x:c>
      <x:c r="C23" s="1" t="str">
        <x:v>Оба</x:v>
      </x:c>
      <x:c r="D23" s="1" t="n">
        <x:v>1</x:v>
      </x:c>
      <x:c r="E23" s="1" t="n">
        <x:v>1</x:v>
      </x:c>
      <x:c r="F23" s="12" t="n">
        <x:f>'Когорты'!D5*'Когорты'!K5</x:f>
        <x:v>2080</x:v>
      </x:c>
      <x:c r="G23" s="8" t="n">
        <x:f>'Когорты'!F5</x:f>
        <x:v>0.3</x:v>
      </x:c>
      <x:c r="H23" s="1" t="n">
        <x:f>'Когорты'!Q5</x:f>
        <x:v>1</x:v>
      </x:c>
      <x:c r="I23" s="8" t="n">
        <x:f>IF('Когорты'!S5&gt;0,G23*H23/'Когорты'!S5,0)</x:f>
        <x:v>0.2925687536571094</x:v>
      </x:c>
      <x:c r="J23" s="1" t="n">
        <x:f>F23*I23</x:f>
        <x:v>608.5430076067876</x:v>
      </x:c>
      <x:c r="K23" s="8" t="n">
        <x:f>'Воздействие'!C9*D23</x:f>
        <x:v>0.2</x:v>
      </x:c>
      <x:c r="L23" s="8" t="n">
        <x:f>'Воздействие'!D9*E23</x:f>
        <x:v>0.25</x:v>
      </x:c>
      <x:c r="M23" s="8" t="n">
        <x:f>'Воздействие'!E9*D23*E23</x:f>
        <x:v>0.1</x:v>
      </x:c>
      <x:c r="N23" s="8" t="n">
        <x:f>K23+L23-M23</x:f>
        <x:v>0.35</x:v>
      </x:c>
      <x:c r="O23" s="1" t="n">
        <x:f>J23*'Параметры'!$B$10*N23</x:f>
        <x:v>21.299005266237565</x:v>
      </x:c>
      <x:c r="P23" s="8" t="n">
        <x:f>(1-'Воздействие'!F9*D23)*(1-'Воздействие'!G9*E23)</x:f>
        <x:v>1</x:v>
      </x:c>
      <x:c r="Q23" s="1" t="n">
        <x:f>J23*P23</x:f>
        <x:v>608.5430076067876</x:v>
      </x:c>
      <x:c r="R23" s="1" t="n">
        <x:f>O23*P23</x:f>
        <x:v>21.299005266237565</x:v>
      </x:c>
      <x:c r="S23" s="8" t="n">
        <x:f>(1-'Гипотезы'!D6)*(1-'Гипотезы'!E6)</x:f>
        <x:v>0.5625</x:v>
      </x:c>
      <x:c r="T23" s="12" t="n">
        <x:f>Q23+R23*S23</x:f>
        <x:v>620.5236980690462</x:v>
      </x:c>
      <x:c r="U23" s="12" t="n">
        <x:f>T23-J23</x:f>
        <x:v>11.980690462258622</x:v>
      </x:c>
      <x:c r="V23" s="12" t="n">
        <x:f>J23*'Когорты'!T5</x:f>
        <x:v>608543.0076067876</x:v>
      </x:c>
      <x:c r="W23" s="12" t="n">
        <x:f>Q23*'Когорты'!T5*(1+'Воздействие'!H9*N23)</x:f>
        <x:v>608543.0076067876</x:v>
      </x:c>
      <x:c r="X23" s="12" t="n">
        <x:f>R23*'Когорты'!T5*(1+'Воздействие'!H9*N23)</x:f>
        <x:v>21299.005266237564</x:v>
      </x:c>
      <x:c r="Y23" s="12" t="n">
        <x:f>W23+X23*S23</x:f>
        <x:v>620523.6980690463</x:v>
      </x:c>
      <x:c r="Z23" s="12" t="n">
        <x:f>F23*N23</x:f>
        <x:v>728</x:v>
      </x:c>
      <x:c r="AA23" s="12" t="n">
        <x:f>J23*D23</x:f>
        <x:v>608.5430076067876</x:v>
      </x:c>
      <x:c r="AB23" s="12" t="n">
        <x:f>Q23*D23</x:f>
        <x:v>608.5430076067876</x:v>
      </x:c>
      <x:c r="AC23" s="12" t="n">
        <x:f>R23*D23</x:f>
        <x:v>21.299005266237565</x:v>
      </x:c>
      <x:c r="AD23" s="12" t="n">
        <x:f>J23*E23</x:f>
        <x:v>608.5430076067876</x:v>
      </x:c>
      <x:c r="AE23" s="12" t="n">
        <x:f>Q23*E23</x:f>
        <x:v>608.5430076067876</x:v>
      </x:c>
      <x:c r="AF23" s="12" t="n">
        <x:f>R23*E23</x:f>
        <x:v>21.299005266237565</x:v>
      </x:c>
      <x:c r="AG23" s="1" t="n">
        <x:f>IF(AND(I23&gt;=0,I23&lt;=1,Q23+R23&lt;=F23+0.00000001,N23&gt;=0,N23&lt;=1),1,0)</x:f>
        <x:v>1</x:v>
      </x:c>
      <x:c r="AH23" s="1"/>
      <x:c r="AI23" s="1"/>
    </x:row>
    <x:row r="24" ht="24" customHeight="1">
      <x:c r="A24" s="1" t="str">
        <x:v>H2</x:v>
      </x:c>
      <x:c r="B24" s="1" t="str">
        <x:v>S1</x:v>
      </x:c>
      <x:c r="C24" s="1" t="str">
        <x:v>Ни один</x:v>
      </x:c>
      <x:c r="D24" s="1" t="n">
        <x:v>0</x:v>
      </x:c>
      <x:c r="E24" s="1" t="n">
        <x:v>0</x:v>
      </x:c>
      <x:c r="F24" s="12" t="n">
        <x:f>'Когорты'!D5*'Когорты'!N5</x:f>
        <x:v>6479.999999999999</x:v>
      </x:c>
      <x:c r="G24" s="8" t="n">
        <x:f>'Когорты'!F5</x:f>
        <x:v>0.3</x:v>
      </x:c>
      <x:c r="H24" s="1" t="n">
        <x:f>'Когорты'!R5</x:f>
        <x:v>0.3</x:v>
      </x:c>
      <x:c r="I24" s="8" t="n">
        <x:f>IF('Когорты'!S5&gt;0,G24*H24/'Когорты'!S5,0)</x:f>
        <x:v>0.08777062609713282</x:v>
      </x:c>
      <x:c r="J24" s="1" t="n">
        <x:f>F24*I24</x:f>
        <x:v>568.7536571094206</x:v>
      </x:c>
      <x:c r="K24" s="8" t="n">
        <x:f>'Воздействие'!C9*D24</x:f>
        <x:v>0</x:v>
      </x:c>
      <x:c r="L24" s="8" t="n">
        <x:f>'Воздействие'!D9*E24</x:f>
        <x:v>0</x:v>
      </x:c>
      <x:c r="M24" s="8" t="n">
        <x:f>'Воздействие'!E9*D24*E24</x:f>
        <x:v>0</x:v>
      </x:c>
      <x:c r="N24" s="8" t="n">
        <x:f>K24+L24-M24</x:f>
        <x:v>0</x:v>
      </x:c>
      <x:c r="O24" s="1" t="n">
        <x:f>J24*'Параметры'!$B$10*N24</x:f>
        <x:v>0</x:v>
      </x:c>
      <x:c r="P24" s="8" t="n">
        <x:f>(1-'Воздействие'!F9*D24)*(1-'Воздействие'!G9*E24)</x:f>
        <x:v>1</x:v>
      </x:c>
      <x:c r="Q24" s="1" t="n">
        <x:f>J24*P24</x:f>
        <x:v>568.7536571094206</x:v>
      </x:c>
      <x:c r="R24" s="1" t="n">
        <x:f>O24*P24</x:f>
        <x:v>0</x:v>
      </x:c>
      <x:c r="S24" s="8" t="n">
        <x:f>(1-'Гипотезы'!D6)*(1-'Гипотезы'!E6)</x:f>
        <x:v>0.5625</x:v>
      </x:c>
      <x:c r="T24" s="12" t="n">
        <x:f>Q24+R24*S24</x:f>
        <x:v>568.7536571094206</x:v>
      </x:c>
      <x:c r="U24" s="12" t="n">
        <x:f>T24-J24</x:f>
        <x:v>0</x:v>
      </x:c>
      <x:c r="V24" s="12" t="n">
        <x:f>J24*'Когорты'!T5</x:f>
        <x:v>568753.6571094206</x:v>
      </x:c>
      <x:c r="W24" s="12" t="n">
        <x:f>Q24*'Когорты'!T5*(1+'Воздействие'!H9*N24)</x:f>
        <x:v>568753.6571094206</x:v>
      </x:c>
      <x:c r="X24" s="12" t="n">
        <x:f>R24*'Когорты'!T5*(1+'Воздействие'!H9*N24)</x:f>
        <x:v>0</x:v>
      </x:c>
      <x:c r="Y24" s="12" t="n">
        <x:f>W24+X24*S24</x:f>
        <x:v>568753.6571094206</x:v>
      </x:c>
      <x:c r="Z24" s="12" t="n">
        <x:f>F24*N24</x:f>
        <x:v>0</x:v>
      </x:c>
      <x:c r="AA24" s="12" t="n">
        <x:f>J24*D24</x:f>
        <x:v>0</x:v>
      </x:c>
      <x:c r="AB24" s="12" t="n">
        <x:f>Q24*D24</x:f>
        <x:v>0</x:v>
      </x:c>
      <x:c r="AC24" s="12" t="n">
        <x:f>R24*D24</x:f>
        <x:v>0</x:v>
      </x:c>
      <x:c r="AD24" s="12" t="n">
        <x:f>J24*E24</x:f>
        <x:v>0</x:v>
      </x:c>
      <x:c r="AE24" s="12" t="n">
        <x:f>Q24*E24</x:f>
        <x:v>0</x:v>
      </x:c>
      <x:c r="AF24" s="12" t="n">
        <x:f>R24*E24</x:f>
        <x:v>0</x:v>
      </x:c>
      <x:c r="AG24" s="1" t="n">
        <x:f>IF(AND(I24&gt;=0,I24&lt;=1,Q24+R24&lt;=F24+0.00000001,N24&gt;=0,N24&lt;=1),1,0)</x:f>
        <x:v>1</x:v>
      </x:c>
      <x:c r="AH24" s="1"/>
      <x:c r="AI24" s="1"/>
    </x:row>
    <x:row r="25" ht="24" customHeight="1">
      <x:c r="A25" s="1" t="str">
        <x:v>H2</x:v>
      </x:c>
      <x:c r="B25" s="1" t="str">
        <x:v>S2</x:v>
      </x:c>
      <x:c r="C25" s="1" t="str">
        <x:v>Только C</x:v>
      </x:c>
      <x:c r="D25" s="1" t="n">
        <x:v>1</x:v>
      </x:c>
      <x:c r="E25" s="1" t="n">
        <x:v>0</x:v>
      </x:c>
      <x:c r="F25" s="12" t="n">
        <x:f>'Когорты'!D6*'Когорты'!L6</x:f>
        <x:v>10920</x:v>
      </x:c>
      <x:c r="G25" s="8" t="n">
        <x:f>'Когорты'!F6</x:f>
        <x:v>0.21</x:v>
      </x:c>
      <x:c r="H25" s="1" t="n">
        <x:f>'Когорты'!O6</x:f>
        <x:v>1.5</x:v>
      </x:c>
      <x:c r="I25" s="8" t="n">
        <x:f>IF('Когорты'!S6&gt;0,G25*H25/'Когорты'!S6,0)</x:f>
        <x:v>0.30719719133996487</x:v>
      </x:c>
      <x:c r="J25" s="1" t="n">
        <x:f>F25*I25</x:f>
        <x:v>3354.5933294324163</x:v>
      </x:c>
      <x:c r="K25" s="8" t="n">
        <x:f>'Воздействие'!C10*D25</x:f>
        <x:v>0.2</x:v>
      </x:c>
      <x:c r="L25" s="8" t="n">
        <x:f>'Воздействие'!D10*E25</x:f>
        <x:v>0</x:v>
      </x:c>
      <x:c r="M25" s="8" t="n">
        <x:f>'Воздействие'!E10*D25*E25</x:f>
        <x:v>0</x:v>
      </x:c>
      <x:c r="N25" s="8" t="n">
        <x:f>K25+L25-M25</x:f>
        <x:v>0.2</x:v>
      </x:c>
      <x:c r="O25" s="1" t="n">
        <x:f>J25*'Параметры'!$B$10*N25</x:f>
        <x:v>67.09186658864833</x:v>
      </x:c>
      <x:c r="P25" s="8" t="n">
        <x:f>(1-'Воздействие'!F10*D25)*(1-'Воздействие'!G10*E25)</x:f>
        <x:v>1</x:v>
      </x:c>
      <x:c r="Q25" s="1" t="n">
        <x:f>J25*P25</x:f>
        <x:v>3354.5933294324163</x:v>
      </x:c>
      <x:c r="R25" s="1" t="n">
        <x:f>O25*P25</x:f>
        <x:v>67.09186658864833</x:v>
      </x:c>
      <x:c r="S25" s="8" t="n">
        <x:f>(1-'Гипотезы'!D6)*(1-'Гипотезы'!E6)</x:f>
        <x:v>0.5625</x:v>
      </x:c>
      <x:c r="T25" s="12" t="n">
        <x:f>Q25+R25*S25</x:f>
        <x:v>3392.332504388531</x:v>
      </x:c>
      <x:c r="U25" s="12" t="n">
        <x:f>T25-J25</x:f>
        <x:v>37.739174956114766</x:v>
      </x:c>
      <x:c r="V25" s="12" t="n">
        <x:f>J25*'Когорты'!T6</x:f>
        <x:v>3354593.3294324162</x:v>
      </x:c>
      <x:c r="W25" s="12" t="n">
        <x:f>Q25*'Когорты'!T6*(1+'Воздействие'!H10*N25)</x:f>
        <x:v>3354593.3294324162</x:v>
      </x:c>
      <x:c r="X25" s="12" t="n">
        <x:f>R25*'Когорты'!T6*(1+'Воздействие'!H10*N25)</x:f>
        <x:v>67091.86658864834</x:v>
      </x:c>
      <x:c r="Y25" s="12" t="n">
        <x:f>W25+X25*S25</x:f>
        <x:v>3392332.5043885307</x:v>
      </x:c>
      <x:c r="Z25" s="12" t="n">
        <x:f>F25*N25</x:f>
        <x:v>2184</x:v>
      </x:c>
      <x:c r="AA25" s="12" t="n">
        <x:f>J25*D25</x:f>
        <x:v>3354.5933294324163</x:v>
      </x:c>
      <x:c r="AB25" s="12" t="n">
        <x:f>Q25*D25</x:f>
        <x:v>3354.5933294324163</x:v>
      </x:c>
      <x:c r="AC25" s="12" t="n">
        <x:f>R25*D25</x:f>
        <x:v>67.09186658864833</x:v>
      </x:c>
      <x:c r="AD25" s="12" t="n">
        <x:f>J25*E25</x:f>
        <x:v>0</x:v>
      </x:c>
      <x:c r="AE25" s="12" t="n">
        <x:f>Q25*E25</x:f>
        <x:v>0</x:v>
      </x:c>
      <x:c r="AF25" s="12" t="n">
        <x:f>R25*E25</x:f>
        <x:v>0</x:v>
      </x:c>
      <x:c r="AG25" s="1" t="n">
        <x:f>IF(AND(I25&gt;=0,I25&lt;=1,Q25+R25&lt;=F25+0.00000001,N25&gt;=0,N25&lt;=1),1,0)</x:f>
        <x:v>1</x:v>
      </x:c>
      <x:c r="AH25" s="1"/>
      <x:c r="AI25" s="1"/>
    </x:row>
    <x:row r="26" ht="24" customHeight="1">
      <x:c r="A26" s="1" t="str">
        <x:v>H2</x:v>
      </x:c>
      <x:c r="B26" s="1" t="str">
        <x:v>S2</x:v>
      </x:c>
      <x:c r="C26" s="1" t="str">
        <x:v>Только F</x:v>
      </x:c>
      <x:c r="D26" s="1" t="n">
        <x:v>0</x:v>
      </x:c>
      <x:c r="E26" s="1" t="n">
        <x:v>1</x:v>
      </x:c>
      <x:c r="F26" s="12" t="n">
        <x:f>'Когорты'!D6*'Когорты'!M6</x:f>
        <x:v>519.9999999999999</x:v>
      </x:c>
      <x:c r="G26" s="8" t="n">
        <x:f>'Когорты'!F6</x:f>
        <x:v>0.21</x:v>
      </x:c>
      <x:c r="H26" s="1" t="n">
        <x:f>'Когорты'!P6</x:f>
        <x:v>0.2</x:v>
      </x:c>
      <x:c r="I26" s="8" t="n">
        <x:f>IF('Когорты'!S6&gt;0,G26*H26/'Когорты'!S6,0)</x:f>
        <x:v>0.04095962551199532</x:v>
      </x:c>
      <x:c r="J26" s="1" t="n">
        <x:f>F26*I26</x:f>
        <x:v>21.29900526623756</x:v>
      </x:c>
      <x:c r="K26" s="8" t="n">
        <x:f>'Воздействие'!C10*D26</x:f>
        <x:v>0</x:v>
      </x:c>
      <x:c r="L26" s="8" t="n">
        <x:f>'Воздействие'!D10*E26</x:f>
        <x:v>0.25</x:v>
      </x:c>
      <x:c r="M26" s="8" t="n">
        <x:f>'Воздействие'!E10*D26*E26</x:f>
        <x:v>0</x:v>
      </x:c>
      <x:c r="N26" s="8" t="n">
        <x:f>K26+L26-M26</x:f>
        <x:v>0.25</x:v>
      </x:c>
      <x:c r="O26" s="1" t="n">
        <x:f>J26*'Параметры'!$B$10*N26</x:f>
        <x:v>0.5324751316559391</x:v>
      </x:c>
      <x:c r="P26" s="8" t="n">
        <x:f>(1-'Воздействие'!F10*D26)*(1-'Воздействие'!G10*E26)</x:f>
        <x:v>1</x:v>
      </x:c>
      <x:c r="Q26" s="1" t="n">
        <x:f>J26*P26</x:f>
        <x:v>21.29900526623756</x:v>
      </x:c>
      <x:c r="R26" s="1" t="n">
        <x:f>O26*P26</x:f>
        <x:v>0.5324751316559391</x:v>
      </x:c>
      <x:c r="S26" s="8" t="n">
        <x:f>(1-'Гипотезы'!D6)*(1-'Гипотезы'!E6)</x:f>
        <x:v>0.5625</x:v>
      </x:c>
      <x:c r="T26" s="12" t="n">
        <x:f>Q26+R26*S26</x:f>
        <x:v>21.598522527794028</x:v>
      </x:c>
      <x:c r="U26" s="12" t="n">
        <x:f>T26-J26</x:f>
        <x:v>0.29951726155646696</x:v>
      </x:c>
      <x:c r="V26" s="12" t="n">
        <x:f>J26*'Когорты'!T6</x:f>
        <x:v>21299.00526623756</x:v>
      </x:c>
      <x:c r="W26" s="12" t="n">
        <x:f>Q26*'Когорты'!T6*(1+'Воздействие'!H10*N26)</x:f>
        <x:v>21299.00526623756</x:v>
      </x:c>
      <x:c r="X26" s="12" t="n">
        <x:f>R26*'Когорты'!T6*(1+'Воздействие'!H10*N26)</x:f>
        <x:v>532.4751316559391</x:v>
      </x:c>
      <x:c r="Y26" s="12" t="n">
        <x:f>W26+X26*S26</x:f>
        <x:v>21598.522527794026</x:v>
      </x:c>
      <x:c r="Z26" s="12" t="n">
        <x:f>F26*N26</x:f>
        <x:v>129.99999999999997</x:v>
      </x:c>
      <x:c r="AA26" s="12" t="n">
        <x:f>J26*D26</x:f>
        <x:v>0</x:v>
      </x:c>
      <x:c r="AB26" s="12" t="n">
        <x:f>Q26*D26</x:f>
        <x:v>0</x:v>
      </x:c>
      <x:c r="AC26" s="12" t="n">
        <x:f>R26*D26</x:f>
        <x:v>0</x:v>
      </x:c>
      <x:c r="AD26" s="12" t="n">
        <x:f>J26*E26</x:f>
        <x:v>21.29900526623756</x:v>
      </x:c>
      <x:c r="AE26" s="12" t="n">
        <x:f>Q26*E26</x:f>
        <x:v>21.29900526623756</x:v>
      </x:c>
      <x:c r="AF26" s="12" t="n">
        <x:f>R26*E26</x:f>
        <x:v>0.5324751316559391</x:v>
      </x:c>
      <x:c r="AG26" s="1" t="n">
        <x:f>IF(AND(I26&gt;=0,I26&lt;=1,Q26+R26&lt;=F26+0.00000001,N26&gt;=0,N26&lt;=1),1,0)</x:f>
        <x:v>1</x:v>
      </x:c>
      <x:c r="AH26" s="1"/>
      <x:c r="AI26" s="1"/>
    </x:row>
    <x:row r="27" ht="24" customHeight="1">
      <x:c r="A27" s="1" t="str">
        <x:v>H2</x:v>
      </x:c>
      <x:c r="B27" s="1" t="str">
        <x:v>S2</x:v>
      </x:c>
      <x:c r="C27" s="1" t="str">
        <x:v>Оба</x:v>
      </x:c>
      <x:c r="D27" s="1" t="n">
        <x:v>1</x:v>
      </x:c>
      <x:c r="E27" s="1" t="n">
        <x:v>1</x:v>
      </x:c>
      <x:c r="F27" s="12" t="n">
        <x:f>'Когорты'!D6*'Когорты'!K6</x:f>
        <x:v>2080</x:v>
      </x:c>
      <x:c r="G27" s="8" t="n">
        <x:f>'Когорты'!F6</x:f>
        <x:v>0.21</x:v>
      </x:c>
      <x:c r="H27" s="1" t="n">
        <x:f>'Когорты'!Q6</x:f>
        <x:v>1</x:v>
      </x:c>
      <x:c r="I27" s="8" t="n">
        <x:f>IF('Когорты'!S6&gt;0,G27*H27/'Когорты'!S6,0)</x:f>
        <x:v>0.20479812755997656</x:v>
      </x:c>
      <x:c r="J27" s="1" t="n">
        <x:f>F27*I27</x:f>
        <x:v>425.98010532475126</x:v>
      </x:c>
      <x:c r="K27" s="8" t="n">
        <x:f>'Воздействие'!C10*D27</x:f>
        <x:v>0.2</x:v>
      </x:c>
      <x:c r="L27" s="8" t="n">
        <x:f>'Воздействие'!D10*E27</x:f>
        <x:v>0.25</x:v>
      </x:c>
      <x:c r="M27" s="8" t="n">
        <x:f>'Воздействие'!E10*D27*E27</x:f>
        <x:v>0.1</x:v>
      </x:c>
      <x:c r="N27" s="8" t="n">
        <x:f>K27+L27-M27</x:f>
        <x:v>0.35</x:v>
      </x:c>
      <x:c r="O27" s="1" t="n">
        <x:f>J27*'Параметры'!$B$10*N27</x:f>
        <x:v>14.909303686366295</x:v>
      </x:c>
      <x:c r="P27" s="8" t="n">
        <x:f>(1-'Воздействие'!F10*D27)*(1-'Воздействие'!G10*E27)</x:f>
        <x:v>1</x:v>
      </x:c>
      <x:c r="Q27" s="1" t="n">
        <x:f>J27*P27</x:f>
        <x:v>425.98010532475126</x:v>
      </x:c>
      <x:c r="R27" s="1" t="n">
        <x:f>O27*P27</x:f>
        <x:v>14.909303686366295</x:v>
      </x:c>
      <x:c r="S27" s="8" t="n">
        <x:f>(1-'Гипотезы'!D6)*(1-'Гипотезы'!E6)</x:f>
        <x:v>0.5625</x:v>
      </x:c>
      <x:c r="T27" s="12" t="n">
        <x:f>Q27+R27*S27</x:f>
        <x:v>434.3665886483323</x:v>
      </x:c>
      <x:c r="U27" s="12" t="n">
        <x:f>T27-J27</x:f>
        <x:v>8.386483323581047</x:v>
      </x:c>
      <x:c r="V27" s="12" t="n">
        <x:f>J27*'Когорты'!T6</x:f>
        <x:v>425980.1053247513</x:v>
      </x:c>
      <x:c r="W27" s="12" t="n">
        <x:f>Q27*'Когорты'!T6*(1+'Воздействие'!H10*N27)</x:f>
        <x:v>425980.1053247513</x:v>
      </x:c>
      <x:c r="X27" s="12" t="n">
        <x:f>R27*'Когорты'!T6*(1+'Воздействие'!H10*N27)</x:f>
        <x:v>14909.303686366295</x:v>
      </x:c>
      <x:c r="Y27" s="12" t="n">
        <x:f>W27+X27*S27</x:f>
        <x:v>434366.58864833234</x:v>
      </x:c>
      <x:c r="Z27" s="12" t="n">
        <x:f>F27*N27</x:f>
        <x:v>728</x:v>
      </x:c>
      <x:c r="AA27" s="12" t="n">
        <x:f>J27*D27</x:f>
        <x:v>425.98010532475126</x:v>
      </x:c>
      <x:c r="AB27" s="12" t="n">
        <x:f>Q27*D27</x:f>
        <x:v>425.98010532475126</x:v>
      </x:c>
      <x:c r="AC27" s="12" t="n">
        <x:f>R27*D27</x:f>
        <x:v>14.909303686366295</x:v>
      </x:c>
      <x:c r="AD27" s="12" t="n">
        <x:f>J27*E27</x:f>
        <x:v>425.98010532475126</x:v>
      </x:c>
      <x:c r="AE27" s="12" t="n">
        <x:f>Q27*E27</x:f>
        <x:v>425.98010532475126</x:v>
      </x:c>
      <x:c r="AF27" s="12" t="n">
        <x:f>R27*E27</x:f>
        <x:v>14.909303686366295</x:v>
      </x:c>
      <x:c r="AG27" s="1" t="n">
        <x:f>IF(AND(I27&gt;=0,I27&lt;=1,Q27+R27&lt;=F27+0.00000001,N27&gt;=0,N27&lt;=1),1,0)</x:f>
        <x:v>1</x:v>
      </x:c>
      <x:c r="AH27" s="1"/>
      <x:c r="AI27" s="1"/>
    </x:row>
    <x:row r="28" ht="24" customHeight="1">
      <x:c r="A28" s="1" t="str">
        <x:v>H2</x:v>
      </x:c>
      <x:c r="B28" s="1" t="str">
        <x:v>S2</x:v>
      </x:c>
      <x:c r="C28" s="1" t="str">
        <x:v>Ни один</x:v>
      </x:c>
      <x:c r="D28" s="1" t="n">
        <x:v>0</x:v>
      </x:c>
      <x:c r="E28" s="1" t="n">
        <x:v>0</x:v>
      </x:c>
      <x:c r="F28" s="12" t="n">
        <x:f>'Когорты'!D6*'Когорты'!N6</x:f>
        <x:v>6479.999999999999</x:v>
      </x:c>
      <x:c r="G28" s="8" t="n">
        <x:f>'Когорты'!F6</x:f>
        <x:v>0.21</x:v>
      </x:c>
      <x:c r="H28" s="1" t="n">
        <x:f>'Когорты'!R6</x:f>
        <x:v>0.3</x:v>
      </x:c>
      <x:c r="I28" s="8" t="n">
        <x:f>IF('Когорты'!S6&gt;0,G28*H28/'Когорты'!S6,0)</x:f>
        <x:v>0.061439438267992974</x:v>
      </x:c>
      <x:c r="J28" s="1" t="n">
        <x:f>F28*I28</x:f>
        <x:v>398.1275599765944</x:v>
      </x:c>
      <x:c r="K28" s="8" t="n">
        <x:f>'Воздействие'!C10*D28</x:f>
        <x:v>0</x:v>
      </x:c>
      <x:c r="L28" s="8" t="n">
        <x:f>'Воздействие'!D10*E28</x:f>
        <x:v>0</x:v>
      </x:c>
      <x:c r="M28" s="8" t="n">
        <x:f>'Воздействие'!E10*D28*E28</x:f>
        <x:v>0</x:v>
      </x:c>
      <x:c r="N28" s="8" t="n">
        <x:f>K28+L28-M28</x:f>
        <x:v>0</x:v>
      </x:c>
      <x:c r="O28" s="1" t="n">
        <x:f>J28*'Параметры'!$B$10*N28</x:f>
        <x:v>0</x:v>
      </x:c>
      <x:c r="P28" s="8" t="n">
        <x:f>(1-'Воздействие'!F10*D28)*(1-'Воздействие'!G10*E28)</x:f>
        <x:v>1</x:v>
      </x:c>
      <x:c r="Q28" s="1" t="n">
        <x:f>J28*P28</x:f>
        <x:v>398.1275599765944</x:v>
      </x:c>
      <x:c r="R28" s="1" t="n">
        <x:f>O28*P28</x:f>
        <x:v>0</x:v>
      </x:c>
      <x:c r="S28" s="8" t="n">
        <x:f>(1-'Гипотезы'!D6)*(1-'Гипотезы'!E6)</x:f>
        <x:v>0.5625</x:v>
      </x:c>
      <x:c r="T28" s="12" t="n">
        <x:f>Q28+R28*S28</x:f>
        <x:v>398.1275599765944</x:v>
      </x:c>
      <x:c r="U28" s="12" t="n">
        <x:f>T28-J28</x:f>
        <x:v>0</x:v>
      </x:c>
      <x:c r="V28" s="12" t="n">
        <x:f>J28*'Когорты'!T6</x:f>
        <x:v>398127.5599765944</x:v>
      </x:c>
      <x:c r="W28" s="12" t="n">
        <x:f>Q28*'Когорты'!T6*(1+'Воздействие'!H10*N28)</x:f>
        <x:v>398127.5599765944</x:v>
      </x:c>
      <x:c r="X28" s="12" t="n">
        <x:f>R28*'Когорты'!T6*(1+'Воздействие'!H10*N28)</x:f>
        <x:v>0</x:v>
      </x:c>
      <x:c r="Y28" s="12" t="n">
        <x:f>W28+X28*S28</x:f>
        <x:v>398127.5599765944</x:v>
      </x:c>
      <x:c r="Z28" s="12" t="n">
        <x:f>F28*N28</x:f>
        <x:v>0</x:v>
      </x:c>
      <x:c r="AA28" s="12" t="n">
        <x:f>J28*D28</x:f>
        <x:v>0</x:v>
      </x:c>
      <x:c r="AB28" s="12" t="n">
        <x:f>Q28*D28</x:f>
        <x:v>0</x:v>
      </x:c>
      <x:c r="AC28" s="12" t="n">
        <x:f>R28*D28</x:f>
        <x:v>0</x:v>
      </x:c>
      <x:c r="AD28" s="12" t="n">
        <x:f>J28*E28</x:f>
        <x:v>0</x:v>
      </x:c>
      <x:c r="AE28" s="12" t="n">
        <x:f>Q28*E28</x:f>
        <x:v>0</x:v>
      </x:c>
      <x:c r="AF28" s="12" t="n">
        <x:f>R28*E28</x:f>
        <x:v>0</x:v>
      </x:c>
      <x:c r="AG28" s="1" t="n">
        <x:f>IF(AND(I28&gt;=0,I28&lt;=1,Q28+R28&lt;=F28+0.00000001,N28&gt;=0,N28&lt;=1),1,0)</x:f>
        <x:v>1</x:v>
      </x:c>
      <x:c r="AH28" s="1"/>
      <x:c r="AI28" s="1"/>
    </x:row>
    <x:row r="29" ht="24" customHeight="1">
      <x:c r="A29" s="1" t="str">
        <x:v>H2</x:v>
      </x:c>
      <x:c r="B29" s="1" t="str">
        <x:v>S3</x:v>
      </x:c>
      <x:c r="C29" s="1" t="str">
        <x:v>Только C</x:v>
      </x:c>
      <x:c r="D29" s="1" t="n">
        <x:v>1</x:v>
      </x:c>
      <x:c r="E29" s="1" t="n">
        <x:v>0</x:v>
      </x:c>
      <x:c r="F29" s="12" t="n">
        <x:f>'Когорты'!D7*'Когорты'!L7</x:f>
        <x:v>16380.000000000002</x:v>
      </x:c>
      <x:c r="G29" s="8" t="n">
        <x:f>'Когорты'!F7</x:f>
        <x:v>0.12</x:v>
      </x:c>
      <x:c r="H29" s="1" t="n">
        <x:f>'Когорты'!O7</x:f>
        <x:v>1.5</x:v>
      </x:c>
      <x:c r="I29" s="8" t="n">
        <x:f>IF('Когорты'!S7&gt;0,G29*H29/'Когорты'!S7,0)</x:f>
        <x:v>0.17554125219426564</x:v>
      </x:c>
      <x:c r="J29" s="1" t="n">
        <x:f>F29*I29</x:f>
        <x:v>2875.3657109420715</x:v>
      </x:c>
      <x:c r="K29" s="8" t="n">
        <x:f>'Воздействие'!C11*D29</x:f>
        <x:v>0.2</x:v>
      </x:c>
      <x:c r="L29" s="8" t="n">
        <x:f>'Воздействие'!D11*E29</x:f>
        <x:v>0</x:v>
      </x:c>
      <x:c r="M29" s="8" t="n">
        <x:f>'Воздействие'!E11*D29*E29</x:f>
        <x:v>0</x:v>
      </x:c>
      <x:c r="N29" s="8" t="n">
        <x:f>K29+L29-M29</x:f>
        <x:v>0.2</x:v>
      </x:c>
      <x:c r="O29" s="1" t="n">
        <x:f>J29*'Параметры'!$B$10*N29</x:f>
        <x:v>57.50731421884143</x:v>
      </x:c>
      <x:c r="P29" s="8" t="n">
        <x:f>(1-'Воздействие'!F11*D29)*(1-'Воздействие'!G11*E29)</x:f>
        <x:v>1</x:v>
      </x:c>
      <x:c r="Q29" s="1" t="n">
        <x:f>J29*P29</x:f>
        <x:v>2875.3657109420715</x:v>
      </x:c>
      <x:c r="R29" s="1" t="n">
        <x:f>O29*P29</x:f>
        <x:v>57.50731421884143</x:v>
      </x:c>
      <x:c r="S29" s="8" t="n">
        <x:f>(1-'Гипотезы'!D6)*(1-'Гипотезы'!E6)</x:f>
        <x:v>0.5625</x:v>
      </x:c>
      <x:c r="T29" s="12" t="n">
        <x:f>Q29+R29*S29</x:f>
        <x:v>2907.7135751901696</x:v>
      </x:c>
      <x:c r="U29" s="12" t="n">
        <x:f>T29-J29</x:f>
        <x:v>32.347864248098176</x:v>
      </x:c>
      <x:c r="V29" s="12" t="n">
        <x:f>J29*'Когорты'!T7</x:f>
        <x:v>2875365.7109420714</x:v>
      </x:c>
      <x:c r="W29" s="12" t="n">
        <x:f>Q29*'Когорты'!T7*(1+'Воздействие'!H11*N29)</x:f>
        <x:v>2875365.7109420714</x:v>
      </x:c>
      <x:c r="X29" s="12" t="n">
        <x:f>R29*'Когорты'!T7*(1+'Воздействие'!H11*N29)</x:f>
        <x:v>57507.31421884143</x:v>
      </x:c>
      <x:c r="Y29" s="12" t="n">
        <x:f>W29+X29*S29</x:f>
        <x:v>2907713.5751901697</x:v>
      </x:c>
      <x:c r="Z29" s="12" t="n">
        <x:f>F29*N29</x:f>
        <x:v>3276.0000000000005</x:v>
      </x:c>
      <x:c r="AA29" s="12" t="n">
        <x:f>J29*D29</x:f>
        <x:v>2875.3657109420715</x:v>
      </x:c>
      <x:c r="AB29" s="12" t="n">
        <x:f>Q29*D29</x:f>
        <x:v>2875.3657109420715</x:v>
      </x:c>
      <x:c r="AC29" s="12" t="n">
        <x:f>R29*D29</x:f>
        <x:v>57.50731421884143</x:v>
      </x:c>
      <x:c r="AD29" s="12" t="n">
        <x:f>J29*E29</x:f>
        <x:v>0</x:v>
      </x:c>
      <x:c r="AE29" s="12" t="n">
        <x:f>Q29*E29</x:f>
        <x:v>0</x:v>
      </x:c>
      <x:c r="AF29" s="12" t="n">
        <x:f>R29*E29</x:f>
        <x:v>0</x:v>
      </x:c>
      <x:c r="AG29" s="1" t="n">
        <x:f>IF(AND(I29&gt;=0,I29&lt;=1,Q29+R29&lt;=F29+0.00000001,N29&gt;=0,N29&lt;=1),1,0)</x:f>
        <x:v>1</x:v>
      </x:c>
      <x:c r="AH29" s="1"/>
      <x:c r="AI29" s="1"/>
    </x:row>
    <x:row r="30" ht="24" customHeight="1">
      <x:c r="A30" s="1" t="str">
        <x:v>H2</x:v>
      </x:c>
      <x:c r="B30" s="1" t="str">
        <x:v>S3</x:v>
      </x:c>
      <x:c r="C30" s="1" t="str">
        <x:v>Только F</x:v>
      </x:c>
      <x:c r="D30" s="1" t="n">
        <x:v>0</x:v>
      </x:c>
      <x:c r="E30" s="1" t="n">
        <x:v>1</x:v>
      </x:c>
      <x:c r="F30" s="12" t="n">
        <x:f>'Когорты'!D7*'Когорты'!M7</x:f>
        <x:v>779.9999999999999</x:v>
      </x:c>
      <x:c r="G30" s="8" t="n">
        <x:f>'Когорты'!F7</x:f>
        <x:v>0.12</x:v>
      </x:c>
      <x:c r="H30" s="1" t="n">
        <x:f>'Когорты'!P7</x:f>
        <x:v>0.2</x:v>
      </x:c>
      <x:c r="I30" s="8" t="n">
        <x:f>IF('Когорты'!S7&gt;0,G30*H30/'Когорты'!S7,0)</x:f>
        <x:v>0.023405500292568753</x:v>
      </x:c>
      <x:c r="J30" s="1" t="n">
        <x:f>F30*I30</x:f>
        <x:v>18.256290228203625</x:v>
      </x:c>
      <x:c r="K30" s="8" t="n">
        <x:f>'Воздействие'!C11*D30</x:f>
        <x:v>0</x:v>
      </x:c>
      <x:c r="L30" s="8" t="n">
        <x:f>'Воздействие'!D11*E30</x:f>
        <x:v>0.25</x:v>
      </x:c>
      <x:c r="M30" s="8" t="n">
        <x:f>'Воздействие'!E11*D30*E30</x:f>
        <x:v>0</x:v>
      </x:c>
      <x:c r="N30" s="8" t="n">
        <x:f>K30+L30-M30</x:f>
        <x:v>0.25</x:v>
      </x:c>
      <x:c r="O30" s="1" t="n">
        <x:f>J30*'Параметры'!$B$10*N30</x:f>
        <x:v>0.45640725570509066</x:v>
      </x:c>
      <x:c r="P30" s="8" t="n">
        <x:f>(1-'Воздействие'!F11*D30)*(1-'Воздействие'!G11*E30)</x:f>
        <x:v>1</x:v>
      </x:c>
      <x:c r="Q30" s="1" t="n">
        <x:f>J30*P30</x:f>
        <x:v>18.256290228203625</x:v>
      </x:c>
      <x:c r="R30" s="1" t="n">
        <x:f>O30*P30</x:f>
        <x:v>0.45640725570509066</x:v>
      </x:c>
      <x:c r="S30" s="8" t="n">
        <x:f>(1-'Гипотезы'!D6)*(1-'Гипотезы'!E6)</x:f>
        <x:v>0.5625</x:v>
      </x:c>
      <x:c r="T30" s="12" t="n">
        <x:f>Q30+R30*S30</x:f>
        <x:v>18.51301930953774</x:v>
      </x:c>
      <x:c r="U30" s="12" t="n">
        <x:f>T30-J30</x:f>
        <x:v>0.25672908133411454</x:v>
      </x:c>
      <x:c r="V30" s="12" t="n">
        <x:f>J30*'Когорты'!T7</x:f>
        <x:v>18256.290228203623</x:v>
      </x:c>
      <x:c r="W30" s="12" t="n">
        <x:f>Q30*'Когорты'!T7*(1+'Воздействие'!H11*N30)</x:f>
        <x:v>18256.290228203623</x:v>
      </x:c>
      <x:c r="X30" s="12" t="n">
        <x:f>R30*'Когорты'!T7*(1+'Воздействие'!H11*N30)</x:f>
        <x:v>456.4072557050907</x:v>
      </x:c>
      <x:c r="Y30" s="12" t="n">
        <x:f>W30+X30*S30</x:f>
        <x:v>18513.019309537736</x:v>
      </x:c>
      <x:c r="Z30" s="12" t="n">
        <x:f>F30*N30</x:f>
        <x:v>194.99999999999997</x:v>
      </x:c>
      <x:c r="AA30" s="12" t="n">
        <x:f>J30*D30</x:f>
        <x:v>0</x:v>
      </x:c>
      <x:c r="AB30" s="12" t="n">
        <x:f>Q30*D30</x:f>
        <x:v>0</x:v>
      </x:c>
      <x:c r="AC30" s="12" t="n">
        <x:f>R30*D30</x:f>
        <x:v>0</x:v>
      </x:c>
      <x:c r="AD30" s="12" t="n">
        <x:f>J30*E30</x:f>
        <x:v>18.256290228203625</x:v>
      </x:c>
      <x:c r="AE30" s="12" t="n">
        <x:f>Q30*E30</x:f>
        <x:v>18.256290228203625</x:v>
      </x:c>
      <x:c r="AF30" s="12" t="n">
        <x:f>R30*E30</x:f>
        <x:v>0.45640725570509066</x:v>
      </x:c>
      <x:c r="AG30" s="1" t="n">
        <x:f>IF(AND(I30&gt;=0,I30&lt;=1,Q30+R30&lt;=F30+0.00000001,N30&gt;=0,N30&lt;=1),1,0)</x:f>
        <x:v>1</x:v>
      </x:c>
      <x:c r="AH30" s="1"/>
      <x:c r="AI30" s="1"/>
    </x:row>
    <x:row r="31" ht="24" customHeight="1">
      <x:c r="A31" s="1" t="str">
        <x:v>H2</x:v>
      </x:c>
      <x:c r="B31" s="1" t="str">
        <x:v>S3</x:v>
      </x:c>
      <x:c r="C31" s="1" t="str">
        <x:v>Оба</x:v>
      </x:c>
      <x:c r="D31" s="1" t="n">
        <x:v>1</x:v>
      </x:c>
      <x:c r="E31" s="1" t="n">
        <x:v>1</x:v>
      </x:c>
      <x:c r="F31" s="12" t="n">
        <x:f>'Когорты'!D7*'Когорты'!K7</x:f>
        <x:v>3120.0000000000005</x:v>
      </x:c>
      <x:c r="G31" s="8" t="n">
        <x:f>'Когорты'!F7</x:f>
        <x:v>0.12</x:v>
      </x:c>
      <x:c r="H31" s="1" t="n">
        <x:f>'Когорты'!Q7</x:f>
        <x:v>1</x:v>
      </x:c>
      <x:c r="I31" s="8" t="n">
        <x:f>IF('Когорты'!S7&gt;0,G31*H31/'Когорты'!S7,0)</x:f>
        <x:v>0.11702750146284376</x:v>
      </x:c>
      <x:c r="J31" s="1" t="n">
        <x:f>F31*I31</x:f>
        <x:v>365.12580456407255</x:v>
      </x:c>
      <x:c r="K31" s="8" t="n">
        <x:f>'Воздействие'!C11*D31</x:f>
        <x:v>0.2</x:v>
      </x:c>
      <x:c r="L31" s="8" t="n">
        <x:f>'Воздействие'!D11*E31</x:f>
        <x:v>0.25</x:v>
      </x:c>
      <x:c r="M31" s="8" t="n">
        <x:f>'Воздействие'!E11*D31*E31</x:f>
        <x:v>0.1</x:v>
      </x:c>
      <x:c r="N31" s="8" t="n">
        <x:f>K31+L31-M31</x:f>
        <x:v>0.35</x:v>
      </x:c>
      <x:c r="O31" s="1" t="n">
        <x:f>J31*'Параметры'!$B$10*N31</x:f>
        <x:v>12.77940315974254</x:v>
      </x:c>
      <x:c r="P31" s="8" t="n">
        <x:f>(1-'Воздействие'!F11*D31)*(1-'Воздействие'!G11*E31)</x:f>
        <x:v>1</x:v>
      </x:c>
      <x:c r="Q31" s="1" t="n">
        <x:f>J31*P31</x:f>
        <x:v>365.12580456407255</x:v>
      </x:c>
      <x:c r="R31" s="1" t="n">
        <x:f>O31*P31</x:f>
        <x:v>12.77940315974254</x:v>
      </x:c>
      <x:c r="S31" s="8" t="n">
        <x:f>(1-'Гипотезы'!D6)*(1-'Гипотезы'!E6)</x:f>
        <x:v>0.5625</x:v>
      </x:c>
      <x:c r="T31" s="12" t="n">
        <x:f>Q31+R31*S31</x:f>
        <x:v>372.31421884142776</x:v>
      </x:c>
      <x:c r="U31" s="12" t="n">
        <x:f>T31-J31</x:f>
        <x:v>7.188414277355207</x:v>
      </x:c>
      <x:c r="V31" s="12" t="n">
        <x:f>J31*'Когорты'!T7</x:f>
        <x:v>365125.8045640726</x:v>
      </x:c>
      <x:c r="W31" s="12" t="n">
        <x:f>Q31*'Когорты'!T7*(1+'Воздействие'!H11*N31)</x:f>
        <x:v>365125.8045640726</x:v>
      </x:c>
      <x:c r="X31" s="12" t="n">
        <x:f>R31*'Когорты'!T7*(1+'Воздействие'!H11*N31)</x:f>
        <x:v>12779.40315974254</x:v>
      </x:c>
      <x:c r="Y31" s="12" t="n">
        <x:f>W31+X31*S31</x:f>
        <x:v>372314.21884142776</x:v>
      </x:c>
      <x:c r="Z31" s="12" t="n">
        <x:f>F31*N31</x:f>
        <x:v>1092</x:v>
      </x:c>
      <x:c r="AA31" s="12" t="n">
        <x:f>J31*D31</x:f>
        <x:v>365.12580456407255</x:v>
      </x:c>
      <x:c r="AB31" s="12" t="n">
        <x:f>Q31*D31</x:f>
        <x:v>365.12580456407255</x:v>
      </x:c>
      <x:c r="AC31" s="12" t="n">
        <x:f>R31*D31</x:f>
        <x:v>12.77940315974254</x:v>
      </x:c>
      <x:c r="AD31" s="12" t="n">
        <x:f>J31*E31</x:f>
        <x:v>365.12580456407255</x:v>
      </x:c>
      <x:c r="AE31" s="12" t="n">
        <x:f>Q31*E31</x:f>
        <x:v>365.12580456407255</x:v>
      </x:c>
      <x:c r="AF31" s="12" t="n">
        <x:f>R31*E31</x:f>
        <x:v>12.77940315974254</x:v>
      </x:c>
      <x:c r="AG31" s="1" t="n">
        <x:f>IF(AND(I31&gt;=0,I31&lt;=1,Q31+R31&lt;=F31+0.00000001,N31&gt;=0,N31&lt;=1),1,0)</x:f>
        <x:v>1</x:v>
      </x:c>
      <x:c r="AH31" s="1"/>
      <x:c r="AI31" s="1"/>
    </x:row>
    <x:row r="32" ht="24" customHeight="1">
      <x:c r="A32" s="1" t="str">
        <x:v>H2</x:v>
      </x:c>
      <x:c r="B32" s="1" t="str">
        <x:v>S3</x:v>
      </x:c>
      <x:c r="C32" s="1" t="str">
        <x:v>Ни один</x:v>
      </x:c>
      <x:c r="D32" s="1" t="n">
        <x:v>0</x:v>
      </x:c>
      <x:c r="E32" s="1" t="n">
        <x:v>0</x:v>
      </x:c>
      <x:c r="F32" s="12" t="n">
        <x:f>'Когорты'!D7*'Когорты'!N7</x:f>
        <x:v>9719.999999999998</x:v>
      </x:c>
      <x:c r="G32" s="8" t="n">
        <x:f>'Когорты'!F7</x:f>
        <x:v>0.12</x:v>
      </x:c>
      <x:c r="H32" s="1" t="n">
        <x:f>'Когорты'!R7</x:f>
        <x:v>0.3</x:v>
      </x:c>
      <x:c r="I32" s="8" t="n">
        <x:f>IF('Когорты'!S7&gt;0,G32*H32/'Когорты'!S7,0)</x:f>
        <x:v>0.03510825043885313</x:v>
      </x:c>
      <x:c r="J32" s="1" t="n">
        <x:f>F32*I32</x:f>
        <x:v>341.25219426565235</x:v>
      </x:c>
      <x:c r="K32" s="8" t="n">
        <x:f>'Воздействие'!C11*D32</x:f>
        <x:v>0</x:v>
      </x:c>
      <x:c r="L32" s="8" t="n">
        <x:f>'Воздействие'!D11*E32</x:f>
        <x:v>0</x:v>
      </x:c>
      <x:c r="M32" s="8" t="n">
        <x:f>'Воздействие'!E11*D32*E32</x:f>
        <x:v>0</x:v>
      </x:c>
      <x:c r="N32" s="8" t="n">
        <x:f>K32+L32-M32</x:f>
        <x:v>0</x:v>
      </x:c>
      <x:c r="O32" s="1" t="n">
        <x:f>J32*'Параметры'!$B$10*N32</x:f>
        <x:v>0</x:v>
      </x:c>
      <x:c r="P32" s="8" t="n">
        <x:f>(1-'Воздействие'!F11*D32)*(1-'Воздействие'!G11*E32)</x:f>
        <x:v>1</x:v>
      </x:c>
      <x:c r="Q32" s="1" t="n">
        <x:f>J32*P32</x:f>
        <x:v>341.25219426565235</x:v>
      </x:c>
      <x:c r="R32" s="1" t="n">
        <x:f>O32*P32</x:f>
        <x:v>0</x:v>
      </x:c>
      <x:c r="S32" s="8" t="n">
        <x:f>(1-'Гипотезы'!D6)*(1-'Гипотезы'!E6)</x:f>
        <x:v>0.5625</x:v>
      </x:c>
      <x:c r="T32" s="12" t="n">
        <x:f>Q32+R32*S32</x:f>
        <x:v>341.25219426565235</x:v>
      </x:c>
      <x:c r="U32" s="12" t="n">
        <x:f>T32-J32</x:f>
        <x:v>0</x:v>
      </x:c>
      <x:c r="V32" s="12" t="n">
        <x:f>J32*'Когорты'!T7</x:f>
        <x:v>341252.19426565233</x:v>
      </x:c>
      <x:c r="W32" s="12" t="n">
        <x:f>Q32*'Когорты'!T7*(1+'Воздействие'!H11*N32)</x:f>
        <x:v>341252.19426565233</x:v>
      </x:c>
      <x:c r="X32" s="12" t="n">
        <x:f>R32*'Когорты'!T7*(1+'Воздействие'!H11*N32)</x:f>
        <x:v>0</x:v>
      </x:c>
      <x:c r="Y32" s="12" t="n">
        <x:f>W32+X32*S32</x:f>
        <x:v>341252.19426565233</x:v>
      </x:c>
      <x:c r="Z32" s="12" t="n">
        <x:f>F32*N32</x:f>
        <x:v>0</x:v>
      </x:c>
      <x:c r="AA32" s="12" t="n">
        <x:f>J32*D32</x:f>
        <x:v>0</x:v>
      </x:c>
      <x:c r="AB32" s="12" t="n">
        <x:f>Q32*D32</x:f>
        <x:v>0</x:v>
      </x:c>
      <x:c r="AC32" s="12" t="n">
        <x:f>R32*D32</x:f>
        <x:v>0</x:v>
      </x:c>
      <x:c r="AD32" s="12" t="n">
        <x:f>J32*E32</x:f>
        <x:v>0</x:v>
      </x:c>
      <x:c r="AE32" s="12" t="n">
        <x:f>Q32*E32</x:f>
        <x:v>0</x:v>
      </x:c>
      <x:c r="AF32" s="12" t="n">
        <x:f>R32*E32</x:f>
        <x:v>0</x:v>
      </x:c>
      <x:c r="AG32" s="1" t="n">
        <x:f>IF(AND(I32&gt;=0,I32&lt;=1,Q32+R32&lt;=F32+0.00000001,N32&gt;=0,N32&lt;=1),1,0)</x:f>
        <x:v>1</x:v>
      </x:c>
      <x:c r="AH32" s="1"/>
      <x:c r="AI32" s="1"/>
    </x:row>
    <x:row r="33" ht="24" customHeight="1">
      <x:c r="A33" s="1" t="str">
        <x:v>H2</x:v>
      </x:c>
      <x:c r="B33" s="1" t="str">
        <x:v>S4</x:v>
      </x:c>
      <x:c r="C33" s="1" t="str">
        <x:v>Только C</x:v>
      </x:c>
      <x:c r="D33" s="1" t="n">
        <x:v>1</x:v>
      </x:c>
      <x:c r="E33" s="1" t="n">
        <x:v>0</x:v>
      </x:c>
      <x:c r="F33" s="12" t="n">
        <x:f>'Когорты'!D8*'Когорты'!L8</x:f>
        <x:v>16380.000000000002</x:v>
      </x:c>
      <x:c r="G33" s="8" t="n">
        <x:f>'Когорты'!F8</x:f>
        <x:v>0.21</x:v>
      </x:c>
      <x:c r="H33" s="1" t="n">
        <x:f>'Когорты'!O8</x:f>
        <x:v>1.5</x:v>
      </x:c>
      <x:c r="I33" s="8" t="n">
        <x:f>IF('Когорты'!S8&gt;0,G33*H33/'Когорты'!S8,0)</x:f>
        <x:v>0.30719719133996487</x:v>
      </x:c>
      <x:c r="J33" s="1" t="n">
        <x:f>F33*I33</x:f>
        <x:v>5031.889994148625</x:v>
      </x:c>
      <x:c r="K33" s="8" t="n">
        <x:f>'Воздействие'!C12*D33</x:f>
        <x:v>0.2</x:v>
      </x:c>
      <x:c r="L33" s="8" t="n">
        <x:f>'Воздействие'!D12*E33</x:f>
        <x:v>0</x:v>
      </x:c>
      <x:c r="M33" s="8" t="n">
        <x:f>'Воздействие'!E12*D33*E33</x:f>
        <x:v>0</x:v>
      </x:c>
      <x:c r="N33" s="8" t="n">
        <x:f>K33+L33-M33</x:f>
        <x:v>0.2</x:v>
      </x:c>
      <x:c r="O33" s="1" t="n">
        <x:f>J33*'Параметры'!$B$10*N33</x:f>
        <x:v>100.63779988297252</x:v>
      </x:c>
      <x:c r="P33" s="8" t="n">
        <x:f>(1-'Воздействие'!F12*D33)*(1-'Воздействие'!G12*E33)</x:f>
        <x:v>1</x:v>
      </x:c>
      <x:c r="Q33" s="1" t="n">
        <x:f>J33*P33</x:f>
        <x:v>5031.889994148625</x:v>
      </x:c>
      <x:c r="R33" s="1" t="n">
        <x:f>O33*P33</x:f>
        <x:v>100.63779988297252</x:v>
      </x:c>
      <x:c r="S33" s="8" t="n">
        <x:f>(1-'Гипотезы'!D6)*(1-'Гипотезы'!E6)</x:f>
        <x:v>0.5625</x:v>
      </x:c>
      <x:c r="T33" s="12" t="n">
        <x:f>Q33+R33*S33</x:f>
        <x:v>5088.498756582797</x:v>
      </x:c>
      <x:c r="U33" s="12" t="n">
        <x:f>T33-J33</x:f>
        <x:v>56.608762434171695</x:v>
      </x:c>
      <x:c r="V33" s="12" t="n">
        <x:f>J33*'Когорты'!T8</x:f>
        <x:v>5031889.994148625</x:v>
      </x:c>
      <x:c r="W33" s="12" t="n">
        <x:f>Q33*'Когорты'!T8*(1+'Воздействие'!H12*N33)</x:f>
        <x:v>5031889.994148625</x:v>
      </x:c>
      <x:c r="X33" s="12" t="n">
        <x:f>R33*'Когорты'!T8*(1+'Воздействие'!H12*N33)</x:f>
        <x:v>100637.79988297251</x:v>
      </x:c>
      <x:c r="Y33" s="12" t="n">
        <x:f>W33+X33*S33</x:f>
        <x:v>5088498.7565827975</x:v>
      </x:c>
      <x:c r="Z33" s="12" t="n">
        <x:f>F33*N33</x:f>
        <x:v>3276.0000000000005</x:v>
      </x:c>
      <x:c r="AA33" s="12" t="n">
        <x:f>J33*D33</x:f>
        <x:v>5031.889994148625</x:v>
      </x:c>
      <x:c r="AB33" s="12" t="n">
        <x:f>Q33*D33</x:f>
        <x:v>5031.889994148625</x:v>
      </x:c>
      <x:c r="AC33" s="12" t="n">
        <x:f>R33*D33</x:f>
        <x:v>100.63779988297252</x:v>
      </x:c>
      <x:c r="AD33" s="12" t="n">
        <x:f>J33*E33</x:f>
        <x:v>0</x:v>
      </x:c>
      <x:c r="AE33" s="12" t="n">
        <x:f>Q33*E33</x:f>
        <x:v>0</x:v>
      </x:c>
      <x:c r="AF33" s="12" t="n">
        <x:f>R33*E33</x:f>
        <x:v>0</x:v>
      </x:c>
      <x:c r="AG33" s="1" t="n">
        <x:f>IF(AND(I33&gt;=0,I33&lt;=1,Q33+R33&lt;=F33+0.00000001,N33&gt;=0,N33&lt;=1),1,0)</x:f>
        <x:v>1</x:v>
      </x:c>
      <x:c r="AH33" s="1"/>
      <x:c r="AI33" s="1"/>
    </x:row>
    <x:row r="34" ht="24" customHeight="1">
      <x:c r="A34" s="1" t="str">
        <x:v>H2</x:v>
      </x:c>
      <x:c r="B34" s="1" t="str">
        <x:v>S4</x:v>
      </x:c>
      <x:c r="C34" s="1" t="str">
        <x:v>Только F</x:v>
      </x:c>
      <x:c r="D34" s="1" t="n">
        <x:v>0</x:v>
      </x:c>
      <x:c r="E34" s="1" t="n">
        <x:v>1</x:v>
      </x:c>
      <x:c r="F34" s="12" t="n">
        <x:f>'Когорты'!D8*'Когорты'!M8</x:f>
        <x:v>779.9999999999999</x:v>
      </x:c>
      <x:c r="G34" s="8" t="n">
        <x:f>'Когорты'!F8</x:f>
        <x:v>0.21</x:v>
      </x:c>
      <x:c r="H34" s="1" t="n">
        <x:f>'Когорты'!P8</x:f>
        <x:v>0.2</x:v>
      </x:c>
      <x:c r="I34" s="8" t="n">
        <x:f>IF('Когорты'!S8&gt;0,G34*H34/'Когорты'!S8,0)</x:f>
        <x:v>0.04095962551199532</x:v>
      </x:c>
      <x:c r="J34" s="1" t="n">
        <x:f>F34*I34</x:f>
        <x:v>31.948507899356347</x:v>
      </x:c>
      <x:c r="K34" s="8" t="n">
        <x:f>'Воздействие'!C12*D34</x:f>
        <x:v>0</x:v>
      </x:c>
      <x:c r="L34" s="8" t="n">
        <x:f>'Воздействие'!D12*E34</x:f>
        <x:v>0.25</x:v>
      </x:c>
      <x:c r="M34" s="8" t="n">
        <x:f>'Воздействие'!E12*D34*E34</x:f>
        <x:v>0</x:v>
      </x:c>
      <x:c r="N34" s="8" t="n">
        <x:f>K34+L34-M34</x:f>
        <x:v>0.25</x:v>
      </x:c>
      <x:c r="O34" s="1" t="n">
        <x:f>J34*'Параметры'!$B$10*N34</x:f>
        <x:v>0.7987126974839087</x:v>
      </x:c>
      <x:c r="P34" s="8" t="n">
        <x:f>(1-'Воздействие'!F12*D34)*(1-'Воздействие'!G12*E34)</x:f>
        <x:v>1</x:v>
      </x:c>
      <x:c r="Q34" s="1" t="n">
        <x:f>J34*P34</x:f>
        <x:v>31.948507899356347</x:v>
      </x:c>
      <x:c r="R34" s="1" t="n">
        <x:f>O34*P34</x:f>
        <x:v>0.7987126974839087</x:v>
      </x:c>
      <x:c r="S34" s="8" t="n">
        <x:f>(1-'Гипотезы'!D6)*(1-'Гипотезы'!E6)</x:f>
        <x:v>0.5625</x:v>
      </x:c>
      <x:c r="T34" s="12" t="n">
        <x:f>Q34+R34*S34</x:f>
        <x:v>32.39778379169105</x:v>
      </x:c>
      <x:c r="U34" s="12" t="n">
        <x:f>T34-J34</x:f>
        <x:v>0.44927589233470044</x:v>
      </x:c>
      <x:c r="V34" s="12" t="n">
        <x:f>J34*'Когорты'!T8</x:f>
        <x:v>31948.507899356347</x:v>
      </x:c>
      <x:c r="W34" s="12" t="n">
        <x:f>Q34*'Когорты'!T8*(1+'Воздействие'!H12*N34)</x:f>
        <x:v>31948.507899356347</x:v>
      </x:c>
      <x:c r="X34" s="12" t="n">
        <x:f>R34*'Когорты'!T8*(1+'Воздействие'!H12*N34)</x:f>
        <x:v>798.7126974839088</x:v>
      </x:c>
      <x:c r="Y34" s="12" t="n">
        <x:f>W34+X34*S34</x:f>
        <x:v>32397.783791691047</x:v>
      </x:c>
      <x:c r="Z34" s="12" t="n">
        <x:f>F34*N34</x:f>
        <x:v>194.99999999999997</x:v>
      </x:c>
      <x:c r="AA34" s="12" t="n">
        <x:f>J34*D34</x:f>
        <x:v>0</x:v>
      </x:c>
      <x:c r="AB34" s="12" t="n">
        <x:f>Q34*D34</x:f>
        <x:v>0</x:v>
      </x:c>
      <x:c r="AC34" s="12" t="n">
        <x:f>R34*D34</x:f>
        <x:v>0</x:v>
      </x:c>
      <x:c r="AD34" s="12" t="n">
        <x:f>J34*E34</x:f>
        <x:v>31.948507899356347</x:v>
      </x:c>
      <x:c r="AE34" s="12" t="n">
        <x:f>Q34*E34</x:f>
        <x:v>31.948507899356347</x:v>
      </x:c>
      <x:c r="AF34" s="12" t="n">
        <x:f>R34*E34</x:f>
        <x:v>0.7987126974839087</x:v>
      </x:c>
      <x:c r="AG34" s="1" t="n">
        <x:f>IF(AND(I34&gt;=0,I34&lt;=1,Q34+R34&lt;=F34+0.00000001,N34&gt;=0,N34&lt;=1),1,0)</x:f>
        <x:v>1</x:v>
      </x:c>
      <x:c r="AH34" s="1"/>
      <x:c r="AI34" s="1"/>
    </x:row>
    <x:row r="35" ht="24" customHeight="1">
      <x:c r="A35" s="1" t="str">
        <x:v>H2</x:v>
      </x:c>
      <x:c r="B35" s="1" t="str">
        <x:v>S4</x:v>
      </x:c>
      <x:c r="C35" s="1" t="str">
        <x:v>Оба</x:v>
      </x:c>
      <x:c r="D35" s="1" t="n">
        <x:v>1</x:v>
      </x:c>
      <x:c r="E35" s="1" t="n">
        <x:v>1</x:v>
      </x:c>
      <x:c r="F35" s="12" t="n">
        <x:f>'Когорты'!D8*'Когорты'!K8</x:f>
        <x:v>3120.0000000000005</x:v>
      </x:c>
      <x:c r="G35" s="8" t="n">
        <x:f>'Когорты'!F8</x:f>
        <x:v>0.21</x:v>
      </x:c>
      <x:c r="H35" s="1" t="n">
        <x:f>'Когорты'!Q8</x:f>
        <x:v>1</x:v>
      </x:c>
      <x:c r="I35" s="8" t="n">
        <x:f>IF('Когорты'!S8&gt;0,G35*H35/'Когорты'!S8,0)</x:f>
        <x:v>0.20479812755997656</x:v>
      </x:c>
      <x:c r="J35" s="1" t="n">
        <x:f>F35*I35</x:f>
        <x:v>638.970157987127</x:v>
      </x:c>
      <x:c r="K35" s="8" t="n">
        <x:f>'Воздействие'!C12*D35</x:f>
        <x:v>0.2</x:v>
      </x:c>
      <x:c r="L35" s="8" t="n">
        <x:f>'Воздействие'!D12*E35</x:f>
        <x:v>0.25</x:v>
      </x:c>
      <x:c r="M35" s="8" t="n">
        <x:f>'Воздействие'!E12*D35*E35</x:f>
        <x:v>0.1</x:v>
      </x:c>
      <x:c r="N35" s="8" t="n">
        <x:f>K35+L35-M35</x:f>
        <x:v>0.35</x:v>
      </x:c>
      <x:c r="O35" s="1" t="n">
        <x:f>J35*'Параметры'!$B$10*N35</x:f>
        <x:v>22.363955529549443</x:v>
      </x:c>
      <x:c r="P35" s="8" t="n">
        <x:f>(1-'Воздействие'!F12*D35)*(1-'Воздействие'!G12*E35)</x:f>
        <x:v>1</x:v>
      </x:c>
      <x:c r="Q35" s="1" t="n">
        <x:f>J35*P35</x:f>
        <x:v>638.970157987127</x:v>
      </x:c>
      <x:c r="R35" s="1" t="n">
        <x:f>O35*P35</x:f>
        <x:v>22.363955529549443</x:v>
      </x:c>
      <x:c r="S35" s="8" t="n">
        <x:f>(1-'Гипотезы'!D6)*(1-'Гипотезы'!E6)</x:f>
        <x:v>0.5625</x:v>
      </x:c>
      <x:c r="T35" s="12" t="n">
        <x:f>Q35+R35*S35</x:f>
        <x:v>651.5498829724985</x:v>
      </x:c>
      <x:c r="U35" s="12" t="n">
        <x:f>T35-J35</x:f>
        <x:v>12.579724985371513</x:v>
      </x:c>
      <x:c r="V35" s="12" t="n">
        <x:f>J35*'Когорты'!T8</x:f>
        <x:v>638970.157987127</x:v>
      </x:c>
      <x:c r="W35" s="12" t="n">
        <x:f>Q35*'Когорты'!T8*(1+'Воздействие'!H12*N35)</x:f>
        <x:v>638970.157987127</x:v>
      </x:c>
      <x:c r="X35" s="12" t="n">
        <x:f>R35*'Когорты'!T8*(1+'Воздействие'!H12*N35)</x:f>
        <x:v>22363.955529549443</x:v>
      </x:c>
      <x:c r="Y35" s="12" t="n">
        <x:f>W35+X35*S35</x:f>
        <x:v>651549.8829724985</x:v>
      </x:c>
      <x:c r="Z35" s="12" t="n">
        <x:f>F35*N35</x:f>
        <x:v>1092</x:v>
      </x:c>
      <x:c r="AA35" s="12" t="n">
        <x:f>J35*D35</x:f>
        <x:v>638.970157987127</x:v>
      </x:c>
      <x:c r="AB35" s="12" t="n">
        <x:f>Q35*D35</x:f>
        <x:v>638.970157987127</x:v>
      </x:c>
      <x:c r="AC35" s="12" t="n">
        <x:f>R35*D35</x:f>
        <x:v>22.363955529549443</x:v>
      </x:c>
      <x:c r="AD35" s="12" t="n">
        <x:f>J35*E35</x:f>
        <x:v>638.970157987127</x:v>
      </x:c>
      <x:c r="AE35" s="12" t="n">
        <x:f>Q35*E35</x:f>
        <x:v>638.970157987127</x:v>
      </x:c>
      <x:c r="AF35" s="12" t="n">
        <x:f>R35*E35</x:f>
        <x:v>22.363955529549443</x:v>
      </x:c>
      <x:c r="AG35" s="1" t="n">
        <x:f>IF(AND(I35&gt;=0,I35&lt;=1,Q35+R35&lt;=F35+0.00000001,N35&gt;=0,N35&lt;=1),1,0)</x:f>
        <x:v>1</x:v>
      </x:c>
      <x:c r="AH35" s="1"/>
      <x:c r="AI35" s="1"/>
    </x:row>
    <x:row r="36" ht="24" customHeight="1">
      <x:c r="A36" s="1" t="str">
        <x:v>H2</x:v>
      </x:c>
      <x:c r="B36" s="1" t="str">
        <x:v>S4</x:v>
      </x:c>
      <x:c r="C36" s="1" t="str">
        <x:v>Ни один</x:v>
      </x:c>
      <x:c r="D36" s="1" t="n">
        <x:v>0</x:v>
      </x:c>
      <x:c r="E36" s="1" t="n">
        <x:v>0</x:v>
      </x:c>
      <x:c r="F36" s="12" t="n">
        <x:f>'Когорты'!D8*'Когорты'!N8</x:f>
        <x:v>9719.999999999998</x:v>
      </x:c>
      <x:c r="G36" s="8" t="n">
        <x:f>'Когорты'!F8</x:f>
        <x:v>0.21</x:v>
      </x:c>
      <x:c r="H36" s="1" t="n">
        <x:f>'Когорты'!R8</x:f>
        <x:v>0.3</x:v>
      </x:c>
      <x:c r="I36" s="8" t="n">
        <x:f>IF('Когорты'!S8&gt;0,G36*H36/'Когорты'!S8,0)</x:f>
        <x:v>0.061439438267992974</x:v>
      </x:c>
      <x:c r="J36" s="1" t="n">
        <x:f>F36*I36</x:f>
        <x:v>597.1913399648915</x:v>
      </x:c>
      <x:c r="K36" s="8" t="n">
        <x:f>'Воздействие'!C12*D36</x:f>
        <x:v>0</x:v>
      </x:c>
      <x:c r="L36" s="8" t="n">
        <x:f>'Воздействие'!D12*E36</x:f>
        <x:v>0</x:v>
      </x:c>
      <x:c r="M36" s="8" t="n">
        <x:f>'Воздействие'!E12*D36*E36</x:f>
        <x:v>0</x:v>
      </x:c>
      <x:c r="N36" s="8" t="n">
        <x:f>K36+L36-M36</x:f>
        <x:v>0</x:v>
      </x:c>
      <x:c r="O36" s="1" t="n">
        <x:f>J36*'Параметры'!$B$10*N36</x:f>
        <x:v>0</x:v>
      </x:c>
      <x:c r="P36" s="8" t="n">
        <x:f>(1-'Воздействие'!F12*D36)*(1-'Воздействие'!G12*E36)</x:f>
        <x:v>1</x:v>
      </x:c>
      <x:c r="Q36" s="1" t="n">
        <x:f>J36*P36</x:f>
        <x:v>597.1913399648915</x:v>
      </x:c>
      <x:c r="R36" s="1" t="n">
        <x:f>O36*P36</x:f>
        <x:v>0</x:v>
      </x:c>
      <x:c r="S36" s="8" t="n">
        <x:f>(1-'Гипотезы'!D6)*(1-'Гипотезы'!E6)</x:f>
        <x:v>0.5625</x:v>
      </x:c>
      <x:c r="T36" s="12" t="n">
        <x:f>Q36+R36*S36</x:f>
        <x:v>597.1913399648915</x:v>
      </x:c>
      <x:c r="U36" s="12" t="n">
        <x:f>T36-J36</x:f>
        <x:v>0</x:v>
      </x:c>
      <x:c r="V36" s="12" t="n">
        <x:f>J36*'Когорты'!T8</x:f>
        <x:v>597191.3399648916</x:v>
      </x:c>
      <x:c r="W36" s="12" t="n">
        <x:f>Q36*'Когорты'!T8*(1+'Воздействие'!H12*N36)</x:f>
        <x:v>597191.3399648916</x:v>
      </x:c>
      <x:c r="X36" s="12" t="n">
        <x:f>R36*'Когорты'!T8*(1+'Воздействие'!H12*N36)</x:f>
        <x:v>0</x:v>
      </x:c>
      <x:c r="Y36" s="12" t="n">
        <x:f>W36+X36*S36</x:f>
        <x:v>597191.3399648916</x:v>
      </x:c>
      <x:c r="Z36" s="12" t="n">
        <x:f>F36*N36</x:f>
        <x:v>0</x:v>
      </x:c>
      <x:c r="AA36" s="12" t="n">
        <x:f>J36*D36</x:f>
        <x:v>0</x:v>
      </x:c>
      <x:c r="AB36" s="12" t="n">
        <x:f>Q36*D36</x:f>
        <x:v>0</x:v>
      </x:c>
      <x:c r="AC36" s="12" t="n">
        <x:f>R36*D36</x:f>
        <x:v>0</x:v>
      </x:c>
      <x:c r="AD36" s="12" t="n">
        <x:f>J36*E36</x:f>
        <x:v>0</x:v>
      </x:c>
      <x:c r="AE36" s="12" t="n">
        <x:f>Q36*E36</x:f>
        <x:v>0</x:v>
      </x:c>
      <x:c r="AF36" s="12" t="n">
        <x:f>R36*E36</x:f>
        <x:v>0</x:v>
      </x:c>
      <x:c r="AG36" s="1" t="n">
        <x:f>IF(AND(I36&gt;=0,I36&lt;=1,Q36+R36&lt;=F36+0.00000001,N36&gt;=0,N36&lt;=1),1,0)</x:f>
        <x:v>1</x:v>
      </x:c>
      <x:c r="AH36" s="1"/>
      <x:c r="AI36" s="1"/>
    </x:row>
    <x:row r="37" ht="24" customHeight="1">
      <x:c r="A37" s="1" t="str">
        <x:v>H3</x:v>
      </x:c>
      <x:c r="B37" s="1" t="str">
        <x:v>S1</x:v>
      </x:c>
      <x:c r="C37" s="1" t="str">
        <x:v>Только C</x:v>
      </x:c>
      <x:c r="D37" s="1" t="n">
        <x:v>1</x:v>
      </x:c>
      <x:c r="E37" s="1" t="n">
        <x:v>0</x:v>
      </x:c>
      <x:c r="F37" s="12" t="n">
        <x:f>'Когорты'!D5*'Когорты'!L5</x:f>
        <x:v>10920</x:v>
      </x:c>
      <x:c r="G37" s="8" t="n">
        <x:f>'Когорты'!F5</x:f>
        <x:v>0.3</x:v>
      </x:c>
      <x:c r="H37" s="1" t="n">
        <x:f>'Когорты'!O5</x:f>
        <x:v>1.5</x:v>
      </x:c>
      <x:c r="I37" s="8" t="n">
        <x:f>IF('Когорты'!S5&gt;0,G37*H37/'Когорты'!S5,0)</x:f>
        <x:v>0.43885313048566404</x:v>
      </x:c>
      <x:c r="J37" s="1" t="n">
        <x:f>F37*I37</x:f>
        <x:v>4792.276184903451</x:v>
      </x:c>
      <x:c r="K37" s="8" t="n">
        <x:f>'Воздействие'!C13*D37</x:f>
        <x:v>0.1</x:v>
      </x:c>
      <x:c r="L37" s="8" t="n">
        <x:f>'Воздействие'!D13*E37</x:f>
        <x:v>0</x:v>
      </x:c>
      <x:c r="M37" s="8" t="n">
        <x:f>'Воздействие'!E13*D37*E37</x:f>
        <x:v>0</x:v>
      </x:c>
      <x:c r="N37" s="8" t="n">
        <x:f>K37+L37-M37</x:f>
        <x:v>0.1</x:v>
      </x:c>
      <x:c r="O37" s="1" t="n">
        <x:f>J37*'Параметры'!$B$10*N37</x:f>
        <x:v>47.922761849034515</x:v>
      </x:c>
      <x:c r="P37" s="8" t="n">
        <x:f>(1-'Воздействие'!F13*D37)*(1-'Воздействие'!G13*E37)</x:f>
        <x:v>1</x:v>
      </x:c>
      <x:c r="Q37" s="1" t="n">
        <x:f>J37*P37</x:f>
        <x:v>4792.276184903451</x:v>
      </x:c>
      <x:c r="R37" s="1" t="n">
        <x:f>O37*P37</x:f>
        <x:v>47.922761849034515</x:v>
      </x:c>
      <x:c r="S37" s="8" t="n">
        <x:f>(1-'Гипотезы'!D7)*(1-'Гипотезы'!E7)</x:f>
        <x:v>0.5625</x:v>
      </x:c>
      <x:c r="T37" s="12" t="n">
        <x:f>Q37+R37*S37</x:f>
        <x:v>4819.232738443533</x:v>
      </x:c>
      <x:c r="U37" s="12" t="n">
        <x:f>T37-J37</x:f>
        <x:v>26.956553540081586</x:v>
      </x:c>
      <x:c r="V37" s="12" t="n">
        <x:f>J37*'Когорты'!T5</x:f>
        <x:v>4792276.184903451</x:v>
      </x:c>
      <x:c r="W37" s="12" t="n">
        <x:f>Q37*'Когорты'!T5*(1+'Воздействие'!H13*N37)</x:f>
        <x:v>4792276.184903451</x:v>
      </x:c>
      <x:c r="X37" s="12" t="n">
        <x:f>R37*'Когорты'!T5*(1+'Воздействие'!H13*N37)</x:f>
        <x:v>47922.76184903451</x:v>
      </x:c>
      <x:c r="Y37" s="12" t="n">
        <x:f>W37+X37*S37</x:f>
        <x:v>4819232.738443533</x:v>
      </x:c>
      <x:c r="Z37" s="12" t="n">
        <x:f>F37*N37</x:f>
        <x:v>1092</x:v>
      </x:c>
      <x:c r="AA37" s="12" t="n">
        <x:f>J37*D37</x:f>
        <x:v>4792.276184903451</x:v>
      </x:c>
      <x:c r="AB37" s="12" t="n">
        <x:f>Q37*D37</x:f>
        <x:v>4792.276184903451</x:v>
      </x:c>
      <x:c r="AC37" s="12" t="n">
        <x:f>R37*D37</x:f>
        <x:v>47.922761849034515</x:v>
      </x:c>
      <x:c r="AD37" s="12" t="n">
        <x:f>J37*E37</x:f>
        <x:v>0</x:v>
      </x:c>
      <x:c r="AE37" s="12" t="n">
        <x:f>Q37*E37</x:f>
        <x:v>0</x:v>
      </x:c>
      <x:c r="AF37" s="12" t="n">
        <x:f>R37*E37</x:f>
        <x:v>0</x:v>
      </x:c>
      <x:c r="AG37" s="1" t="n">
        <x:f>IF(AND(I37&gt;=0,I37&lt;=1,Q37+R37&lt;=F37+0.00000001,N37&gt;=0,N37&lt;=1),1,0)</x:f>
        <x:v>1</x:v>
      </x:c>
      <x:c r="AH37" s="1"/>
      <x:c r="AI37" s="1"/>
    </x:row>
    <x:row r="38" ht="24" customHeight="1">
      <x:c r="A38" s="1" t="str">
        <x:v>H3</x:v>
      </x:c>
      <x:c r="B38" s="1" t="str">
        <x:v>S1</x:v>
      </x:c>
      <x:c r="C38" s="1" t="str">
        <x:v>Только F</x:v>
      </x:c>
      <x:c r="D38" s="1" t="n">
        <x:v>0</x:v>
      </x:c>
      <x:c r="E38" s="1" t="n">
        <x:v>1</x:v>
      </x:c>
      <x:c r="F38" s="12" t="n">
        <x:f>'Когорты'!D5*'Когорты'!M5</x:f>
        <x:v>519.9999999999999</x:v>
      </x:c>
      <x:c r="G38" s="8" t="n">
        <x:f>'Когорты'!F5</x:f>
        <x:v>0.3</x:v>
      </x:c>
      <x:c r="H38" s="1" t="n">
        <x:f>'Когорты'!P5</x:f>
        <x:v>0.2</x:v>
      </x:c>
      <x:c r="I38" s="8" t="n">
        <x:f>IF('Когорты'!S5&gt;0,G38*H38/'Когорты'!S5,0)</x:f>
        <x:v>0.05851375073142188</x:v>
      </x:c>
      <x:c r="J38" s="1" t="n">
        <x:f>F38*I38</x:f>
        <x:v>30.42715038033937</x:v>
      </x:c>
      <x:c r="K38" s="8" t="n">
        <x:f>'Воздействие'!C13*D38</x:f>
        <x:v>0</x:v>
      </x:c>
      <x:c r="L38" s="8" t="n">
        <x:f>'Воздействие'!D13*E38</x:f>
        <x:v>0</x:v>
      </x:c>
      <x:c r="M38" s="8" t="n">
        <x:f>'Воздействие'!E13*D38*E38</x:f>
        <x:v>0</x:v>
      </x:c>
      <x:c r="N38" s="8" t="n">
        <x:f>K38+L38-M38</x:f>
        <x:v>0</x:v>
      </x:c>
      <x:c r="O38" s="1" t="n">
        <x:f>J38*'Параметры'!$B$10*N38</x:f>
        <x:v>0</x:v>
      </x:c>
      <x:c r="P38" s="8" t="n">
        <x:f>(1-'Воздействие'!F13*D38)*(1-'Воздействие'!G13*E38)</x:f>
        <x:v>1</x:v>
      </x:c>
      <x:c r="Q38" s="1" t="n">
        <x:f>J38*P38</x:f>
        <x:v>30.42715038033937</x:v>
      </x:c>
      <x:c r="R38" s="1" t="n">
        <x:f>O38*P38</x:f>
        <x:v>0</x:v>
      </x:c>
      <x:c r="S38" s="8" t="n">
        <x:f>(1-'Гипотезы'!D7)*(1-'Гипотезы'!E7)</x:f>
        <x:v>0.5625</x:v>
      </x:c>
      <x:c r="T38" s="12" t="n">
        <x:f>Q38+R38*S38</x:f>
        <x:v>30.42715038033937</x:v>
      </x:c>
      <x:c r="U38" s="12" t="n">
        <x:f>T38-J38</x:f>
        <x:v>0</x:v>
      </x:c>
      <x:c r="V38" s="12" t="n">
        <x:f>J38*'Когорты'!T5</x:f>
        <x:v>30427.15038033937</x:v>
      </x:c>
      <x:c r="W38" s="12" t="n">
        <x:f>Q38*'Когорты'!T5*(1+'Воздействие'!H13*N38)</x:f>
        <x:v>30427.15038033937</x:v>
      </x:c>
      <x:c r="X38" s="12" t="n">
        <x:f>R38*'Когорты'!T5*(1+'Воздействие'!H13*N38)</x:f>
        <x:v>0</x:v>
      </x:c>
      <x:c r="Y38" s="12" t="n">
        <x:f>W38+X38*S38</x:f>
        <x:v>30427.15038033937</x:v>
      </x:c>
      <x:c r="Z38" s="12" t="n">
        <x:f>F38*N38</x:f>
        <x:v>0</x:v>
      </x:c>
      <x:c r="AA38" s="12" t="n">
        <x:f>J38*D38</x:f>
        <x:v>0</x:v>
      </x:c>
      <x:c r="AB38" s="12" t="n">
        <x:f>Q38*D38</x:f>
        <x:v>0</x:v>
      </x:c>
      <x:c r="AC38" s="12" t="n">
        <x:f>R38*D38</x:f>
        <x:v>0</x:v>
      </x:c>
      <x:c r="AD38" s="12" t="n">
        <x:f>J38*E38</x:f>
        <x:v>30.42715038033937</x:v>
      </x:c>
      <x:c r="AE38" s="12" t="n">
        <x:f>Q38*E38</x:f>
        <x:v>30.42715038033937</x:v>
      </x:c>
      <x:c r="AF38" s="12" t="n">
        <x:f>R38*E38</x:f>
        <x:v>0</x:v>
      </x:c>
      <x:c r="AG38" s="1" t="n">
        <x:f>IF(AND(I38&gt;=0,I38&lt;=1,Q38+R38&lt;=F38+0.00000001,N38&gt;=0,N38&lt;=1),1,0)</x:f>
        <x:v>1</x:v>
      </x:c>
      <x:c r="AH38" s="1"/>
      <x:c r="AI38" s="1"/>
    </x:row>
    <x:row r="39" ht="24" customHeight="1">
      <x:c r="A39" s="1" t="str">
        <x:v>H3</x:v>
      </x:c>
      <x:c r="B39" s="1" t="str">
        <x:v>S1</x:v>
      </x:c>
      <x:c r="C39" s="1" t="str">
        <x:v>Оба</x:v>
      </x:c>
      <x:c r="D39" s="1" t="n">
        <x:v>1</x:v>
      </x:c>
      <x:c r="E39" s="1" t="n">
        <x:v>1</x:v>
      </x:c>
      <x:c r="F39" s="12" t="n">
        <x:f>'Когорты'!D5*'Когорты'!K5</x:f>
        <x:v>2080</x:v>
      </x:c>
      <x:c r="G39" s="8" t="n">
        <x:f>'Когорты'!F5</x:f>
        <x:v>0.3</x:v>
      </x:c>
      <x:c r="H39" s="1" t="n">
        <x:f>'Когорты'!Q5</x:f>
        <x:v>1</x:v>
      </x:c>
      <x:c r="I39" s="8" t="n">
        <x:f>IF('Когорты'!S5&gt;0,G39*H39/'Когорты'!S5,0)</x:f>
        <x:v>0.2925687536571094</x:v>
      </x:c>
      <x:c r="J39" s="1" t="n">
        <x:f>F39*I39</x:f>
        <x:v>608.5430076067876</x:v>
      </x:c>
      <x:c r="K39" s="8" t="n">
        <x:f>'Воздействие'!C13*D39</x:f>
        <x:v>0.1</x:v>
      </x:c>
      <x:c r="L39" s="8" t="n">
        <x:f>'Воздействие'!D13*E39</x:f>
        <x:v>0</x:v>
      </x:c>
      <x:c r="M39" s="8" t="n">
        <x:f>'Воздействие'!E13*D39*E39</x:f>
        <x:v>0</x:v>
      </x:c>
      <x:c r="N39" s="8" t="n">
        <x:f>K39+L39-M39</x:f>
        <x:v>0.1</x:v>
      </x:c>
      <x:c r="O39" s="1" t="n">
        <x:f>J39*'Параметры'!$B$10*N39</x:f>
        <x:v>6.085430076067876</x:v>
      </x:c>
      <x:c r="P39" s="8" t="n">
        <x:f>(1-'Воздействие'!F13*D39)*(1-'Воздействие'!G13*E39)</x:f>
        <x:v>1</x:v>
      </x:c>
      <x:c r="Q39" s="1" t="n">
        <x:f>J39*P39</x:f>
        <x:v>608.5430076067876</x:v>
      </x:c>
      <x:c r="R39" s="1" t="n">
        <x:f>O39*P39</x:f>
        <x:v>6.085430076067876</x:v>
      </x:c>
      <x:c r="S39" s="8" t="n">
        <x:f>(1-'Гипотезы'!D7)*(1-'Гипотезы'!E7)</x:f>
        <x:v>0.5625</x:v>
      </x:c>
      <x:c r="T39" s="12" t="n">
        <x:f>Q39+R39*S39</x:f>
        <x:v>611.9660620245758</x:v>
      </x:c>
      <x:c r="U39" s="12" t="n">
        <x:f>T39-J39</x:f>
        <x:v>3.423054417788194</x:v>
      </x:c>
      <x:c r="V39" s="12" t="n">
        <x:f>J39*'Когорты'!T5</x:f>
        <x:v>608543.0076067876</x:v>
      </x:c>
      <x:c r="W39" s="12" t="n">
        <x:f>Q39*'Когорты'!T5*(1+'Воздействие'!H13*N39)</x:f>
        <x:v>608543.0076067876</x:v>
      </x:c>
      <x:c r="X39" s="12" t="n">
        <x:f>R39*'Когорты'!T5*(1+'Воздействие'!H13*N39)</x:f>
        <x:v>6085.430076067876</x:v>
      </x:c>
      <x:c r="Y39" s="12" t="n">
        <x:f>W39+X39*S39</x:f>
        <x:v>611966.0620245758</x:v>
      </x:c>
      <x:c r="Z39" s="12" t="n">
        <x:f>F39*N39</x:f>
        <x:v>208</x:v>
      </x:c>
      <x:c r="AA39" s="12" t="n">
        <x:f>J39*D39</x:f>
        <x:v>608.5430076067876</x:v>
      </x:c>
      <x:c r="AB39" s="12" t="n">
        <x:f>Q39*D39</x:f>
        <x:v>608.5430076067876</x:v>
      </x:c>
      <x:c r="AC39" s="12" t="n">
        <x:f>R39*D39</x:f>
        <x:v>6.085430076067876</x:v>
      </x:c>
      <x:c r="AD39" s="12" t="n">
        <x:f>J39*E39</x:f>
        <x:v>608.5430076067876</x:v>
      </x:c>
      <x:c r="AE39" s="12" t="n">
        <x:f>Q39*E39</x:f>
        <x:v>608.5430076067876</x:v>
      </x:c>
      <x:c r="AF39" s="12" t="n">
        <x:f>R39*E39</x:f>
        <x:v>6.085430076067876</x:v>
      </x:c>
      <x:c r="AG39" s="1" t="n">
        <x:f>IF(AND(I39&gt;=0,I39&lt;=1,Q39+R39&lt;=F39+0.00000001,N39&gt;=0,N39&lt;=1),1,0)</x:f>
        <x:v>1</x:v>
      </x:c>
      <x:c r="AH39" s="1"/>
      <x:c r="AI39" s="1"/>
    </x:row>
    <x:row r="40" ht="24" customHeight="1">
      <x:c r="A40" s="1" t="str">
        <x:v>H3</x:v>
      </x:c>
      <x:c r="B40" s="1" t="str">
        <x:v>S1</x:v>
      </x:c>
      <x:c r="C40" s="1" t="str">
        <x:v>Ни один</x:v>
      </x:c>
      <x:c r="D40" s="1" t="n">
        <x:v>0</x:v>
      </x:c>
      <x:c r="E40" s="1" t="n">
        <x:v>0</x:v>
      </x:c>
      <x:c r="F40" s="12" t="n">
        <x:f>'Когорты'!D5*'Когорты'!N5</x:f>
        <x:v>6479.999999999999</x:v>
      </x:c>
      <x:c r="G40" s="8" t="n">
        <x:f>'Когорты'!F5</x:f>
        <x:v>0.3</x:v>
      </x:c>
      <x:c r="H40" s="1" t="n">
        <x:f>'Когорты'!R5</x:f>
        <x:v>0.3</x:v>
      </x:c>
      <x:c r="I40" s="8" t="n">
        <x:f>IF('Когорты'!S5&gt;0,G40*H40/'Когорты'!S5,0)</x:f>
        <x:v>0.08777062609713282</x:v>
      </x:c>
      <x:c r="J40" s="1" t="n">
        <x:f>F40*I40</x:f>
        <x:v>568.7536571094206</x:v>
      </x:c>
      <x:c r="K40" s="8" t="n">
        <x:f>'Воздействие'!C13*D40</x:f>
        <x:v>0</x:v>
      </x:c>
      <x:c r="L40" s="8" t="n">
        <x:f>'Воздействие'!D13*E40</x:f>
        <x:v>0</x:v>
      </x:c>
      <x:c r="M40" s="8" t="n">
        <x:f>'Воздействие'!E13*D40*E40</x:f>
        <x:v>0</x:v>
      </x:c>
      <x:c r="N40" s="8" t="n">
        <x:f>K40+L40-M40</x:f>
        <x:v>0</x:v>
      </x:c>
      <x:c r="O40" s="1" t="n">
        <x:f>J40*'Параметры'!$B$10*N40</x:f>
        <x:v>0</x:v>
      </x:c>
      <x:c r="P40" s="8" t="n">
        <x:f>(1-'Воздействие'!F13*D40)*(1-'Воздействие'!G13*E40)</x:f>
        <x:v>1</x:v>
      </x:c>
      <x:c r="Q40" s="1" t="n">
        <x:f>J40*P40</x:f>
        <x:v>568.7536571094206</x:v>
      </x:c>
      <x:c r="R40" s="1" t="n">
        <x:f>O40*P40</x:f>
        <x:v>0</x:v>
      </x:c>
      <x:c r="S40" s="8" t="n">
        <x:f>(1-'Гипотезы'!D7)*(1-'Гипотезы'!E7)</x:f>
        <x:v>0.5625</x:v>
      </x:c>
      <x:c r="T40" s="12" t="n">
        <x:f>Q40+R40*S40</x:f>
        <x:v>568.7536571094206</x:v>
      </x:c>
      <x:c r="U40" s="12" t="n">
        <x:f>T40-J40</x:f>
        <x:v>0</x:v>
      </x:c>
      <x:c r="V40" s="12" t="n">
        <x:f>J40*'Когорты'!T5</x:f>
        <x:v>568753.6571094206</x:v>
      </x:c>
      <x:c r="W40" s="12" t="n">
        <x:f>Q40*'Когорты'!T5*(1+'Воздействие'!H13*N40)</x:f>
        <x:v>568753.6571094206</x:v>
      </x:c>
      <x:c r="X40" s="12" t="n">
        <x:f>R40*'Когорты'!T5*(1+'Воздействие'!H13*N40)</x:f>
        <x:v>0</x:v>
      </x:c>
      <x:c r="Y40" s="12" t="n">
        <x:f>W40+X40*S40</x:f>
        <x:v>568753.6571094206</x:v>
      </x:c>
      <x:c r="Z40" s="12" t="n">
        <x:f>F40*N40</x:f>
        <x:v>0</x:v>
      </x:c>
      <x:c r="AA40" s="12" t="n">
        <x:f>J40*D40</x:f>
        <x:v>0</x:v>
      </x:c>
      <x:c r="AB40" s="12" t="n">
        <x:f>Q40*D40</x:f>
        <x:v>0</x:v>
      </x:c>
      <x:c r="AC40" s="12" t="n">
        <x:f>R40*D40</x:f>
        <x:v>0</x:v>
      </x:c>
      <x:c r="AD40" s="12" t="n">
        <x:f>J40*E40</x:f>
        <x:v>0</x:v>
      </x:c>
      <x:c r="AE40" s="12" t="n">
        <x:f>Q40*E40</x:f>
        <x:v>0</x:v>
      </x:c>
      <x:c r="AF40" s="12" t="n">
        <x:f>R40*E40</x:f>
        <x:v>0</x:v>
      </x:c>
      <x:c r="AG40" s="1" t="n">
        <x:f>IF(AND(I40&gt;=0,I40&lt;=1,Q40+R40&lt;=F40+0.00000001,N40&gt;=0,N40&lt;=1),1,0)</x:f>
        <x:v>1</x:v>
      </x:c>
      <x:c r="AH40" s="1"/>
      <x:c r="AI40" s="1"/>
    </x:row>
    <x:row r="41" ht="24" customHeight="1">
      <x:c r="A41" s="1" t="str">
        <x:v>H3</x:v>
      </x:c>
      <x:c r="B41" s="1" t="str">
        <x:v>S2</x:v>
      </x:c>
      <x:c r="C41" s="1" t="str">
        <x:v>Только C</x:v>
      </x:c>
      <x:c r="D41" s="1" t="n">
        <x:v>1</x:v>
      </x:c>
      <x:c r="E41" s="1" t="n">
        <x:v>0</x:v>
      </x:c>
      <x:c r="F41" s="12" t="n">
        <x:f>'Когорты'!D6*'Когорты'!L6</x:f>
        <x:v>10920</x:v>
      </x:c>
      <x:c r="G41" s="8" t="n">
        <x:f>'Когорты'!F6</x:f>
        <x:v>0.21</x:v>
      </x:c>
      <x:c r="H41" s="1" t="n">
        <x:f>'Когорты'!O6</x:f>
        <x:v>1.5</x:v>
      </x:c>
      <x:c r="I41" s="8" t="n">
        <x:f>IF('Когорты'!S6&gt;0,G41*H41/'Когорты'!S6,0)</x:f>
        <x:v>0.30719719133996487</x:v>
      </x:c>
      <x:c r="J41" s="1" t="n">
        <x:f>F41*I41</x:f>
        <x:v>3354.5933294324163</x:v>
      </x:c>
      <x:c r="K41" s="8" t="n">
        <x:f>'Воздействие'!C14*D41</x:f>
        <x:v>0.4</x:v>
      </x:c>
      <x:c r="L41" s="8" t="n">
        <x:f>'Воздействие'!D14*E41</x:f>
        <x:v>0</x:v>
      </x:c>
      <x:c r="M41" s="8" t="n">
        <x:f>'Воздействие'!E14*D41*E41</x:f>
        <x:v>0</x:v>
      </x:c>
      <x:c r="N41" s="8" t="n">
        <x:f>K41+L41-M41</x:f>
        <x:v>0.4</x:v>
      </x:c>
      <x:c r="O41" s="1" t="n">
        <x:f>J41*'Параметры'!$B$10*N41</x:f>
        <x:v>134.18373317729666</x:v>
      </x:c>
      <x:c r="P41" s="8" t="n">
        <x:f>(1-'Воздействие'!F14*D41)*(1-'Воздействие'!G14*E41)</x:f>
        <x:v>1</x:v>
      </x:c>
      <x:c r="Q41" s="1" t="n">
        <x:f>J41*P41</x:f>
        <x:v>3354.5933294324163</x:v>
      </x:c>
      <x:c r="R41" s="1" t="n">
        <x:f>O41*P41</x:f>
        <x:v>134.18373317729666</x:v>
      </x:c>
      <x:c r="S41" s="8" t="n">
        <x:f>(1-'Гипотезы'!D7)*(1-'Гипотезы'!E7)</x:f>
        <x:v>0.5625</x:v>
      </x:c>
      <x:c r="T41" s="12" t="n">
        <x:f>Q41+R41*S41</x:f>
        <x:v>3430.071679344646</x:v>
      </x:c>
      <x:c r="U41" s="12" t="n">
        <x:f>T41-J41</x:f>
        <x:v>75.47834991222953</x:v>
      </x:c>
      <x:c r="V41" s="12" t="n">
        <x:f>J41*'Когорты'!T6</x:f>
        <x:v>3354593.3294324162</x:v>
      </x:c>
      <x:c r="W41" s="12" t="n">
        <x:f>Q41*'Когорты'!T6*(1+'Воздействие'!H14*N41)</x:f>
        <x:v>3354593.3294324162</x:v>
      </x:c>
      <x:c r="X41" s="12" t="n">
        <x:f>R41*'Когорты'!T6*(1+'Воздействие'!H14*N41)</x:f>
        <x:v>134183.73317729667</x:v>
      </x:c>
      <x:c r="Y41" s="12" t="n">
        <x:f>W41+X41*S41</x:f>
        <x:v>3430071.6793446457</x:v>
      </x:c>
      <x:c r="Z41" s="12" t="n">
        <x:f>F41*N41</x:f>
        <x:v>4368</x:v>
      </x:c>
      <x:c r="AA41" s="12" t="n">
        <x:f>J41*D41</x:f>
        <x:v>3354.5933294324163</x:v>
      </x:c>
      <x:c r="AB41" s="12" t="n">
        <x:f>Q41*D41</x:f>
        <x:v>3354.5933294324163</x:v>
      </x:c>
      <x:c r="AC41" s="12" t="n">
        <x:f>R41*D41</x:f>
        <x:v>134.18373317729666</x:v>
      </x:c>
      <x:c r="AD41" s="12" t="n">
        <x:f>J41*E41</x:f>
        <x:v>0</x:v>
      </x:c>
      <x:c r="AE41" s="12" t="n">
        <x:f>Q41*E41</x:f>
        <x:v>0</x:v>
      </x:c>
      <x:c r="AF41" s="12" t="n">
        <x:f>R41*E41</x:f>
        <x:v>0</x:v>
      </x:c>
      <x:c r="AG41" s="1" t="n">
        <x:f>IF(AND(I41&gt;=0,I41&lt;=1,Q41+R41&lt;=F41+0.00000001,N41&gt;=0,N41&lt;=1),1,0)</x:f>
        <x:v>1</x:v>
      </x:c>
      <x:c r="AH41" s="1"/>
      <x:c r="AI41" s="1"/>
    </x:row>
    <x:row r="42" ht="24" customHeight="1">
      <x:c r="A42" s="1" t="str">
        <x:v>H3</x:v>
      </x:c>
      <x:c r="B42" s="1" t="str">
        <x:v>S2</x:v>
      </x:c>
      <x:c r="C42" s="1" t="str">
        <x:v>Только F</x:v>
      </x:c>
      <x:c r="D42" s="1" t="n">
        <x:v>0</x:v>
      </x:c>
      <x:c r="E42" s="1" t="n">
        <x:v>1</x:v>
      </x:c>
      <x:c r="F42" s="12" t="n">
        <x:f>'Когорты'!D6*'Когорты'!M6</x:f>
        <x:v>519.9999999999999</x:v>
      </x:c>
      <x:c r="G42" s="8" t="n">
        <x:f>'Когорты'!F6</x:f>
        <x:v>0.21</x:v>
      </x:c>
      <x:c r="H42" s="1" t="n">
        <x:f>'Когорты'!P6</x:f>
        <x:v>0.2</x:v>
      </x:c>
      <x:c r="I42" s="8" t="n">
        <x:f>IF('Когорты'!S6&gt;0,G42*H42/'Когорты'!S6,0)</x:f>
        <x:v>0.04095962551199532</x:v>
      </x:c>
      <x:c r="J42" s="1" t="n">
        <x:f>F42*I42</x:f>
        <x:v>21.29900526623756</x:v>
      </x:c>
      <x:c r="K42" s="8" t="n">
        <x:f>'Воздействие'!C14*D42</x:f>
        <x:v>0</x:v>
      </x:c>
      <x:c r="L42" s="8" t="n">
        <x:f>'Воздействие'!D14*E42</x:f>
        <x:v>0</x:v>
      </x:c>
      <x:c r="M42" s="8" t="n">
        <x:f>'Воздействие'!E14*D42*E42</x:f>
        <x:v>0</x:v>
      </x:c>
      <x:c r="N42" s="8" t="n">
        <x:f>K42+L42-M42</x:f>
        <x:v>0</x:v>
      </x:c>
      <x:c r="O42" s="1" t="n">
        <x:f>J42*'Параметры'!$B$10*N42</x:f>
        <x:v>0</x:v>
      </x:c>
      <x:c r="P42" s="8" t="n">
        <x:f>(1-'Воздействие'!F14*D42)*(1-'Воздействие'!G14*E42)</x:f>
        <x:v>1</x:v>
      </x:c>
      <x:c r="Q42" s="1" t="n">
        <x:f>J42*P42</x:f>
        <x:v>21.29900526623756</x:v>
      </x:c>
      <x:c r="R42" s="1" t="n">
        <x:f>O42*P42</x:f>
        <x:v>0</x:v>
      </x:c>
      <x:c r="S42" s="8" t="n">
        <x:f>(1-'Гипотезы'!D7)*(1-'Гипотезы'!E7)</x:f>
        <x:v>0.5625</x:v>
      </x:c>
      <x:c r="T42" s="12" t="n">
        <x:f>Q42+R42*S42</x:f>
        <x:v>21.29900526623756</x:v>
      </x:c>
      <x:c r="U42" s="12" t="n">
        <x:f>T42-J42</x:f>
        <x:v>0</x:v>
      </x:c>
      <x:c r="V42" s="12" t="n">
        <x:f>J42*'Когорты'!T6</x:f>
        <x:v>21299.00526623756</x:v>
      </x:c>
      <x:c r="W42" s="12" t="n">
        <x:f>Q42*'Когорты'!T6*(1+'Воздействие'!H14*N42)</x:f>
        <x:v>21299.00526623756</x:v>
      </x:c>
      <x:c r="X42" s="12" t="n">
        <x:f>R42*'Когорты'!T6*(1+'Воздействие'!H14*N42)</x:f>
        <x:v>0</x:v>
      </x:c>
      <x:c r="Y42" s="12" t="n">
        <x:f>W42+X42*S42</x:f>
        <x:v>21299.00526623756</x:v>
      </x:c>
      <x:c r="Z42" s="12" t="n">
        <x:f>F42*N42</x:f>
        <x:v>0</x:v>
      </x:c>
      <x:c r="AA42" s="12" t="n">
        <x:f>J42*D42</x:f>
        <x:v>0</x:v>
      </x:c>
      <x:c r="AB42" s="12" t="n">
        <x:f>Q42*D42</x:f>
        <x:v>0</x:v>
      </x:c>
      <x:c r="AC42" s="12" t="n">
        <x:f>R42*D42</x:f>
        <x:v>0</x:v>
      </x:c>
      <x:c r="AD42" s="12" t="n">
        <x:f>J42*E42</x:f>
        <x:v>21.29900526623756</x:v>
      </x:c>
      <x:c r="AE42" s="12" t="n">
        <x:f>Q42*E42</x:f>
        <x:v>21.29900526623756</x:v>
      </x:c>
      <x:c r="AF42" s="12" t="n">
        <x:f>R42*E42</x:f>
        <x:v>0</x:v>
      </x:c>
      <x:c r="AG42" s="1" t="n">
        <x:f>IF(AND(I42&gt;=0,I42&lt;=1,Q42+R42&lt;=F42+0.00000001,N42&gt;=0,N42&lt;=1),1,0)</x:f>
        <x:v>1</x:v>
      </x:c>
      <x:c r="AH42" s="1"/>
      <x:c r="AI42" s="1"/>
    </x:row>
    <x:row r="43" ht="24" customHeight="1">
      <x:c r="A43" s="1" t="str">
        <x:v>H3</x:v>
      </x:c>
      <x:c r="B43" s="1" t="str">
        <x:v>S2</x:v>
      </x:c>
      <x:c r="C43" s="1" t="str">
        <x:v>Оба</x:v>
      </x:c>
      <x:c r="D43" s="1" t="n">
        <x:v>1</x:v>
      </x:c>
      <x:c r="E43" s="1" t="n">
        <x:v>1</x:v>
      </x:c>
      <x:c r="F43" s="12" t="n">
        <x:f>'Когорты'!D6*'Когорты'!K6</x:f>
        <x:v>2080</x:v>
      </x:c>
      <x:c r="G43" s="8" t="n">
        <x:f>'Когорты'!F6</x:f>
        <x:v>0.21</x:v>
      </x:c>
      <x:c r="H43" s="1" t="n">
        <x:f>'Когорты'!Q6</x:f>
        <x:v>1</x:v>
      </x:c>
      <x:c r="I43" s="8" t="n">
        <x:f>IF('Когорты'!S6&gt;0,G43*H43/'Когорты'!S6,0)</x:f>
        <x:v>0.20479812755997656</x:v>
      </x:c>
      <x:c r="J43" s="1" t="n">
        <x:f>F43*I43</x:f>
        <x:v>425.98010532475126</x:v>
      </x:c>
      <x:c r="K43" s="8" t="n">
        <x:f>'Воздействие'!C14*D43</x:f>
        <x:v>0.4</x:v>
      </x:c>
      <x:c r="L43" s="8" t="n">
        <x:f>'Воздействие'!D14*E43</x:f>
        <x:v>0</x:v>
      </x:c>
      <x:c r="M43" s="8" t="n">
        <x:f>'Воздействие'!E14*D43*E43</x:f>
        <x:v>0</x:v>
      </x:c>
      <x:c r="N43" s="8" t="n">
        <x:f>K43+L43-M43</x:f>
        <x:v>0.4</x:v>
      </x:c>
      <x:c r="O43" s="1" t="n">
        <x:f>J43*'Параметры'!$B$10*N43</x:f>
        <x:v>17.039204212990054</x:v>
      </x:c>
      <x:c r="P43" s="8" t="n">
        <x:f>(1-'Воздействие'!F14*D43)*(1-'Воздействие'!G14*E43)</x:f>
        <x:v>1</x:v>
      </x:c>
      <x:c r="Q43" s="1" t="n">
        <x:f>J43*P43</x:f>
        <x:v>425.98010532475126</x:v>
      </x:c>
      <x:c r="R43" s="1" t="n">
        <x:f>O43*P43</x:f>
        <x:v>17.039204212990054</x:v>
      </x:c>
      <x:c r="S43" s="8" t="n">
        <x:f>(1-'Гипотезы'!D7)*(1-'Гипотезы'!E7)</x:f>
        <x:v>0.5625</x:v>
      </x:c>
      <x:c r="T43" s="12" t="n">
        <x:f>Q43+R43*S43</x:f>
        <x:v>435.56465769455815</x:v>
      </x:c>
      <x:c r="U43" s="12" t="n">
        <x:f>T43-J43</x:f>
        <x:v>9.584552369806886</x:v>
      </x:c>
      <x:c r="V43" s="12" t="n">
        <x:f>J43*'Когорты'!T6</x:f>
        <x:v>425980.1053247513</x:v>
      </x:c>
      <x:c r="W43" s="12" t="n">
        <x:f>Q43*'Когорты'!T6*(1+'Воздействие'!H14*N43)</x:f>
        <x:v>425980.1053247513</x:v>
      </x:c>
      <x:c r="X43" s="12" t="n">
        <x:f>R43*'Когорты'!T6*(1+'Воздействие'!H14*N43)</x:f>
        <x:v>17039.204212990055</x:v>
      </x:c>
      <x:c r="Y43" s="12" t="n">
        <x:f>W43+X43*S43</x:f>
        <x:v>435564.6576945582</x:v>
      </x:c>
      <x:c r="Z43" s="12" t="n">
        <x:f>F43*N43</x:f>
        <x:v>832</x:v>
      </x:c>
      <x:c r="AA43" s="12" t="n">
        <x:f>J43*D43</x:f>
        <x:v>425.98010532475126</x:v>
      </x:c>
      <x:c r="AB43" s="12" t="n">
        <x:f>Q43*D43</x:f>
        <x:v>425.98010532475126</x:v>
      </x:c>
      <x:c r="AC43" s="12" t="n">
        <x:f>R43*D43</x:f>
        <x:v>17.039204212990054</x:v>
      </x:c>
      <x:c r="AD43" s="12" t="n">
        <x:f>J43*E43</x:f>
        <x:v>425.98010532475126</x:v>
      </x:c>
      <x:c r="AE43" s="12" t="n">
        <x:f>Q43*E43</x:f>
        <x:v>425.98010532475126</x:v>
      </x:c>
      <x:c r="AF43" s="12" t="n">
        <x:f>R43*E43</x:f>
        <x:v>17.039204212990054</x:v>
      </x:c>
      <x:c r="AG43" s="1" t="n">
        <x:f>IF(AND(I43&gt;=0,I43&lt;=1,Q43+R43&lt;=F43+0.00000001,N43&gt;=0,N43&lt;=1),1,0)</x:f>
        <x:v>1</x:v>
      </x:c>
      <x:c r="AH43" s="1"/>
      <x:c r="AI43" s="1"/>
    </x:row>
    <x:row r="44" ht="24" customHeight="1">
      <x:c r="A44" s="1" t="str">
        <x:v>H3</x:v>
      </x:c>
      <x:c r="B44" s="1" t="str">
        <x:v>S2</x:v>
      </x:c>
      <x:c r="C44" s="1" t="str">
        <x:v>Ни один</x:v>
      </x:c>
      <x:c r="D44" s="1" t="n">
        <x:v>0</x:v>
      </x:c>
      <x:c r="E44" s="1" t="n">
        <x:v>0</x:v>
      </x:c>
      <x:c r="F44" s="12" t="n">
        <x:f>'Когорты'!D6*'Когорты'!N6</x:f>
        <x:v>6479.999999999999</x:v>
      </x:c>
      <x:c r="G44" s="8" t="n">
        <x:f>'Когорты'!F6</x:f>
        <x:v>0.21</x:v>
      </x:c>
      <x:c r="H44" s="1" t="n">
        <x:f>'Когорты'!R6</x:f>
        <x:v>0.3</x:v>
      </x:c>
      <x:c r="I44" s="8" t="n">
        <x:f>IF('Когорты'!S6&gt;0,G44*H44/'Когорты'!S6,0)</x:f>
        <x:v>0.061439438267992974</x:v>
      </x:c>
      <x:c r="J44" s="1" t="n">
        <x:f>F44*I44</x:f>
        <x:v>398.1275599765944</x:v>
      </x:c>
      <x:c r="K44" s="8" t="n">
        <x:f>'Воздействие'!C14*D44</x:f>
        <x:v>0</x:v>
      </x:c>
      <x:c r="L44" s="8" t="n">
        <x:f>'Воздействие'!D14*E44</x:f>
        <x:v>0</x:v>
      </x:c>
      <x:c r="M44" s="8" t="n">
        <x:f>'Воздействие'!E14*D44*E44</x:f>
        <x:v>0</x:v>
      </x:c>
      <x:c r="N44" s="8" t="n">
        <x:f>K44+L44-M44</x:f>
        <x:v>0</x:v>
      </x:c>
      <x:c r="O44" s="1" t="n">
        <x:f>J44*'Параметры'!$B$10*N44</x:f>
        <x:v>0</x:v>
      </x:c>
      <x:c r="P44" s="8" t="n">
        <x:f>(1-'Воздействие'!F14*D44)*(1-'Воздействие'!G14*E44)</x:f>
        <x:v>1</x:v>
      </x:c>
      <x:c r="Q44" s="1" t="n">
        <x:f>J44*P44</x:f>
        <x:v>398.1275599765944</x:v>
      </x:c>
      <x:c r="R44" s="1" t="n">
        <x:f>O44*P44</x:f>
        <x:v>0</x:v>
      </x:c>
      <x:c r="S44" s="8" t="n">
        <x:f>(1-'Гипотезы'!D7)*(1-'Гипотезы'!E7)</x:f>
        <x:v>0.5625</x:v>
      </x:c>
      <x:c r="T44" s="12" t="n">
        <x:f>Q44+R44*S44</x:f>
        <x:v>398.1275599765944</x:v>
      </x:c>
      <x:c r="U44" s="12" t="n">
        <x:f>T44-J44</x:f>
        <x:v>0</x:v>
      </x:c>
      <x:c r="V44" s="12" t="n">
        <x:f>J44*'Когорты'!T6</x:f>
        <x:v>398127.5599765944</x:v>
      </x:c>
      <x:c r="W44" s="12" t="n">
        <x:f>Q44*'Когорты'!T6*(1+'Воздействие'!H14*N44)</x:f>
        <x:v>398127.5599765944</x:v>
      </x:c>
      <x:c r="X44" s="12" t="n">
        <x:f>R44*'Когорты'!T6*(1+'Воздействие'!H14*N44)</x:f>
        <x:v>0</x:v>
      </x:c>
      <x:c r="Y44" s="12" t="n">
        <x:f>W44+X44*S44</x:f>
        <x:v>398127.5599765944</x:v>
      </x:c>
      <x:c r="Z44" s="12" t="n">
        <x:f>F44*N44</x:f>
        <x:v>0</x:v>
      </x:c>
      <x:c r="AA44" s="12" t="n">
        <x:f>J44*D44</x:f>
        <x:v>0</x:v>
      </x:c>
      <x:c r="AB44" s="12" t="n">
        <x:f>Q44*D44</x:f>
        <x:v>0</x:v>
      </x:c>
      <x:c r="AC44" s="12" t="n">
        <x:f>R44*D44</x:f>
        <x:v>0</x:v>
      </x:c>
      <x:c r="AD44" s="12" t="n">
        <x:f>J44*E44</x:f>
        <x:v>0</x:v>
      </x:c>
      <x:c r="AE44" s="12" t="n">
        <x:f>Q44*E44</x:f>
        <x:v>0</x:v>
      </x:c>
      <x:c r="AF44" s="12" t="n">
        <x:f>R44*E44</x:f>
        <x:v>0</x:v>
      </x:c>
      <x:c r="AG44" s="1" t="n">
        <x:f>IF(AND(I44&gt;=0,I44&lt;=1,Q44+R44&lt;=F44+0.00000001,N44&gt;=0,N44&lt;=1),1,0)</x:f>
        <x:v>1</x:v>
      </x:c>
      <x:c r="AH44" s="1"/>
      <x:c r="AI44" s="1"/>
    </x:row>
    <x:row r="45" ht="24" customHeight="1">
      <x:c r="A45" s="1" t="str">
        <x:v>H3</x:v>
      </x:c>
      <x:c r="B45" s="1" t="str">
        <x:v>S3</x:v>
      </x:c>
      <x:c r="C45" s="1" t="str">
        <x:v>Только C</x:v>
      </x:c>
      <x:c r="D45" s="1" t="n">
        <x:v>1</x:v>
      </x:c>
      <x:c r="E45" s="1" t="n">
        <x:v>0</x:v>
      </x:c>
      <x:c r="F45" s="12" t="n">
        <x:f>'Когорты'!D7*'Когорты'!L7</x:f>
        <x:v>16380.000000000002</x:v>
      </x:c>
      <x:c r="G45" s="8" t="n">
        <x:f>'Когорты'!F7</x:f>
        <x:v>0.12</x:v>
      </x:c>
      <x:c r="H45" s="1" t="n">
        <x:f>'Когорты'!O7</x:f>
        <x:v>1.5</x:v>
      </x:c>
      <x:c r="I45" s="8" t="n">
        <x:f>IF('Когорты'!S7&gt;0,G45*H45/'Когорты'!S7,0)</x:f>
        <x:v>0.17554125219426564</x:v>
      </x:c>
      <x:c r="J45" s="1" t="n">
        <x:f>F45*I45</x:f>
        <x:v>2875.3657109420715</x:v>
      </x:c>
      <x:c r="K45" s="8" t="n">
        <x:f>'Воздействие'!C15*D45</x:f>
        <x:v>0.4</x:v>
      </x:c>
      <x:c r="L45" s="8" t="n">
        <x:f>'Воздействие'!D15*E45</x:f>
        <x:v>0</x:v>
      </x:c>
      <x:c r="M45" s="8" t="n">
        <x:f>'Воздействие'!E15*D45*E45</x:f>
        <x:v>0</x:v>
      </x:c>
      <x:c r="N45" s="8" t="n">
        <x:f>K45+L45-M45</x:f>
        <x:v>0.4</x:v>
      </x:c>
      <x:c r="O45" s="1" t="n">
        <x:f>J45*'Параметры'!$B$10*N45</x:f>
        <x:v>115.01462843768286</x:v>
      </x:c>
      <x:c r="P45" s="8" t="n">
        <x:f>(1-'Воздействие'!F15*D45)*(1-'Воздействие'!G15*E45)</x:f>
        <x:v>1</x:v>
      </x:c>
      <x:c r="Q45" s="1" t="n">
        <x:f>J45*P45</x:f>
        <x:v>2875.3657109420715</x:v>
      </x:c>
      <x:c r="R45" s="1" t="n">
        <x:f>O45*P45</x:f>
        <x:v>115.01462843768286</x:v>
      </x:c>
      <x:c r="S45" s="8" t="n">
        <x:f>(1-'Гипотезы'!D7)*(1-'Гипотезы'!E7)</x:f>
        <x:v>0.5625</x:v>
      </x:c>
      <x:c r="T45" s="12" t="n">
        <x:f>Q45+R45*S45</x:f>
        <x:v>2940.0614394382683</x:v>
      </x:c>
      <x:c r="U45" s="12" t="n">
        <x:f>T45-J45</x:f>
        <x:v>64.6957284961968</x:v>
      </x:c>
      <x:c r="V45" s="12" t="n">
        <x:f>J45*'Когорты'!T7</x:f>
        <x:v>2875365.7109420714</x:v>
      </x:c>
      <x:c r="W45" s="12" t="n">
        <x:f>Q45*'Когорты'!T7*(1+'Воздействие'!H15*N45)</x:f>
        <x:v>2875365.7109420714</x:v>
      </x:c>
      <x:c r="X45" s="12" t="n">
        <x:f>R45*'Когорты'!T7*(1+'Воздействие'!H15*N45)</x:f>
        <x:v>115014.62843768286</x:v>
      </x:c>
      <x:c r="Y45" s="12" t="n">
        <x:f>W45+X45*S45</x:f>
        <x:v>2940061.439438268</x:v>
      </x:c>
      <x:c r="Z45" s="12" t="n">
        <x:f>F45*N45</x:f>
        <x:v>6552.000000000001</x:v>
      </x:c>
      <x:c r="AA45" s="12" t="n">
        <x:f>J45*D45</x:f>
        <x:v>2875.3657109420715</x:v>
      </x:c>
      <x:c r="AB45" s="12" t="n">
        <x:f>Q45*D45</x:f>
        <x:v>2875.3657109420715</x:v>
      </x:c>
      <x:c r="AC45" s="12" t="n">
        <x:f>R45*D45</x:f>
        <x:v>115.01462843768286</x:v>
      </x:c>
      <x:c r="AD45" s="12" t="n">
        <x:f>J45*E45</x:f>
        <x:v>0</x:v>
      </x:c>
      <x:c r="AE45" s="12" t="n">
        <x:f>Q45*E45</x:f>
        <x:v>0</x:v>
      </x:c>
      <x:c r="AF45" s="12" t="n">
        <x:f>R45*E45</x:f>
        <x:v>0</x:v>
      </x:c>
      <x:c r="AG45" s="1" t="n">
        <x:f>IF(AND(I45&gt;=0,I45&lt;=1,Q45+R45&lt;=F45+0.00000001,N45&gt;=0,N45&lt;=1),1,0)</x:f>
        <x:v>1</x:v>
      </x:c>
      <x:c r="AH45" s="1"/>
      <x:c r="AI45" s="1"/>
    </x:row>
    <x:row r="46" ht="24" customHeight="1">
      <x:c r="A46" s="1" t="str">
        <x:v>H3</x:v>
      </x:c>
      <x:c r="B46" s="1" t="str">
        <x:v>S3</x:v>
      </x:c>
      <x:c r="C46" s="1" t="str">
        <x:v>Только F</x:v>
      </x:c>
      <x:c r="D46" s="1" t="n">
        <x:v>0</x:v>
      </x:c>
      <x:c r="E46" s="1" t="n">
        <x:v>1</x:v>
      </x:c>
      <x:c r="F46" s="12" t="n">
        <x:f>'Когорты'!D7*'Когорты'!M7</x:f>
        <x:v>779.9999999999999</x:v>
      </x:c>
      <x:c r="G46" s="8" t="n">
        <x:f>'Когорты'!F7</x:f>
        <x:v>0.12</x:v>
      </x:c>
      <x:c r="H46" s="1" t="n">
        <x:f>'Когорты'!P7</x:f>
        <x:v>0.2</x:v>
      </x:c>
      <x:c r="I46" s="8" t="n">
        <x:f>IF('Когорты'!S7&gt;0,G46*H46/'Когорты'!S7,0)</x:f>
        <x:v>0.023405500292568753</x:v>
      </x:c>
      <x:c r="J46" s="1" t="n">
        <x:f>F46*I46</x:f>
        <x:v>18.256290228203625</x:v>
      </x:c>
      <x:c r="K46" s="8" t="n">
        <x:f>'Воздействие'!C15*D46</x:f>
        <x:v>0</x:v>
      </x:c>
      <x:c r="L46" s="8" t="n">
        <x:f>'Воздействие'!D15*E46</x:f>
        <x:v>0</x:v>
      </x:c>
      <x:c r="M46" s="8" t="n">
        <x:f>'Воздействие'!E15*D46*E46</x:f>
        <x:v>0</x:v>
      </x:c>
      <x:c r="N46" s="8" t="n">
        <x:f>K46+L46-M46</x:f>
        <x:v>0</x:v>
      </x:c>
      <x:c r="O46" s="1" t="n">
        <x:f>J46*'Параметры'!$B$10*N46</x:f>
        <x:v>0</x:v>
      </x:c>
      <x:c r="P46" s="8" t="n">
        <x:f>(1-'Воздействие'!F15*D46)*(1-'Воздействие'!G15*E46)</x:f>
        <x:v>1</x:v>
      </x:c>
      <x:c r="Q46" s="1" t="n">
        <x:f>J46*P46</x:f>
        <x:v>18.256290228203625</x:v>
      </x:c>
      <x:c r="R46" s="1" t="n">
        <x:f>O46*P46</x:f>
        <x:v>0</x:v>
      </x:c>
      <x:c r="S46" s="8" t="n">
        <x:f>(1-'Гипотезы'!D7)*(1-'Гипотезы'!E7)</x:f>
        <x:v>0.5625</x:v>
      </x:c>
      <x:c r="T46" s="12" t="n">
        <x:f>Q46+R46*S46</x:f>
        <x:v>18.256290228203625</x:v>
      </x:c>
      <x:c r="U46" s="12" t="n">
        <x:f>T46-J46</x:f>
        <x:v>0</x:v>
      </x:c>
      <x:c r="V46" s="12" t="n">
        <x:f>J46*'Когорты'!T7</x:f>
        <x:v>18256.290228203623</x:v>
      </x:c>
      <x:c r="W46" s="12" t="n">
        <x:f>Q46*'Когорты'!T7*(1+'Воздействие'!H15*N46)</x:f>
        <x:v>18256.290228203623</x:v>
      </x:c>
      <x:c r="X46" s="12" t="n">
        <x:f>R46*'Когорты'!T7*(1+'Воздействие'!H15*N46)</x:f>
        <x:v>0</x:v>
      </x:c>
      <x:c r="Y46" s="12" t="n">
        <x:f>W46+X46*S46</x:f>
        <x:v>18256.290228203623</x:v>
      </x:c>
      <x:c r="Z46" s="12" t="n">
        <x:f>F46*N46</x:f>
        <x:v>0</x:v>
      </x:c>
      <x:c r="AA46" s="12" t="n">
        <x:f>J46*D46</x:f>
        <x:v>0</x:v>
      </x:c>
      <x:c r="AB46" s="12" t="n">
        <x:f>Q46*D46</x:f>
        <x:v>0</x:v>
      </x:c>
      <x:c r="AC46" s="12" t="n">
        <x:f>R46*D46</x:f>
        <x:v>0</x:v>
      </x:c>
      <x:c r="AD46" s="12" t="n">
        <x:f>J46*E46</x:f>
        <x:v>18.256290228203625</x:v>
      </x:c>
      <x:c r="AE46" s="12" t="n">
        <x:f>Q46*E46</x:f>
        <x:v>18.256290228203625</x:v>
      </x:c>
      <x:c r="AF46" s="12" t="n">
        <x:f>R46*E46</x:f>
        <x:v>0</x:v>
      </x:c>
      <x:c r="AG46" s="1" t="n">
        <x:f>IF(AND(I46&gt;=0,I46&lt;=1,Q46+R46&lt;=F46+0.00000001,N46&gt;=0,N46&lt;=1),1,0)</x:f>
        <x:v>1</x:v>
      </x:c>
      <x:c r="AH46" s="1"/>
      <x:c r="AI46" s="1"/>
    </x:row>
    <x:row r="47" ht="24" customHeight="1">
      <x:c r="A47" s="1" t="str">
        <x:v>H3</x:v>
      </x:c>
      <x:c r="B47" s="1" t="str">
        <x:v>S3</x:v>
      </x:c>
      <x:c r="C47" s="1" t="str">
        <x:v>Оба</x:v>
      </x:c>
      <x:c r="D47" s="1" t="n">
        <x:v>1</x:v>
      </x:c>
      <x:c r="E47" s="1" t="n">
        <x:v>1</x:v>
      </x:c>
      <x:c r="F47" s="12" t="n">
        <x:f>'Когорты'!D7*'Когорты'!K7</x:f>
        <x:v>3120.0000000000005</x:v>
      </x:c>
      <x:c r="G47" s="8" t="n">
        <x:f>'Когорты'!F7</x:f>
        <x:v>0.12</x:v>
      </x:c>
      <x:c r="H47" s="1" t="n">
        <x:f>'Когорты'!Q7</x:f>
        <x:v>1</x:v>
      </x:c>
      <x:c r="I47" s="8" t="n">
        <x:f>IF('Когорты'!S7&gt;0,G47*H47/'Когорты'!S7,0)</x:f>
        <x:v>0.11702750146284376</x:v>
      </x:c>
      <x:c r="J47" s="1" t="n">
        <x:f>F47*I47</x:f>
        <x:v>365.12580456407255</x:v>
      </x:c>
      <x:c r="K47" s="8" t="n">
        <x:f>'Воздействие'!C15*D47</x:f>
        <x:v>0.4</x:v>
      </x:c>
      <x:c r="L47" s="8" t="n">
        <x:f>'Воздействие'!D15*E47</x:f>
        <x:v>0</x:v>
      </x:c>
      <x:c r="M47" s="8" t="n">
        <x:f>'Воздействие'!E15*D47*E47</x:f>
        <x:v>0</x:v>
      </x:c>
      <x:c r="N47" s="8" t="n">
        <x:f>K47+L47-M47</x:f>
        <x:v>0.4</x:v>
      </x:c>
      <x:c r="O47" s="1" t="n">
        <x:f>J47*'Параметры'!$B$10*N47</x:f>
        <x:v>14.605032182562903</x:v>
      </x:c>
      <x:c r="P47" s="8" t="n">
        <x:f>(1-'Воздействие'!F15*D47)*(1-'Воздействие'!G15*E47)</x:f>
        <x:v>1</x:v>
      </x:c>
      <x:c r="Q47" s="1" t="n">
        <x:f>J47*P47</x:f>
        <x:v>365.12580456407255</x:v>
      </x:c>
      <x:c r="R47" s="1" t="n">
        <x:f>O47*P47</x:f>
        <x:v>14.605032182562903</x:v>
      </x:c>
      <x:c r="S47" s="8" t="n">
        <x:f>(1-'Гипотезы'!D7)*(1-'Гипотезы'!E7)</x:f>
        <x:v>0.5625</x:v>
      </x:c>
      <x:c r="T47" s="12" t="n">
        <x:f>Q47+R47*S47</x:f>
        <x:v>373.34113516676416</x:v>
      </x:c>
      <x:c r="U47" s="12" t="n">
        <x:f>T47-J47</x:f>
        <x:v>8.215330602691608</x:v>
      </x:c>
      <x:c r="V47" s="12" t="n">
        <x:f>J47*'Когорты'!T7</x:f>
        <x:v>365125.8045640726</x:v>
      </x:c>
      <x:c r="W47" s="12" t="n">
        <x:f>Q47*'Когорты'!T7*(1+'Воздействие'!H15*N47)</x:f>
        <x:v>365125.8045640726</x:v>
      </x:c>
      <x:c r="X47" s="12" t="n">
        <x:f>R47*'Когорты'!T7*(1+'Воздействие'!H15*N47)</x:f>
        <x:v>14605.032182562903</x:v>
      </x:c>
      <x:c r="Y47" s="12" t="n">
        <x:f>W47+X47*S47</x:f>
        <x:v>373341.1351667642</x:v>
      </x:c>
      <x:c r="Z47" s="12" t="n">
        <x:f>F47*N47</x:f>
        <x:v>1248.0000000000002</x:v>
      </x:c>
      <x:c r="AA47" s="12" t="n">
        <x:f>J47*D47</x:f>
        <x:v>365.12580456407255</x:v>
      </x:c>
      <x:c r="AB47" s="12" t="n">
        <x:f>Q47*D47</x:f>
        <x:v>365.12580456407255</x:v>
      </x:c>
      <x:c r="AC47" s="12" t="n">
        <x:f>R47*D47</x:f>
        <x:v>14.605032182562903</x:v>
      </x:c>
      <x:c r="AD47" s="12" t="n">
        <x:f>J47*E47</x:f>
        <x:v>365.12580456407255</x:v>
      </x:c>
      <x:c r="AE47" s="12" t="n">
        <x:f>Q47*E47</x:f>
        <x:v>365.12580456407255</x:v>
      </x:c>
      <x:c r="AF47" s="12" t="n">
        <x:f>R47*E47</x:f>
        <x:v>14.605032182562903</x:v>
      </x:c>
      <x:c r="AG47" s="1" t="n">
        <x:f>IF(AND(I47&gt;=0,I47&lt;=1,Q47+R47&lt;=F47+0.00000001,N47&gt;=0,N47&lt;=1),1,0)</x:f>
        <x:v>1</x:v>
      </x:c>
      <x:c r="AH47" s="1"/>
      <x:c r="AI47" s="1"/>
    </x:row>
    <x:row r="48" ht="24" customHeight="1">
      <x:c r="A48" s="1" t="str">
        <x:v>H3</x:v>
      </x:c>
      <x:c r="B48" s="1" t="str">
        <x:v>S3</x:v>
      </x:c>
      <x:c r="C48" s="1" t="str">
        <x:v>Ни один</x:v>
      </x:c>
      <x:c r="D48" s="1" t="n">
        <x:v>0</x:v>
      </x:c>
      <x:c r="E48" s="1" t="n">
        <x:v>0</x:v>
      </x:c>
      <x:c r="F48" s="12" t="n">
        <x:f>'Когорты'!D7*'Когорты'!N7</x:f>
        <x:v>9719.999999999998</x:v>
      </x:c>
      <x:c r="G48" s="8" t="n">
        <x:f>'Когорты'!F7</x:f>
        <x:v>0.12</x:v>
      </x:c>
      <x:c r="H48" s="1" t="n">
        <x:f>'Когорты'!R7</x:f>
        <x:v>0.3</x:v>
      </x:c>
      <x:c r="I48" s="8" t="n">
        <x:f>IF('Когорты'!S7&gt;0,G48*H48/'Когорты'!S7,0)</x:f>
        <x:v>0.03510825043885313</x:v>
      </x:c>
      <x:c r="J48" s="1" t="n">
        <x:f>F48*I48</x:f>
        <x:v>341.25219426565235</x:v>
      </x:c>
      <x:c r="K48" s="8" t="n">
        <x:f>'Воздействие'!C15*D48</x:f>
        <x:v>0</x:v>
      </x:c>
      <x:c r="L48" s="8" t="n">
        <x:f>'Воздействие'!D15*E48</x:f>
        <x:v>0</x:v>
      </x:c>
      <x:c r="M48" s="8" t="n">
        <x:f>'Воздействие'!E15*D48*E48</x:f>
        <x:v>0</x:v>
      </x:c>
      <x:c r="N48" s="8" t="n">
        <x:f>K48+L48-M48</x:f>
        <x:v>0</x:v>
      </x:c>
      <x:c r="O48" s="1" t="n">
        <x:f>J48*'Параметры'!$B$10*N48</x:f>
        <x:v>0</x:v>
      </x:c>
      <x:c r="P48" s="8" t="n">
        <x:f>(1-'Воздействие'!F15*D48)*(1-'Воздействие'!G15*E48)</x:f>
        <x:v>1</x:v>
      </x:c>
      <x:c r="Q48" s="1" t="n">
        <x:f>J48*P48</x:f>
        <x:v>341.25219426565235</x:v>
      </x:c>
      <x:c r="R48" s="1" t="n">
        <x:f>O48*P48</x:f>
        <x:v>0</x:v>
      </x:c>
      <x:c r="S48" s="8" t="n">
        <x:f>(1-'Гипотезы'!D7)*(1-'Гипотезы'!E7)</x:f>
        <x:v>0.5625</x:v>
      </x:c>
      <x:c r="T48" s="12" t="n">
        <x:f>Q48+R48*S48</x:f>
        <x:v>341.25219426565235</x:v>
      </x:c>
      <x:c r="U48" s="12" t="n">
        <x:f>T48-J48</x:f>
        <x:v>0</x:v>
      </x:c>
      <x:c r="V48" s="12" t="n">
        <x:f>J48*'Когорты'!T7</x:f>
        <x:v>341252.19426565233</x:v>
      </x:c>
      <x:c r="W48" s="12" t="n">
        <x:f>Q48*'Когорты'!T7*(1+'Воздействие'!H15*N48)</x:f>
        <x:v>341252.19426565233</x:v>
      </x:c>
      <x:c r="X48" s="12" t="n">
        <x:f>R48*'Когорты'!T7*(1+'Воздействие'!H15*N48)</x:f>
        <x:v>0</x:v>
      </x:c>
      <x:c r="Y48" s="12" t="n">
        <x:f>W48+X48*S48</x:f>
        <x:v>341252.19426565233</x:v>
      </x:c>
      <x:c r="Z48" s="12" t="n">
        <x:f>F48*N48</x:f>
        <x:v>0</x:v>
      </x:c>
      <x:c r="AA48" s="12" t="n">
        <x:f>J48*D48</x:f>
        <x:v>0</x:v>
      </x:c>
      <x:c r="AB48" s="12" t="n">
        <x:f>Q48*D48</x:f>
        <x:v>0</x:v>
      </x:c>
      <x:c r="AC48" s="12" t="n">
        <x:f>R48*D48</x:f>
        <x:v>0</x:v>
      </x:c>
      <x:c r="AD48" s="12" t="n">
        <x:f>J48*E48</x:f>
        <x:v>0</x:v>
      </x:c>
      <x:c r="AE48" s="12" t="n">
        <x:f>Q48*E48</x:f>
        <x:v>0</x:v>
      </x:c>
      <x:c r="AF48" s="12" t="n">
        <x:f>R48*E48</x:f>
        <x:v>0</x:v>
      </x:c>
      <x:c r="AG48" s="1" t="n">
        <x:f>IF(AND(I48&gt;=0,I48&lt;=1,Q48+R48&lt;=F48+0.00000001,N48&gt;=0,N48&lt;=1),1,0)</x:f>
        <x:v>1</x:v>
      </x:c>
      <x:c r="AH48" s="1"/>
      <x:c r="AI48" s="1"/>
    </x:row>
    <x:row r="49" ht="24" customHeight="1">
      <x:c r="A49" s="1" t="str">
        <x:v>H3</x:v>
      </x:c>
      <x:c r="B49" s="1" t="str">
        <x:v>S4</x:v>
      </x:c>
      <x:c r="C49" s="1" t="str">
        <x:v>Только C</x:v>
      </x:c>
      <x:c r="D49" s="1" t="n">
        <x:v>1</x:v>
      </x:c>
      <x:c r="E49" s="1" t="n">
        <x:v>0</x:v>
      </x:c>
      <x:c r="F49" s="12" t="n">
        <x:f>'Когорты'!D8*'Когорты'!L8</x:f>
        <x:v>16380.000000000002</x:v>
      </x:c>
      <x:c r="G49" s="8" t="n">
        <x:f>'Когорты'!F8</x:f>
        <x:v>0.21</x:v>
      </x:c>
      <x:c r="H49" s="1" t="n">
        <x:f>'Когорты'!O8</x:f>
        <x:v>1.5</x:v>
      </x:c>
      <x:c r="I49" s="8" t="n">
        <x:f>IF('Когорты'!S8&gt;0,G49*H49/'Когорты'!S8,0)</x:f>
        <x:v>0.30719719133996487</x:v>
      </x:c>
      <x:c r="J49" s="1" t="n">
        <x:f>F49*I49</x:f>
        <x:v>5031.889994148625</x:v>
      </x:c>
      <x:c r="K49" s="8" t="n">
        <x:f>'Воздействие'!C16*D49</x:f>
        <x:v>0.1</x:v>
      </x:c>
      <x:c r="L49" s="8" t="n">
        <x:f>'Воздействие'!D16*E49</x:f>
        <x:v>0</x:v>
      </x:c>
      <x:c r="M49" s="8" t="n">
        <x:f>'Воздействие'!E16*D49*E49</x:f>
        <x:v>0</x:v>
      </x:c>
      <x:c r="N49" s="8" t="n">
        <x:f>K49+L49-M49</x:f>
        <x:v>0.1</x:v>
      </x:c>
      <x:c r="O49" s="1" t="n">
        <x:f>J49*'Параметры'!$B$10*N49</x:f>
        <x:v>50.31889994148626</x:v>
      </x:c>
      <x:c r="P49" s="8" t="n">
        <x:f>(1-'Воздействие'!F16*D49)*(1-'Воздействие'!G16*E49)</x:f>
        <x:v>1</x:v>
      </x:c>
      <x:c r="Q49" s="1" t="n">
        <x:f>J49*P49</x:f>
        <x:v>5031.889994148625</x:v>
      </x:c>
      <x:c r="R49" s="1" t="n">
        <x:f>O49*P49</x:f>
        <x:v>50.31889994148626</x:v>
      </x:c>
      <x:c r="S49" s="8" t="n">
        <x:f>(1-'Гипотезы'!D7)*(1-'Гипотезы'!E7)</x:f>
        <x:v>0.5625</x:v>
      </x:c>
      <x:c r="T49" s="12" t="n">
        <x:f>Q49+R49*S49</x:f>
        <x:v>5060.1943753657115</x:v>
      </x:c>
      <x:c r="U49" s="12" t="n">
        <x:f>T49-J49</x:f>
        <x:v>28.304381217086302</x:v>
      </x:c>
      <x:c r="V49" s="12" t="n">
        <x:f>J49*'Когорты'!T8</x:f>
        <x:v>5031889.994148625</x:v>
      </x:c>
      <x:c r="W49" s="12" t="n">
        <x:f>Q49*'Когорты'!T8*(1+'Воздействие'!H16*N49)</x:f>
        <x:v>5031889.994148625</x:v>
      </x:c>
      <x:c r="X49" s="12" t="n">
        <x:f>R49*'Когорты'!T8*(1+'Воздействие'!H16*N49)</x:f>
        <x:v>50318.899941486256</x:v>
      </x:c>
      <x:c r="Y49" s="12" t="n">
        <x:f>W49+X49*S49</x:f>
        <x:v>5060194.375365711</x:v>
      </x:c>
      <x:c r="Z49" s="12" t="n">
        <x:f>F49*N49</x:f>
        <x:v>1638.0000000000002</x:v>
      </x:c>
      <x:c r="AA49" s="12" t="n">
        <x:f>J49*D49</x:f>
        <x:v>5031.889994148625</x:v>
      </x:c>
      <x:c r="AB49" s="12" t="n">
        <x:f>Q49*D49</x:f>
        <x:v>5031.889994148625</x:v>
      </x:c>
      <x:c r="AC49" s="12" t="n">
        <x:f>R49*D49</x:f>
        <x:v>50.31889994148626</x:v>
      </x:c>
      <x:c r="AD49" s="12" t="n">
        <x:f>J49*E49</x:f>
        <x:v>0</x:v>
      </x:c>
      <x:c r="AE49" s="12" t="n">
        <x:f>Q49*E49</x:f>
        <x:v>0</x:v>
      </x:c>
      <x:c r="AF49" s="12" t="n">
        <x:f>R49*E49</x:f>
        <x:v>0</x:v>
      </x:c>
      <x:c r="AG49" s="1" t="n">
        <x:f>IF(AND(I49&gt;=0,I49&lt;=1,Q49+R49&lt;=F49+0.00000001,N49&gt;=0,N49&lt;=1),1,0)</x:f>
        <x:v>1</x:v>
      </x:c>
      <x:c r="AH49" s="1"/>
      <x:c r="AI49" s="1"/>
    </x:row>
    <x:row r="50" ht="24" customHeight="1">
      <x:c r="A50" s="1" t="str">
        <x:v>H3</x:v>
      </x:c>
      <x:c r="B50" s="1" t="str">
        <x:v>S4</x:v>
      </x:c>
      <x:c r="C50" s="1" t="str">
        <x:v>Только F</x:v>
      </x:c>
      <x:c r="D50" s="1" t="n">
        <x:v>0</x:v>
      </x:c>
      <x:c r="E50" s="1" t="n">
        <x:v>1</x:v>
      </x:c>
      <x:c r="F50" s="12" t="n">
        <x:f>'Когорты'!D8*'Когорты'!M8</x:f>
        <x:v>779.9999999999999</x:v>
      </x:c>
      <x:c r="G50" s="8" t="n">
        <x:f>'Когорты'!F8</x:f>
        <x:v>0.21</x:v>
      </x:c>
      <x:c r="H50" s="1" t="n">
        <x:f>'Когорты'!P8</x:f>
        <x:v>0.2</x:v>
      </x:c>
      <x:c r="I50" s="8" t="n">
        <x:f>IF('Когорты'!S8&gt;0,G50*H50/'Когорты'!S8,0)</x:f>
        <x:v>0.04095962551199532</x:v>
      </x:c>
      <x:c r="J50" s="1" t="n">
        <x:f>F50*I50</x:f>
        <x:v>31.948507899356347</x:v>
      </x:c>
      <x:c r="K50" s="8" t="n">
        <x:f>'Воздействие'!C16*D50</x:f>
        <x:v>0</x:v>
      </x:c>
      <x:c r="L50" s="8" t="n">
        <x:f>'Воздействие'!D16*E50</x:f>
        <x:v>0</x:v>
      </x:c>
      <x:c r="M50" s="8" t="n">
        <x:f>'Воздействие'!E16*D50*E50</x:f>
        <x:v>0</x:v>
      </x:c>
      <x:c r="N50" s="8" t="n">
        <x:f>K50+L50-M50</x:f>
        <x:v>0</x:v>
      </x:c>
      <x:c r="O50" s="1" t="n">
        <x:f>J50*'Параметры'!$B$10*N50</x:f>
        <x:v>0</x:v>
      </x:c>
      <x:c r="P50" s="8" t="n">
        <x:f>(1-'Воздействие'!F16*D50)*(1-'Воздействие'!G16*E50)</x:f>
        <x:v>1</x:v>
      </x:c>
      <x:c r="Q50" s="1" t="n">
        <x:f>J50*P50</x:f>
        <x:v>31.948507899356347</x:v>
      </x:c>
      <x:c r="R50" s="1" t="n">
        <x:f>O50*P50</x:f>
        <x:v>0</x:v>
      </x:c>
      <x:c r="S50" s="8" t="n">
        <x:f>(1-'Гипотезы'!D7)*(1-'Гипотезы'!E7)</x:f>
        <x:v>0.5625</x:v>
      </x:c>
      <x:c r="T50" s="12" t="n">
        <x:f>Q50+R50*S50</x:f>
        <x:v>31.948507899356347</x:v>
      </x:c>
      <x:c r="U50" s="12" t="n">
        <x:f>T50-J50</x:f>
        <x:v>0</x:v>
      </x:c>
      <x:c r="V50" s="12" t="n">
        <x:f>J50*'Когорты'!T8</x:f>
        <x:v>31948.507899356347</x:v>
      </x:c>
      <x:c r="W50" s="12" t="n">
        <x:f>Q50*'Когорты'!T8*(1+'Воздействие'!H16*N50)</x:f>
        <x:v>31948.507899356347</x:v>
      </x:c>
      <x:c r="X50" s="12" t="n">
        <x:f>R50*'Когорты'!T8*(1+'Воздействие'!H16*N50)</x:f>
        <x:v>0</x:v>
      </x:c>
      <x:c r="Y50" s="12" t="n">
        <x:f>W50+X50*S50</x:f>
        <x:v>31948.507899356347</x:v>
      </x:c>
      <x:c r="Z50" s="12" t="n">
        <x:f>F50*N50</x:f>
        <x:v>0</x:v>
      </x:c>
      <x:c r="AA50" s="12" t="n">
        <x:f>J50*D50</x:f>
        <x:v>0</x:v>
      </x:c>
      <x:c r="AB50" s="12" t="n">
        <x:f>Q50*D50</x:f>
        <x:v>0</x:v>
      </x:c>
      <x:c r="AC50" s="12" t="n">
        <x:f>R50*D50</x:f>
        <x:v>0</x:v>
      </x:c>
      <x:c r="AD50" s="12" t="n">
        <x:f>J50*E50</x:f>
        <x:v>31.948507899356347</x:v>
      </x:c>
      <x:c r="AE50" s="12" t="n">
        <x:f>Q50*E50</x:f>
        <x:v>31.948507899356347</x:v>
      </x:c>
      <x:c r="AF50" s="12" t="n">
        <x:f>R50*E50</x:f>
        <x:v>0</x:v>
      </x:c>
      <x:c r="AG50" s="1" t="n">
        <x:f>IF(AND(I50&gt;=0,I50&lt;=1,Q50+R50&lt;=F50+0.00000001,N50&gt;=0,N50&lt;=1),1,0)</x:f>
        <x:v>1</x:v>
      </x:c>
      <x:c r="AH50" s="1"/>
      <x:c r="AI50" s="1"/>
    </x:row>
    <x:row r="51" ht="24" customHeight="1">
      <x:c r="A51" s="1" t="str">
        <x:v>H3</x:v>
      </x:c>
      <x:c r="B51" s="1" t="str">
        <x:v>S4</x:v>
      </x:c>
      <x:c r="C51" s="1" t="str">
        <x:v>Оба</x:v>
      </x:c>
      <x:c r="D51" s="1" t="n">
        <x:v>1</x:v>
      </x:c>
      <x:c r="E51" s="1" t="n">
        <x:v>1</x:v>
      </x:c>
      <x:c r="F51" s="12" t="n">
        <x:f>'Когорты'!D8*'Когорты'!K8</x:f>
        <x:v>3120.0000000000005</x:v>
      </x:c>
      <x:c r="G51" s="8" t="n">
        <x:f>'Когорты'!F8</x:f>
        <x:v>0.21</x:v>
      </x:c>
      <x:c r="H51" s="1" t="n">
        <x:f>'Когорты'!Q8</x:f>
        <x:v>1</x:v>
      </x:c>
      <x:c r="I51" s="8" t="n">
        <x:f>IF('Когорты'!S8&gt;0,G51*H51/'Когорты'!S8,0)</x:f>
        <x:v>0.20479812755997656</x:v>
      </x:c>
      <x:c r="J51" s="1" t="n">
        <x:f>F51*I51</x:f>
        <x:v>638.970157987127</x:v>
      </x:c>
      <x:c r="K51" s="8" t="n">
        <x:f>'Воздействие'!C16*D51</x:f>
        <x:v>0.1</x:v>
      </x:c>
      <x:c r="L51" s="8" t="n">
        <x:f>'Воздействие'!D16*E51</x:f>
        <x:v>0</x:v>
      </x:c>
      <x:c r="M51" s="8" t="n">
        <x:f>'Воздействие'!E16*D51*E51</x:f>
        <x:v>0</x:v>
      </x:c>
      <x:c r="N51" s="8" t="n">
        <x:f>K51+L51-M51</x:f>
        <x:v>0.1</x:v>
      </x:c>
      <x:c r="O51" s="1" t="n">
        <x:f>J51*'Параметры'!$B$10*N51</x:f>
        <x:v>6.389701579871271</x:v>
      </x:c>
      <x:c r="P51" s="8" t="n">
        <x:f>(1-'Воздействие'!F16*D51)*(1-'Воздействие'!G16*E51)</x:f>
        <x:v>1</x:v>
      </x:c>
      <x:c r="Q51" s="1" t="n">
        <x:f>J51*P51</x:f>
        <x:v>638.970157987127</x:v>
      </x:c>
      <x:c r="R51" s="1" t="n">
        <x:f>O51*P51</x:f>
        <x:v>6.389701579871271</x:v>
      </x:c>
      <x:c r="S51" s="8" t="n">
        <x:f>(1-'Гипотезы'!D7)*(1-'Гипотезы'!E7)</x:f>
        <x:v>0.5625</x:v>
      </x:c>
      <x:c r="T51" s="12" t="n">
        <x:f>Q51+R51*S51</x:f>
        <x:v>642.5643651258046</x:v>
      </x:c>
      <x:c r="U51" s="12" t="n">
        <x:f>T51-J51</x:f>
        <x:v>3.594207138677575</x:v>
      </x:c>
      <x:c r="V51" s="12" t="n">
        <x:f>J51*'Когорты'!T8</x:f>
        <x:v>638970.157987127</x:v>
      </x:c>
      <x:c r="W51" s="12" t="n">
        <x:f>Q51*'Когорты'!T8*(1+'Воздействие'!H16*N51)</x:f>
        <x:v>638970.157987127</x:v>
      </x:c>
      <x:c r="X51" s="12" t="n">
        <x:f>R51*'Когорты'!T8*(1+'Воздействие'!H16*N51)</x:f>
        <x:v>6389.701579871271</x:v>
      </x:c>
      <x:c r="Y51" s="12" t="n">
        <x:f>W51+X51*S51</x:f>
        <x:v>642564.3651258046</x:v>
      </x:c>
      <x:c r="Z51" s="12" t="n">
        <x:f>F51*N51</x:f>
        <x:v>312.00000000000006</x:v>
      </x:c>
      <x:c r="AA51" s="12" t="n">
        <x:f>J51*D51</x:f>
        <x:v>638.970157987127</x:v>
      </x:c>
      <x:c r="AB51" s="12" t="n">
        <x:f>Q51*D51</x:f>
        <x:v>638.970157987127</x:v>
      </x:c>
      <x:c r="AC51" s="12" t="n">
        <x:f>R51*D51</x:f>
        <x:v>6.389701579871271</x:v>
      </x:c>
      <x:c r="AD51" s="12" t="n">
        <x:f>J51*E51</x:f>
        <x:v>638.970157987127</x:v>
      </x:c>
      <x:c r="AE51" s="12" t="n">
        <x:f>Q51*E51</x:f>
        <x:v>638.970157987127</x:v>
      </x:c>
      <x:c r="AF51" s="12" t="n">
        <x:f>R51*E51</x:f>
        <x:v>6.389701579871271</x:v>
      </x:c>
      <x:c r="AG51" s="1" t="n">
        <x:f>IF(AND(I51&gt;=0,I51&lt;=1,Q51+R51&lt;=F51+0.00000001,N51&gt;=0,N51&lt;=1),1,0)</x:f>
        <x:v>1</x:v>
      </x:c>
      <x:c r="AH51" s="1"/>
      <x:c r="AI51" s="1"/>
    </x:row>
    <x:row r="52" ht="24" customHeight="1">
      <x:c r="A52" s="1" t="str">
        <x:v>H3</x:v>
      </x:c>
      <x:c r="B52" s="1" t="str">
        <x:v>S4</x:v>
      </x:c>
      <x:c r="C52" s="1" t="str">
        <x:v>Ни один</x:v>
      </x:c>
      <x:c r="D52" s="1" t="n">
        <x:v>0</x:v>
      </x:c>
      <x:c r="E52" s="1" t="n">
        <x:v>0</x:v>
      </x:c>
      <x:c r="F52" s="12" t="n">
        <x:f>'Когорты'!D8*'Когорты'!N8</x:f>
        <x:v>9719.999999999998</x:v>
      </x:c>
      <x:c r="G52" s="8" t="n">
        <x:f>'Когорты'!F8</x:f>
        <x:v>0.21</x:v>
      </x:c>
      <x:c r="H52" s="1" t="n">
        <x:f>'Когорты'!R8</x:f>
        <x:v>0.3</x:v>
      </x:c>
      <x:c r="I52" s="8" t="n">
        <x:f>IF('Когорты'!S8&gt;0,G52*H52/'Когорты'!S8,0)</x:f>
        <x:v>0.061439438267992974</x:v>
      </x:c>
      <x:c r="J52" s="1" t="n">
        <x:f>F52*I52</x:f>
        <x:v>597.1913399648915</x:v>
      </x:c>
      <x:c r="K52" s="8" t="n">
        <x:f>'Воздействие'!C16*D52</x:f>
        <x:v>0</x:v>
      </x:c>
      <x:c r="L52" s="8" t="n">
        <x:f>'Воздействие'!D16*E52</x:f>
        <x:v>0</x:v>
      </x:c>
      <x:c r="M52" s="8" t="n">
        <x:f>'Воздействие'!E16*D52*E52</x:f>
        <x:v>0</x:v>
      </x:c>
      <x:c r="N52" s="8" t="n">
        <x:f>K52+L52-M52</x:f>
        <x:v>0</x:v>
      </x:c>
      <x:c r="O52" s="1" t="n">
        <x:f>J52*'Параметры'!$B$10*N52</x:f>
        <x:v>0</x:v>
      </x:c>
      <x:c r="P52" s="8" t="n">
        <x:f>(1-'Воздействие'!F16*D52)*(1-'Воздействие'!G16*E52)</x:f>
        <x:v>1</x:v>
      </x:c>
      <x:c r="Q52" s="1" t="n">
        <x:f>J52*P52</x:f>
        <x:v>597.1913399648915</x:v>
      </x:c>
      <x:c r="R52" s="1" t="n">
        <x:f>O52*P52</x:f>
        <x:v>0</x:v>
      </x:c>
      <x:c r="S52" s="8" t="n">
        <x:f>(1-'Гипотезы'!D7)*(1-'Гипотезы'!E7)</x:f>
        <x:v>0.5625</x:v>
      </x:c>
      <x:c r="T52" s="12" t="n">
        <x:f>Q52+R52*S52</x:f>
        <x:v>597.1913399648915</x:v>
      </x:c>
      <x:c r="U52" s="12" t="n">
        <x:f>T52-J52</x:f>
        <x:v>0</x:v>
      </x:c>
      <x:c r="V52" s="12" t="n">
        <x:f>J52*'Когорты'!T8</x:f>
        <x:v>597191.3399648916</x:v>
      </x:c>
      <x:c r="W52" s="12" t="n">
        <x:f>Q52*'Когорты'!T8*(1+'Воздействие'!H16*N52)</x:f>
        <x:v>597191.3399648916</x:v>
      </x:c>
      <x:c r="X52" s="12" t="n">
        <x:f>R52*'Когорты'!T8*(1+'Воздействие'!H16*N52)</x:f>
        <x:v>0</x:v>
      </x:c>
      <x:c r="Y52" s="12" t="n">
        <x:f>W52+X52*S52</x:f>
        <x:v>597191.3399648916</x:v>
      </x:c>
      <x:c r="Z52" s="12" t="n">
        <x:f>F52*N52</x:f>
        <x:v>0</x:v>
      </x:c>
      <x:c r="AA52" s="12" t="n">
        <x:f>J52*D52</x:f>
        <x:v>0</x:v>
      </x:c>
      <x:c r="AB52" s="12" t="n">
        <x:f>Q52*D52</x:f>
        <x:v>0</x:v>
      </x:c>
      <x:c r="AC52" s="12" t="n">
        <x:f>R52*D52</x:f>
        <x:v>0</x:v>
      </x:c>
      <x:c r="AD52" s="12" t="n">
        <x:f>J52*E52</x:f>
        <x:v>0</x:v>
      </x:c>
      <x:c r="AE52" s="12" t="n">
        <x:f>Q52*E52</x:f>
        <x:v>0</x:v>
      </x:c>
      <x:c r="AF52" s="12" t="n">
        <x:f>R52*E52</x:f>
        <x:v>0</x:v>
      </x:c>
      <x:c r="AG52" s="1" t="n">
        <x:f>IF(AND(I52&gt;=0,I52&lt;=1,Q52+R52&lt;=F52+0.00000001,N52&gt;=0,N52&lt;=1),1,0)</x:f>
        <x:v>1</x:v>
      </x:c>
      <x:c r="AH52" s="1"/>
      <x:c r="AI52" s="1"/>
    </x:row>
    <x:row r="53" ht="24" customHeight="1">
      <x:c r="A53" s="1" t="str">
        <x:v>H4</x:v>
      </x:c>
      <x:c r="B53" s="1" t="str">
        <x:v>S1</x:v>
      </x:c>
      <x:c r="C53" s="1" t="str">
        <x:v>Только C</x:v>
      </x:c>
      <x:c r="D53" s="1" t="n">
        <x:v>1</x:v>
      </x:c>
      <x:c r="E53" s="1" t="n">
        <x:v>0</x:v>
      </x:c>
      <x:c r="F53" s="12" t="n">
        <x:f>'Когорты'!D5*'Когорты'!L5</x:f>
        <x:v>10920</x:v>
      </x:c>
      <x:c r="G53" s="8" t="n">
        <x:f>'Когорты'!F5</x:f>
        <x:v>0.3</x:v>
      </x:c>
      <x:c r="H53" s="1" t="n">
        <x:f>'Когорты'!O5</x:f>
        <x:v>1.5</x:v>
      </x:c>
      <x:c r="I53" s="8" t="n">
        <x:f>IF('Когорты'!S5&gt;0,G53*H53/'Когорты'!S5,0)</x:f>
        <x:v>0.43885313048566404</x:v>
      </x:c>
      <x:c r="J53" s="1" t="n">
        <x:f>F53*I53</x:f>
        <x:v>4792.276184903451</x:v>
      </x:c>
      <x:c r="K53" s="8" t="n">
        <x:f>'Воздействие'!C17*D53</x:f>
        <x:v>0.2</x:v>
      </x:c>
      <x:c r="L53" s="8" t="n">
        <x:f>'Воздействие'!D17*E53</x:f>
        <x:v>0</x:v>
      </x:c>
      <x:c r="M53" s="8" t="n">
        <x:f>'Воздействие'!E17*D53*E53</x:f>
        <x:v>0</x:v>
      </x:c>
      <x:c r="N53" s="8" t="n">
        <x:f>K53+L53-M53</x:f>
        <x:v>0.2</x:v>
      </x:c>
      <x:c r="O53" s="1" t="n">
        <x:f>J53*'Параметры'!$B$10*N53</x:f>
        <x:v>95.84552369806903</x:v>
      </x:c>
      <x:c r="P53" s="8" t="n">
        <x:f>(1-'Воздействие'!F17*D53)*(1-'Воздействие'!G17*E53)</x:f>
        <x:v>1</x:v>
      </x:c>
      <x:c r="Q53" s="1" t="n">
        <x:f>J53*P53</x:f>
        <x:v>4792.276184903451</x:v>
      </x:c>
      <x:c r="R53" s="1" t="n">
        <x:f>O53*P53</x:f>
        <x:v>95.84552369806903</x:v>
      </x:c>
      <x:c r="S53" s="8" t="n">
        <x:f>(1-'Гипотезы'!D8)*(1-'Гипотезы'!E8)</x:f>
        <x:v>0.5625</x:v>
      </x:c>
      <x:c r="T53" s="12" t="n">
        <x:f>Q53+R53*S53</x:f>
        <x:v>4846.1892919836155</x:v>
      </x:c>
      <x:c r="U53" s="12" t="n">
        <x:f>T53-J53</x:f>
        <x:v>53.91310708016408</x:v>
      </x:c>
      <x:c r="V53" s="12" t="n">
        <x:f>J53*'Когорты'!T5</x:f>
        <x:v>4792276.184903451</x:v>
      </x:c>
      <x:c r="W53" s="12" t="n">
        <x:f>Q53*'Когорты'!T5*(1+'Воздействие'!H17*N53)</x:f>
        <x:v>4792276.184903451</x:v>
      </x:c>
      <x:c r="X53" s="12" t="n">
        <x:f>R53*'Когорты'!T5*(1+'Воздействие'!H17*N53)</x:f>
        <x:v>95845.52369806902</x:v>
      </x:c>
      <x:c r="Y53" s="12" t="n">
        <x:f>W53+X53*S53</x:f>
        <x:v>4846189.291983615</x:v>
      </x:c>
      <x:c r="Z53" s="12" t="n">
        <x:f>F53*N53</x:f>
        <x:v>2184</x:v>
      </x:c>
      <x:c r="AA53" s="12" t="n">
        <x:f>J53*D53</x:f>
        <x:v>4792.276184903451</x:v>
      </x:c>
      <x:c r="AB53" s="12" t="n">
        <x:f>Q53*D53</x:f>
        <x:v>4792.276184903451</x:v>
      </x:c>
      <x:c r="AC53" s="12" t="n">
        <x:f>R53*D53</x:f>
        <x:v>95.84552369806903</x:v>
      </x:c>
      <x:c r="AD53" s="12" t="n">
        <x:f>J53*E53</x:f>
        <x:v>0</x:v>
      </x:c>
      <x:c r="AE53" s="12" t="n">
        <x:f>Q53*E53</x:f>
        <x:v>0</x:v>
      </x:c>
      <x:c r="AF53" s="12" t="n">
        <x:f>R53*E53</x:f>
        <x:v>0</x:v>
      </x:c>
      <x:c r="AG53" s="1" t="n">
        <x:f>IF(AND(I53&gt;=0,I53&lt;=1,Q53+R53&lt;=F53+0.00000001,N53&gt;=0,N53&lt;=1),1,0)</x:f>
        <x:v>1</x:v>
      </x:c>
      <x:c r="AH53" s="1"/>
      <x:c r="AI53" s="1"/>
    </x:row>
    <x:row r="54" ht="24" customHeight="1">
      <x:c r="A54" s="1" t="str">
        <x:v>H4</x:v>
      </x:c>
      <x:c r="B54" s="1" t="str">
        <x:v>S1</x:v>
      </x:c>
      <x:c r="C54" s="1" t="str">
        <x:v>Только F</x:v>
      </x:c>
      <x:c r="D54" s="1" t="n">
        <x:v>0</x:v>
      </x:c>
      <x:c r="E54" s="1" t="n">
        <x:v>1</x:v>
      </x:c>
      <x:c r="F54" s="12" t="n">
        <x:f>'Когорты'!D5*'Когорты'!M5</x:f>
        <x:v>519.9999999999999</x:v>
      </x:c>
      <x:c r="G54" s="8" t="n">
        <x:f>'Когорты'!F5</x:f>
        <x:v>0.3</x:v>
      </x:c>
      <x:c r="H54" s="1" t="n">
        <x:f>'Когорты'!P5</x:f>
        <x:v>0.2</x:v>
      </x:c>
      <x:c r="I54" s="8" t="n">
        <x:f>IF('Когорты'!S5&gt;0,G54*H54/'Когорты'!S5,0)</x:f>
        <x:v>0.05851375073142188</x:v>
      </x:c>
      <x:c r="J54" s="1" t="n">
        <x:f>F54*I54</x:f>
        <x:v>30.42715038033937</x:v>
      </x:c>
      <x:c r="K54" s="8" t="n">
        <x:f>'Воздействие'!C17*D54</x:f>
        <x:v>0</x:v>
      </x:c>
      <x:c r="L54" s="8" t="n">
        <x:f>'Воздействие'!D17*E54</x:f>
        <x:v>0.2</x:v>
      </x:c>
      <x:c r="M54" s="8" t="n">
        <x:f>'Воздействие'!E17*D54*E54</x:f>
        <x:v>0</x:v>
      </x:c>
      <x:c r="N54" s="8" t="n">
        <x:f>K54+L54-M54</x:f>
        <x:v>0.2</x:v>
      </x:c>
      <x:c r="O54" s="1" t="n">
        <x:f>J54*'Параметры'!$B$10*N54</x:f>
        <x:v>0.6085430076067875</x:v>
      </x:c>
      <x:c r="P54" s="8" t="n">
        <x:f>(1-'Воздействие'!F17*D54)*(1-'Воздействие'!G17*E54)</x:f>
        <x:v>1</x:v>
      </x:c>
      <x:c r="Q54" s="1" t="n">
        <x:f>J54*P54</x:f>
        <x:v>30.42715038033937</x:v>
      </x:c>
      <x:c r="R54" s="1" t="n">
        <x:f>O54*P54</x:f>
        <x:v>0.6085430076067875</x:v>
      </x:c>
      <x:c r="S54" s="8" t="n">
        <x:f>(1-'Гипотезы'!D8)*(1-'Гипотезы'!E8)</x:f>
        <x:v>0.5625</x:v>
      </x:c>
      <x:c r="T54" s="12" t="n">
        <x:f>Q54+R54*S54</x:f>
        <x:v>30.76945582211819</x:v>
      </x:c>
      <x:c r="U54" s="12" t="n">
        <x:f>T54-J54</x:f>
        <x:v>0.3423054417788194</x:v>
      </x:c>
      <x:c r="V54" s="12" t="n">
        <x:f>J54*'Когорты'!T5</x:f>
        <x:v>30427.15038033937</x:v>
      </x:c>
      <x:c r="W54" s="12" t="n">
        <x:f>Q54*'Когорты'!T5*(1+'Воздействие'!H17*N54)</x:f>
        <x:v>30427.15038033937</x:v>
      </x:c>
      <x:c r="X54" s="12" t="n">
        <x:f>R54*'Когорты'!T5*(1+'Воздействие'!H17*N54)</x:f>
        <x:v>608.5430076067875</x:v>
      </x:c>
      <x:c r="Y54" s="12" t="n">
        <x:f>W54+X54*S54</x:f>
        <x:v>30769.45582211819</x:v>
      </x:c>
      <x:c r="Z54" s="12" t="n">
        <x:f>F54*N54</x:f>
        <x:v>103.99999999999999</x:v>
      </x:c>
      <x:c r="AA54" s="12" t="n">
        <x:f>J54*D54</x:f>
        <x:v>0</x:v>
      </x:c>
      <x:c r="AB54" s="12" t="n">
        <x:f>Q54*D54</x:f>
        <x:v>0</x:v>
      </x:c>
      <x:c r="AC54" s="12" t="n">
        <x:f>R54*D54</x:f>
        <x:v>0</x:v>
      </x:c>
      <x:c r="AD54" s="12" t="n">
        <x:f>J54*E54</x:f>
        <x:v>30.42715038033937</x:v>
      </x:c>
      <x:c r="AE54" s="12" t="n">
        <x:f>Q54*E54</x:f>
        <x:v>30.42715038033937</x:v>
      </x:c>
      <x:c r="AF54" s="12" t="n">
        <x:f>R54*E54</x:f>
        <x:v>0.6085430076067875</x:v>
      </x:c>
      <x:c r="AG54" s="1" t="n">
        <x:f>IF(AND(I54&gt;=0,I54&lt;=1,Q54+R54&lt;=F54+0.00000001,N54&gt;=0,N54&lt;=1),1,0)</x:f>
        <x:v>1</x:v>
      </x:c>
      <x:c r="AH54" s="1"/>
      <x:c r="AI54" s="1"/>
    </x:row>
    <x:row r="55" ht="24" customHeight="1">
      <x:c r="A55" s="1" t="str">
        <x:v>H4</x:v>
      </x:c>
      <x:c r="B55" s="1" t="str">
        <x:v>S1</x:v>
      </x:c>
      <x:c r="C55" s="1" t="str">
        <x:v>Оба</x:v>
      </x:c>
      <x:c r="D55" s="1" t="n">
        <x:v>1</x:v>
      </x:c>
      <x:c r="E55" s="1" t="n">
        <x:v>1</x:v>
      </x:c>
      <x:c r="F55" s="12" t="n">
        <x:f>'Когорты'!D5*'Когорты'!K5</x:f>
        <x:v>2080</x:v>
      </x:c>
      <x:c r="G55" s="8" t="n">
        <x:f>'Когорты'!F5</x:f>
        <x:v>0.3</x:v>
      </x:c>
      <x:c r="H55" s="1" t="n">
        <x:f>'Когорты'!Q5</x:f>
        <x:v>1</x:v>
      </x:c>
      <x:c r="I55" s="8" t="n">
        <x:f>IF('Когорты'!S5&gt;0,G55*H55/'Когорты'!S5,0)</x:f>
        <x:v>0.2925687536571094</x:v>
      </x:c>
      <x:c r="J55" s="1" t="n">
        <x:f>F55*I55</x:f>
        <x:v>608.5430076067876</x:v>
      </x:c>
      <x:c r="K55" s="8" t="n">
        <x:f>'Воздействие'!C17*D55</x:f>
        <x:v>0.2</x:v>
      </x:c>
      <x:c r="L55" s="8" t="n">
        <x:f>'Воздействие'!D17*E55</x:f>
        <x:v>0.2</x:v>
      </x:c>
      <x:c r="M55" s="8" t="n">
        <x:f>'Воздействие'!E17*D55*E55</x:f>
        <x:v>0.1</x:v>
      </x:c>
      <x:c r="N55" s="8" t="n">
        <x:f>K55+L55-M55</x:f>
        <x:v>0.30000000000000004</x:v>
      </x:c>
      <x:c r="O55" s="1" t="n">
        <x:f>J55*'Параметры'!$B$10*N55</x:f>
        <x:v>18.256290228203632</x:v>
      </x:c>
      <x:c r="P55" s="8" t="n">
        <x:f>(1-'Воздействие'!F17*D55)*(1-'Воздействие'!G17*E55)</x:f>
        <x:v>1</x:v>
      </x:c>
      <x:c r="Q55" s="1" t="n">
        <x:f>J55*P55</x:f>
        <x:v>608.5430076067876</x:v>
      </x:c>
      <x:c r="R55" s="1" t="n">
        <x:f>O55*P55</x:f>
        <x:v>18.256290228203632</x:v>
      </x:c>
      <x:c r="S55" s="8" t="n">
        <x:f>(1-'Гипотезы'!D8)*(1-'Гипотезы'!E8)</x:f>
        <x:v>0.5625</x:v>
      </x:c>
      <x:c r="T55" s="12" t="n">
        <x:f>Q55+R55*S55</x:f>
        <x:v>618.8121708601522</x:v>
      </x:c>
      <x:c r="U55" s="12" t="n">
        <x:f>T55-J55</x:f>
        <x:v>10.269163253364582</x:v>
      </x:c>
      <x:c r="V55" s="12" t="n">
        <x:f>J55*'Когорты'!T5</x:f>
        <x:v>608543.0076067876</x:v>
      </x:c>
      <x:c r="W55" s="12" t="n">
        <x:f>Q55*'Когорты'!T5*(1+'Воздействие'!H17*N55)</x:f>
        <x:v>608543.0076067876</x:v>
      </x:c>
      <x:c r="X55" s="12" t="n">
        <x:f>R55*'Когорты'!T5*(1+'Воздействие'!H17*N55)</x:f>
        <x:v>18256.29022820363</x:v>
      </x:c>
      <x:c r="Y55" s="12" t="n">
        <x:f>W55+X55*S55</x:f>
        <x:v>618812.1708601521</x:v>
      </x:c>
      <x:c r="Z55" s="12" t="n">
        <x:f>F55*N55</x:f>
        <x:v>624.0000000000001</x:v>
      </x:c>
      <x:c r="AA55" s="12" t="n">
        <x:f>J55*D55</x:f>
        <x:v>608.5430076067876</x:v>
      </x:c>
      <x:c r="AB55" s="12" t="n">
        <x:f>Q55*D55</x:f>
        <x:v>608.5430076067876</x:v>
      </x:c>
      <x:c r="AC55" s="12" t="n">
        <x:f>R55*D55</x:f>
        <x:v>18.256290228203632</x:v>
      </x:c>
      <x:c r="AD55" s="12" t="n">
        <x:f>J55*E55</x:f>
        <x:v>608.5430076067876</x:v>
      </x:c>
      <x:c r="AE55" s="12" t="n">
        <x:f>Q55*E55</x:f>
        <x:v>608.5430076067876</x:v>
      </x:c>
      <x:c r="AF55" s="12" t="n">
        <x:f>R55*E55</x:f>
        <x:v>18.256290228203632</x:v>
      </x:c>
      <x:c r="AG55" s="1" t="n">
        <x:f>IF(AND(I55&gt;=0,I55&lt;=1,Q55+R55&lt;=F55+0.00000001,N55&gt;=0,N55&lt;=1),1,0)</x:f>
        <x:v>1</x:v>
      </x:c>
      <x:c r="AH55" s="1"/>
      <x:c r="AI55" s="1"/>
    </x:row>
    <x:row r="56" ht="24" customHeight="1">
      <x:c r="A56" s="1" t="str">
        <x:v>H4</x:v>
      </x:c>
      <x:c r="B56" s="1" t="str">
        <x:v>S1</x:v>
      </x:c>
      <x:c r="C56" s="1" t="str">
        <x:v>Ни один</x:v>
      </x:c>
      <x:c r="D56" s="1" t="n">
        <x:v>0</x:v>
      </x:c>
      <x:c r="E56" s="1" t="n">
        <x:v>0</x:v>
      </x:c>
      <x:c r="F56" s="12" t="n">
        <x:f>'Когорты'!D5*'Когорты'!N5</x:f>
        <x:v>6479.999999999999</x:v>
      </x:c>
      <x:c r="G56" s="8" t="n">
        <x:f>'Когорты'!F5</x:f>
        <x:v>0.3</x:v>
      </x:c>
      <x:c r="H56" s="1" t="n">
        <x:f>'Когорты'!R5</x:f>
        <x:v>0.3</x:v>
      </x:c>
      <x:c r="I56" s="8" t="n">
        <x:f>IF('Когорты'!S5&gt;0,G56*H56/'Когорты'!S5,0)</x:f>
        <x:v>0.08777062609713282</x:v>
      </x:c>
      <x:c r="J56" s="1" t="n">
        <x:f>F56*I56</x:f>
        <x:v>568.7536571094206</x:v>
      </x:c>
      <x:c r="K56" s="8" t="n">
        <x:f>'Воздействие'!C17*D56</x:f>
        <x:v>0</x:v>
      </x:c>
      <x:c r="L56" s="8" t="n">
        <x:f>'Воздействие'!D17*E56</x:f>
        <x:v>0</x:v>
      </x:c>
      <x:c r="M56" s="8" t="n">
        <x:f>'Воздействие'!E17*D56*E56</x:f>
        <x:v>0</x:v>
      </x:c>
      <x:c r="N56" s="8" t="n">
        <x:f>K56+L56-M56</x:f>
        <x:v>0</x:v>
      </x:c>
      <x:c r="O56" s="1" t="n">
        <x:f>J56*'Параметры'!$B$10*N56</x:f>
        <x:v>0</x:v>
      </x:c>
      <x:c r="P56" s="8" t="n">
        <x:f>(1-'Воздействие'!F17*D56)*(1-'Воздействие'!G17*E56)</x:f>
        <x:v>1</x:v>
      </x:c>
      <x:c r="Q56" s="1" t="n">
        <x:f>J56*P56</x:f>
        <x:v>568.7536571094206</x:v>
      </x:c>
      <x:c r="R56" s="1" t="n">
        <x:f>O56*P56</x:f>
        <x:v>0</x:v>
      </x:c>
      <x:c r="S56" s="8" t="n">
        <x:f>(1-'Гипотезы'!D8)*(1-'Гипотезы'!E8)</x:f>
        <x:v>0.5625</x:v>
      </x:c>
      <x:c r="T56" s="12" t="n">
        <x:f>Q56+R56*S56</x:f>
        <x:v>568.7536571094206</x:v>
      </x:c>
      <x:c r="U56" s="12" t="n">
        <x:f>T56-J56</x:f>
        <x:v>0</x:v>
      </x:c>
      <x:c r="V56" s="12" t="n">
        <x:f>J56*'Когорты'!T5</x:f>
        <x:v>568753.6571094206</x:v>
      </x:c>
      <x:c r="W56" s="12" t="n">
        <x:f>Q56*'Когорты'!T5*(1+'Воздействие'!H17*N56)</x:f>
        <x:v>568753.6571094206</x:v>
      </x:c>
      <x:c r="X56" s="12" t="n">
        <x:f>R56*'Когорты'!T5*(1+'Воздействие'!H17*N56)</x:f>
        <x:v>0</x:v>
      </x:c>
      <x:c r="Y56" s="12" t="n">
        <x:f>W56+X56*S56</x:f>
        <x:v>568753.6571094206</x:v>
      </x:c>
      <x:c r="Z56" s="12" t="n">
        <x:f>F56*N56</x:f>
        <x:v>0</x:v>
      </x:c>
      <x:c r="AA56" s="12" t="n">
        <x:f>J56*D56</x:f>
        <x:v>0</x:v>
      </x:c>
      <x:c r="AB56" s="12" t="n">
        <x:f>Q56*D56</x:f>
        <x:v>0</x:v>
      </x:c>
      <x:c r="AC56" s="12" t="n">
        <x:f>R56*D56</x:f>
        <x:v>0</x:v>
      </x:c>
      <x:c r="AD56" s="12" t="n">
        <x:f>J56*E56</x:f>
        <x:v>0</x:v>
      </x:c>
      <x:c r="AE56" s="12" t="n">
        <x:f>Q56*E56</x:f>
        <x:v>0</x:v>
      </x:c>
      <x:c r="AF56" s="12" t="n">
        <x:f>R56*E56</x:f>
        <x:v>0</x:v>
      </x:c>
      <x:c r="AG56" s="1" t="n">
        <x:f>IF(AND(I56&gt;=0,I56&lt;=1,Q56+R56&lt;=F56+0.00000001,N56&gt;=0,N56&lt;=1),1,0)</x:f>
        <x:v>1</x:v>
      </x:c>
      <x:c r="AH56" s="1"/>
      <x:c r="AI56" s="1"/>
    </x:row>
    <x:row r="57" ht="24" customHeight="1">
      <x:c r="A57" s="1" t="str">
        <x:v>H4</x:v>
      </x:c>
      <x:c r="B57" s="1" t="str">
        <x:v>S2</x:v>
      </x:c>
      <x:c r="C57" s="1" t="str">
        <x:v>Только C</x:v>
      </x:c>
      <x:c r="D57" s="1" t="n">
        <x:v>1</x:v>
      </x:c>
      <x:c r="E57" s="1" t="n">
        <x:v>0</x:v>
      </x:c>
      <x:c r="F57" s="12" t="n">
        <x:f>'Когорты'!D6*'Когорты'!L6</x:f>
        <x:v>10920</x:v>
      </x:c>
      <x:c r="G57" s="8" t="n">
        <x:f>'Когорты'!F6</x:f>
        <x:v>0.21</x:v>
      </x:c>
      <x:c r="H57" s="1" t="n">
        <x:f>'Когорты'!O6</x:f>
        <x:v>1.5</x:v>
      </x:c>
      <x:c r="I57" s="8" t="n">
        <x:f>IF('Когорты'!S6&gt;0,G57*H57/'Когорты'!S6,0)</x:f>
        <x:v>0.30719719133996487</x:v>
      </x:c>
      <x:c r="J57" s="1" t="n">
        <x:f>F57*I57</x:f>
        <x:v>3354.5933294324163</x:v>
      </x:c>
      <x:c r="K57" s="8" t="n">
        <x:f>'Воздействие'!C18*D57</x:f>
        <x:v>0.3</x:v>
      </x:c>
      <x:c r="L57" s="8" t="n">
        <x:f>'Воздействие'!D18*E57</x:f>
        <x:v>0</x:v>
      </x:c>
      <x:c r="M57" s="8" t="n">
        <x:f>'Воздействие'!E18*D57*E57</x:f>
        <x:v>0</x:v>
      </x:c>
      <x:c r="N57" s="8" t="n">
        <x:f>K57+L57-M57</x:f>
        <x:v>0.3</x:v>
      </x:c>
      <x:c r="O57" s="1" t="n">
        <x:f>J57*'Параметры'!$B$10*N57</x:f>
        <x:v>100.63779988297249</x:v>
      </x:c>
      <x:c r="P57" s="8" t="n">
        <x:f>(1-'Воздействие'!F18*D57)*(1-'Воздействие'!G18*E57)</x:f>
        <x:v>1</x:v>
      </x:c>
      <x:c r="Q57" s="1" t="n">
        <x:f>J57*P57</x:f>
        <x:v>3354.5933294324163</x:v>
      </x:c>
      <x:c r="R57" s="1" t="n">
        <x:f>O57*P57</x:f>
        <x:v>100.63779988297249</x:v>
      </x:c>
      <x:c r="S57" s="8" t="n">
        <x:f>(1-'Гипотезы'!D8)*(1-'Гипотезы'!E8)</x:f>
        <x:v>0.5625</x:v>
      </x:c>
      <x:c r="T57" s="12" t="n">
        <x:f>Q57+R57*S57</x:f>
        <x:v>3411.2020918665885</x:v>
      </x:c>
      <x:c r="U57" s="12" t="n">
        <x:f>T57-J57</x:f>
        <x:v>56.60876243417215</x:v>
      </x:c>
      <x:c r="V57" s="12" t="n">
        <x:f>J57*'Когорты'!T6</x:f>
        <x:v>3354593.3294324162</x:v>
      </x:c>
      <x:c r="W57" s="12" t="n">
        <x:f>Q57*'Когорты'!T6*(1+'Воздействие'!H18*N57)</x:f>
        <x:v>3354593.3294324162</x:v>
      </x:c>
      <x:c r="X57" s="12" t="n">
        <x:f>R57*'Когорты'!T6*(1+'Воздействие'!H18*N57)</x:f>
        <x:v>100637.79988297248</x:v>
      </x:c>
      <x:c r="Y57" s="12" t="n">
        <x:f>W57+X57*S57</x:f>
        <x:v>3411202.091866588</x:v>
      </x:c>
      <x:c r="Z57" s="12" t="n">
        <x:f>F57*N57</x:f>
        <x:v>3276</x:v>
      </x:c>
      <x:c r="AA57" s="12" t="n">
        <x:f>J57*D57</x:f>
        <x:v>3354.5933294324163</x:v>
      </x:c>
      <x:c r="AB57" s="12" t="n">
        <x:f>Q57*D57</x:f>
        <x:v>3354.5933294324163</x:v>
      </x:c>
      <x:c r="AC57" s="12" t="n">
        <x:f>R57*D57</x:f>
        <x:v>100.63779988297249</x:v>
      </x:c>
      <x:c r="AD57" s="12" t="n">
        <x:f>J57*E57</x:f>
        <x:v>0</x:v>
      </x:c>
      <x:c r="AE57" s="12" t="n">
        <x:f>Q57*E57</x:f>
        <x:v>0</x:v>
      </x:c>
      <x:c r="AF57" s="12" t="n">
        <x:f>R57*E57</x:f>
        <x:v>0</x:v>
      </x:c>
      <x:c r="AG57" s="1" t="n">
        <x:f>IF(AND(I57&gt;=0,I57&lt;=1,Q57+R57&lt;=F57+0.00000001,N57&gt;=0,N57&lt;=1),1,0)</x:f>
        <x:v>1</x:v>
      </x:c>
      <x:c r="AH57" s="1"/>
      <x:c r="AI57" s="1"/>
    </x:row>
    <x:row r="58" ht="24" customHeight="1">
      <x:c r="A58" s="1" t="str">
        <x:v>H4</x:v>
      </x:c>
      <x:c r="B58" s="1" t="str">
        <x:v>S2</x:v>
      </x:c>
      <x:c r="C58" s="1" t="str">
        <x:v>Только F</x:v>
      </x:c>
      <x:c r="D58" s="1" t="n">
        <x:v>0</x:v>
      </x:c>
      <x:c r="E58" s="1" t="n">
        <x:v>1</x:v>
      </x:c>
      <x:c r="F58" s="12" t="n">
        <x:f>'Когорты'!D6*'Когорты'!M6</x:f>
        <x:v>519.9999999999999</x:v>
      </x:c>
      <x:c r="G58" s="8" t="n">
        <x:f>'Когорты'!F6</x:f>
        <x:v>0.21</x:v>
      </x:c>
      <x:c r="H58" s="1" t="n">
        <x:f>'Когорты'!P6</x:f>
        <x:v>0.2</x:v>
      </x:c>
      <x:c r="I58" s="8" t="n">
        <x:f>IF('Когорты'!S6&gt;0,G58*H58/'Когорты'!S6,0)</x:f>
        <x:v>0.04095962551199532</x:v>
      </x:c>
      <x:c r="J58" s="1" t="n">
        <x:f>F58*I58</x:f>
        <x:v>21.29900526623756</x:v>
      </x:c>
      <x:c r="K58" s="8" t="n">
        <x:f>'Воздействие'!C18*D58</x:f>
        <x:v>0</x:v>
      </x:c>
      <x:c r="L58" s="8" t="n">
        <x:f>'Воздействие'!D18*E58</x:f>
        <x:v>0.3</x:v>
      </x:c>
      <x:c r="M58" s="8" t="n">
        <x:f>'Воздействие'!E18*D58*E58</x:f>
        <x:v>0</x:v>
      </x:c>
      <x:c r="N58" s="8" t="n">
        <x:f>K58+L58-M58</x:f>
        <x:v>0.3</x:v>
      </x:c>
      <x:c r="O58" s="1" t="n">
        <x:f>J58*'Параметры'!$B$10*N58</x:f>
        <x:v>0.6389701579871269</x:v>
      </x:c>
      <x:c r="P58" s="8" t="n">
        <x:f>(1-'Воздействие'!F18*D58)*(1-'Воздействие'!G18*E58)</x:f>
        <x:v>1</x:v>
      </x:c>
      <x:c r="Q58" s="1" t="n">
        <x:f>J58*P58</x:f>
        <x:v>21.29900526623756</x:v>
      </x:c>
      <x:c r="R58" s="1" t="n">
        <x:f>O58*P58</x:f>
        <x:v>0.6389701579871269</x:v>
      </x:c>
      <x:c r="S58" s="8" t="n">
        <x:f>(1-'Гипотезы'!D8)*(1-'Гипотезы'!E8)</x:f>
        <x:v>0.5625</x:v>
      </x:c>
      <x:c r="T58" s="12" t="n">
        <x:f>Q58+R58*S58</x:f>
        <x:v>21.65842598010532</x:v>
      </x:c>
      <x:c r="U58" s="12" t="n">
        <x:f>T58-J58</x:f>
        <x:v>0.35942071386775964</x:v>
      </x:c>
      <x:c r="V58" s="12" t="n">
        <x:f>J58*'Когорты'!T6</x:f>
        <x:v>21299.00526623756</x:v>
      </x:c>
      <x:c r="W58" s="12" t="n">
        <x:f>Q58*'Когорты'!T6*(1+'Воздействие'!H18*N58)</x:f>
        <x:v>21299.00526623756</x:v>
      </x:c>
      <x:c r="X58" s="12" t="n">
        <x:f>R58*'Когорты'!T6*(1+'Воздействие'!H18*N58)</x:f>
        <x:v>638.9701579871269</x:v>
      </x:c>
      <x:c r="Y58" s="12" t="n">
        <x:f>W58+X58*S58</x:f>
        <x:v>21658.42598010532</x:v>
      </x:c>
      <x:c r="Z58" s="12" t="n">
        <x:f>F58*N58</x:f>
        <x:v>155.99999999999997</x:v>
      </x:c>
      <x:c r="AA58" s="12" t="n">
        <x:f>J58*D58</x:f>
        <x:v>0</x:v>
      </x:c>
      <x:c r="AB58" s="12" t="n">
        <x:f>Q58*D58</x:f>
        <x:v>0</x:v>
      </x:c>
      <x:c r="AC58" s="12" t="n">
        <x:f>R58*D58</x:f>
        <x:v>0</x:v>
      </x:c>
      <x:c r="AD58" s="12" t="n">
        <x:f>J58*E58</x:f>
        <x:v>21.29900526623756</x:v>
      </x:c>
      <x:c r="AE58" s="12" t="n">
        <x:f>Q58*E58</x:f>
        <x:v>21.29900526623756</x:v>
      </x:c>
      <x:c r="AF58" s="12" t="n">
        <x:f>R58*E58</x:f>
        <x:v>0.6389701579871269</x:v>
      </x:c>
      <x:c r="AG58" s="1" t="n">
        <x:f>IF(AND(I58&gt;=0,I58&lt;=1,Q58+R58&lt;=F58+0.00000001,N58&gt;=0,N58&lt;=1),1,0)</x:f>
        <x:v>1</x:v>
      </x:c>
      <x:c r="AH58" s="1"/>
      <x:c r="AI58" s="1"/>
    </x:row>
    <x:row r="59" ht="24" customHeight="1">
      <x:c r="A59" s="1" t="str">
        <x:v>H4</x:v>
      </x:c>
      <x:c r="B59" s="1" t="str">
        <x:v>S2</x:v>
      </x:c>
      <x:c r="C59" s="1" t="str">
        <x:v>Оба</x:v>
      </x:c>
      <x:c r="D59" s="1" t="n">
        <x:v>1</x:v>
      </x:c>
      <x:c r="E59" s="1" t="n">
        <x:v>1</x:v>
      </x:c>
      <x:c r="F59" s="12" t="n">
        <x:f>'Когорты'!D6*'Когорты'!K6</x:f>
        <x:v>2080</x:v>
      </x:c>
      <x:c r="G59" s="8" t="n">
        <x:f>'Когорты'!F6</x:f>
        <x:v>0.21</x:v>
      </x:c>
      <x:c r="H59" s="1" t="n">
        <x:f>'Когорты'!Q6</x:f>
        <x:v>1</x:v>
      </x:c>
      <x:c r="I59" s="8" t="n">
        <x:f>IF('Когорты'!S6&gt;0,G59*H59/'Когорты'!S6,0)</x:f>
        <x:v>0.20479812755997656</x:v>
      </x:c>
      <x:c r="J59" s="1" t="n">
        <x:f>F59*I59</x:f>
        <x:v>425.98010532475126</x:v>
      </x:c>
      <x:c r="K59" s="8" t="n">
        <x:f>'Воздействие'!C18*D59</x:f>
        <x:v>0.3</x:v>
      </x:c>
      <x:c r="L59" s="8" t="n">
        <x:f>'Воздействие'!D18*E59</x:f>
        <x:v>0.3</x:v>
      </x:c>
      <x:c r="M59" s="8" t="n">
        <x:f>'Воздействие'!E18*D59*E59</x:f>
        <x:v>0.1</x:v>
      </x:c>
      <x:c r="N59" s="8" t="n">
        <x:f>K59+L59-M59</x:f>
        <x:v>0.5</x:v>
      </x:c>
      <x:c r="O59" s="1" t="n">
        <x:f>J59*'Параметры'!$B$10*N59</x:f>
        <x:v>21.299005266237565</x:v>
      </x:c>
      <x:c r="P59" s="8" t="n">
        <x:f>(1-'Воздействие'!F18*D59)*(1-'Воздействие'!G18*E59)</x:f>
        <x:v>1</x:v>
      </x:c>
      <x:c r="Q59" s="1" t="n">
        <x:f>J59*P59</x:f>
        <x:v>425.98010532475126</x:v>
      </x:c>
      <x:c r="R59" s="1" t="n">
        <x:f>O59*P59</x:f>
        <x:v>21.299005266237565</x:v>
      </x:c>
      <x:c r="S59" s="8" t="n">
        <x:f>(1-'Гипотезы'!D8)*(1-'Гипотезы'!E8)</x:f>
        <x:v>0.5625</x:v>
      </x:c>
      <x:c r="T59" s="12" t="n">
        <x:f>Q59+R59*S59</x:f>
        <x:v>437.9607957870099</x:v>
      </x:c>
      <x:c r="U59" s="12" t="n">
        <x:f>T59-J59</x:f>
        <x:v>11.980690462258622</x:v>
      </x:c>
      <x:c r="V59" s="12" t="n">
        <x:f>J59*'Когорты'!T6</x:f>
        <x:v>425980.1053247513</x:v>
      </x:c>
      <x:c r="W59" s="12" t="n">
        <x:f>Q59*'Когорты'!T6*(1+'Воздействие'!H18*N59)</x:f>
        <x:v>425980.1053247513</x:v>
      </x:c>
      <x:c r="X59" s="12" t="n">
        <x:f>R59*'Когорты'!T6*(1+'Воздействие'!H18*N59)</x:f>
        <x:v>21299.005266237564</x:v>
      </x:c>
      <x:c r="Y59" s="12" t="n">
        <x:f>W59+X59*S59</x:f>
        <x:v>437960.79578700993</x:v>
      </x:c>
      <x:c r="Z59" s="12" t="n">
        <x:f>F59*N59</x:f>
        <x:v>1040</x:v>
      </x:c>
      <x:c r="AA59" s="12" t="n">
        <x:f>J59*D59</x:f>
        <x:v>425.98010532475126</x:v>
      </x:c>
      <x:c r="AB59" s="12" t="n">
        <x:f>Q59*D59</x:f>
        <x:v>425.98010532475126</x:v>
      </x:c>
      <x:c r="AC59" s="12" t="n">
        <x:f>R59*D59</x:f>
        <x:v>21.299005266237565</x:v>
      </x:c>
      <x:c r="AD59" s="12" t="n">
        <x:f>J59*E59</x:f>
        <x:v>425.98010532475126</x:v>
      </x:c>
      <x:c r="AE59" s="12" t="n">
        <x:f>Q59*E59</x:f>
        <x:v>425.98010532475126</x:v>
      </x:c>
      <x:c r="AF59" s="12" t="n">
        <x:f>R59*E59</x:f>
        <x:v>21.299005266237565</x:v>
      </x:c>
      <x:c r="AG59" s="1" t="n">
        <x:f>IF(AND(I59&gt;=0,I59&lt;=1,Q59+R59&lt;=F59+0.00000001,N59&gt;=0,N59&lt;=1),1,0)</x:f>
        <x:v>1</x:v>
      </x:c>
      <x:c r="AH59" s="1"/>
      <x:c r="AI59" s="1"/>
    </x:row>
    <x:row r="60" ht="24" customHeight="1">
      <x:c r="A60" s="1" t="str">
        <x:v>H4</x:v>
      </x:c>
      <x:c r="B60" s="1" t="str">
        <x:v>S2</x:v>
      </x:c>
      <x:c r="C60" s="1" t="str">
        <x:v>Ни один</x:v>
      </x:c>
      <x:c r="D60" s="1" t="n">
        <x:v>0</x:v>
      </x:c>
      <x:c r="E60" s="1" t="n">
        <x:v>0</x:v>
      </x:c>
      <x:c r="F60" s="12" t="n">
        <x:f>'Когорты'!D6*'Когорты'!N6</x:f>
        <x:v>6479.999999999999</x:v>
      </x:c>
      <x:c r="G60" s="8" t="n">
        <x:f>'Когорты'!F6</x:f>
        <x:v>0.21</x:v>
      </x:c>
      <x:c r="H60" s="1" t="n">
        <x:f>'Когорты'!R6</x:f>
        <x:v>0.3</x:v>
      </x:c>
      <x:c r="I60" s="8" t="n">
        <x:f>IF('Когорты'!S6&gt;0,G60*H60/'Когорты'!S6,0)</x:f>
        <x:v>0.061439438267992974</x:v>
      </x:c>
      <x:c r="J60" s="1" t="n">
        <x:f>F60*I60</x:f>
        <x:v>398.1275599765944</x:v>
      </x:c>
      <x:c r="K60" s="8" t="n">
        <x:f>'Воздействие'!C18*D60</x:f>
        <x:v>0</x:v>
      </x:c>
      <x:c r="L60" s="8" t="n">
        <x:f>'Воздействие'!D18*E60</x:f>
        <x:v>0</x:v>
      </x:c>
      <x:c r="M60" s="8" t="n">
        <x:f>'Воздействие'!E18*D60*E60</x:f>
        <x:v>0</x:v>
      </x:c>
      <x:c r="N60" s="8" t="n">
        <x:f>K60+L60-M60</x:f>
        <x:v>0</x:v>
      </x:c>
      <x:c r="O60" s="1" t="n">
        <x:f>J60*'Параметры'!$B$10*N60</x:f>
        <x:v>0</x:v>
      </x:c>
      <x:c r="P60" s="8" t="n">
        <x:f>(1-'Воздействие'!F18*D60)*(1-'Воздействие'!G18*E60)</x:f>
        <x:v>1</x:v>
      </x:c>
      <x:c r="Q60" s="1" t="n">
        <x:f>J60*P60</x:f>
        <x:v>398.1275599765944</x:v>
      </x:c>
      <x:c r="R60" s="1" t="n">
        <x:f>O60*P60</x:f>
        <x:v>0</x:v>
      </x:c>
      <x:c r="S60" s="8" t="n">
        <x:f>(1-'Гипотезы'!D8)*(1-'Гипотезы'!E8)</x:f>
        <x:v>0.5625</x:v>
      </x:c>
      <x:c r="T60" s="12" t="n">
        <x:f>Q60+R60*S60</x:f>
        <x:v>398.1275599765944</x:v>
      </x:c>
      <x:c r="U60" s="12" t="n">
        <x:f>T60-J60</x:f>
        <x:v>0</x:v>
      </x:c>
      <x:c r="V60" s="12" t="n">
        <x:f>J60*'Когорты'!T6</x:f>
        <x:v>398127.5599765944</x:v>
      </x:c>
      <x:c r="W60" s="12" t="n">
        <x:f>Q60*'Когорты'!T6*(1+'Воздействие'!H18*N60)</x:f>
        <x:v>398127.5599765944</x:v>
      </x:c>
      <x:c r="X60" s="12" t="n">
        <x:f>R60*'Когорты'!T6*(1+'Воздействие'!H18*N60)</x:f>
        <x:v>0</x:v>
      </x:c>
      <x:c r="Y60" s="12" t="n">
        <x:f>W60+X60*S60</x:f>
        <x:v>398127.5599765944</x:v>
      </x:c>
      <x:c r="Z60" s="12" t="n">
        <x:f>F60*N60</x:f>
        <x:v>0</x:v>
      </x:c>
      <x:c r="AA60" s="12" t="n">
        <x:f>J60*D60</x:f>
        <x:v>0</x:v>
      </x:c>
      <x:c r="AB60" s="12" t="n">
        <x:f>Q60*D60</x:f>
        <x:v>0</x:v>
      </x:c>
      <x:c r="AC60" s="12" t="n">
        <x:f>R60*D60</x:f>
        <x:v>0</x:v>
      </x:c>
      <x:c r="AD60" s="12" t="n">
        <x:f>J60*E60</x:f>
        <x:v>0</x:v>
      </x:c>
      <x:c r="AE60" s="12" t="n">
        <x:f>Q60*E60</x:f>
        <x:v>0</x:v>
      </x:c>
      <x:c r="AF60" s="12" t="n">
        <x:f>R60*E60</x:f>
        <x:v>0</x:v>
      </x:c>
      <x:c r="AG60" s="1" t="n">
        <x:f>IF(AND(I60&gt;=0,I60&lt;=1,Q60+R60&lt;=F60+0.00000001,N60&gt;=0,N60&lt;=1),1,0)</x:f>
        <x:v>1</x:v>
      </x:c>
      <x:c r="AH60" s="1"/>
      <x:c r="AI60" s="1"/>
    </x:row>
    <x:row r="61" ht="24" customHeight="1">
      <x:c r="A61" s="1" t="str">
        <x:v>H4</x:v>
      </x:c>
      <x:c r="B61" s="1" t="str">
        <x:v>S3</x:v>
      </x:c>
      <x:c r="C61" s="1" t="str">
        <x:v>Только C</x:v>
      </x:c>
      <x:c r="D61" s="1" t="n">
        <x:v>1</x:v>
      </x:c>
      <x:c r="E61" s="1" t="n">
        <x:v>0</x:v>
      </x:c>
      <x:c r="F61" s="12" t="n">
        <x:f>'Когорты'!D7*'Когорты'!L7</x:f>
        <x:v>16380.000000000002</x:v>
      </x:c>
      <x:c r="G61" s="8" t="n">
        <x:f>'Когорты'!F7</x:f>
        <x:v>0.12</x:v>
      </x:c>
      <x:c r="H61" s="1" t="n">
        <x:f>'Когорты'!O7</x:f>
        <x:v>1.5</x:v>
      </x:c>
      <x:c r="I61" s="8" t="n">
        <x:f>IF('Когорты'!S7&gt;0,G61*H61/'Когорты'!S7,0)</x:f>
        <x:v>0.17554125219426564</x:v>
      </x:c>
      <x:c r="J61" s="1" t="n">
        <x:f>F61*I61</x:f>
        <x:v>2875.3657109420715</x:v>
      </x:c>
      <x:c r="K61" s="8" t="n">
        <x:f>'Воздействие'!C19*D61</x:f>
        <x:v>0.3</x:v>
      </x:c>
      <x:c r="L61" s="8" t="n">
        <x:f>'Воздействие'!D19*E61</x:f>
        <x:v>0</x:v>
      </x:c>
      <x:c r="M61" s="8" t="n">
        <x:f>'Воздействие'!E19*D61*E61</x:f>
        <x:v>0</x:v>
      </x:c>
      <x:c r="N61" s="8" t="n">
        <x:f>K61+L61-M61</x:f>
        <x:v>0.3</x:v>
      </x:c>
      <x:c r="O61" s="1" t="n">
        <x:f>J61*'Параметры'!$B$10*N61</x:f>
        <x:v>86.26097132826214</x:v>
      </x:c>
      <x:c r="P61" s="8" t="n">
        <x:f>(1-'Воздействие'!F19*D61)*(1-'Воздействие'!G19*E61)</x:f>
        <x:v>1</x:v>
      </x:c>
      <x:c r="Q61" s="1" t="n">
        <x:f>J61*P61</x:f>
        <x:v>2875.3657109420715</x:v>
      </x:c>
      <x:c r="R61" s="1" t="n">
        <x:f>O61*P61</x:f>
        <x:v>86.26097132826214</x:v>
      </x:c>
      <x:c r="S61" s="8" t="n">
        <x:f>(1-'Гипотезы'!D8)*(1-'Гипотезы'!E8)</x:f>
        <x:v>0.5625</x:v>
      </x:c>
      <x:c r="T61" s="12" t="n">
        <x:f>Q61+R61*S61</x:f>
        <x:v>2923.887507314219</x:v>
      </x:c>
      <x:c r="U61" s="12" t="n">
        <x:f>T61-J61</x:f>
        <x:v>48.52179637214749</x:v>
      </x:c>
      <x:c r="V61" s="12" t="n">
        <x:f>J61*'Когорты'!T7</x:f>
        <x:v>2875365.7109420714</x:v>
      </x:c>
      <x:c r="W61" s="12" t="n">
        <x:f>Q61*'Когорты'!T7*(1+'Воздействие'!H19*N61)</x:f>
        <x:v>2875365.7109420714</x:v>
      </x:c>
      <x:c r="X61" s="12" t="n">
        <x:f>R61*'Когорты'!T7*(1+'Воздействие'!H19*N61)</x:f>
        <x:v>86260.97132826214</x:v>
      </x:c>
      <x:c r="Y61" s="12" t="n">
        <x:f>W61+X61*S61</x:f>
        <x:v>2923887.5073142187</x:v>
      </x:c>
      <x:c r="Z61" s="12" t="n">
        <x:f>F61*N61</x:f>
        <x:v>4914</x:v>
      </x:c>
      <x:c r="AA61" s="12" t="n">
        <x:f>J61*D61</x:f>
        <x:v>2875.3657109420715</x:v>
      </x:c>
      <x:c r="AB61" s="12" t="n">
        <x:f>Q61*D61</x:f>
        <x:v>2875.3657109420715</x:v>
      </x:c>
      <x:c r="AC61" s="12" t="n">
        <x:f>R61*D61</x:f>
        <x:v>86.26097132826214</x:v>
      </x:c>
      <x:c r="AD61" s="12" t="n">
        <x:f>J61*E61</x:f>
        <x:v>0</x:v>
      </x:c>
      <x:c r="AE61" s="12" t="n">
        <x:f>Q61*E61</x:f>
        <x:v>0</x:v>
      </x:c>
      <x:c r="AF61" s="12" t="n">
        <x:f>R61*E61</x:f>
        <x:v>0</x:v>
      </x:c>
      <x:c r="AG61" s="1" t="n">
        <x:f>IF(AND(I61&gt;=0,I61&lt;=1,Q61+R61&lt;=F61+0.00000001,N61&gt;=0,N61&lt;=1),1,0)</x:f>
        <x:v>1</x:v>
      </x:c>
      <x:c r="AH61" s="1"/>
      <x:c r="AI61" s="1"/>
    </x:row>
    <x:row r="62" ht="24" customHeight="1">
      <x:c r="A62" s="1" t="str">
        <x:v>H4</x:v>
      </x:c>
      <x:c r="B62" s="1" t="str">
        <x:v>S3</x:v>
      </x:c>
      <x:c r="C62" s="1" t="str">
        <x:v>Только F</x:v>
      </x:c>
      <x:c r="D62" s="1" t="n">
        <x:v>0</x:v>
      </x:c>
      <x:c r="E62" s="1" t="n">
        <x:v>1</x:v>
      </x:c>
      <x:c r="F62" s="12" t="n">
        <x:f>'Когорты'!D7*'Когорты'!M7</x:f>
        <x:v>779.9999999999999</x:v>
      </x:c>
      <x:c r="G62" s="8" t="n">
        <x:f>'Когорты'!F7</x:f>
        <x:v>0.12</x:v>
      </x:c>
      <x:c r="H62" s="1" t="n">
        <x:f>'Когорты'!P7</x:f>
        <x:v>0.2</x:v>
      </x:c>
      <x:c r="I62" s="8" t="n">
        <x:f>IF('Когорты'!S7&gt;0,G62*H62/'Когорты'!S7,0)</x:f>
        <x:v>0.023405500292568753</x:v>
      </x:c>
      <x:c r="J62" s="1" t="n">
        <x:f>F62*I62</x:f>
        <x:v>18.256290228203625</x:v>
      </x:c>
      <x:c r="K62" s="8" t="n">
        <x:f>'Воздействие'!C19*D62</x:f>
        <x:v>0</x:v>
      </x:c>
      <x:c r="L62" s="8" t="n">
        <x:f>'Воздействие'!D19*E62</x:f>
        <x:v>0.3</x:v>
      </x:c>
      <x:c r="M62" s="8" t="n">
        <x:f>'Воздействие'!E19*D62*E62</x:f>
        <x:v>0</x:v>
      </x:c>
      <x:c r="N62" s="8" t="n">
        <x:f>K62+L62-M62</x:f>
        <x:v>0.3</x:v>
      </x:c>
      <x:c r="O62" s="1" t="n">
        <x:f>J62*'Параметры'!$B$10*N62</x:f>
        <x:v>0.5476887068461088</x:v>
      </x:c>
      <x:c r="P62" s="8" t="n">
        <x:f>(1-'Воздействие'!F19*D62)*(1-'Воздействие'!G19*E62)</x:f>
        <x:v>1</x:v>
      </x:c>
      <x:c r="Q62" s="1" t="n">
        <x:f>J62*P62</x:f>
        <x:v>18.256290228203625</x:v>
      </x:c>
      <x:c r="R62" s="1" t="n">
        <x:f>O62*P62</x:f>
        <x:v>0.5476887068461088</x:v>
      </x:c>
      <x:c r="S62" s="8" t="n">
        <x:f>(1-'Гипотезы'!D8)*(1-'Гипотезы'!E8)</x:f>
        <x:v>0.5625</x:v>
      </x:c>
      <x:c r="T62" s="12" t="n">
        <x:f>Q62+R62*S62</x:f>
        <x:v>18.56436512580456</x:v>
      </x:c>
      <x:c r="U62" s="12" t="n">
        <x:f>T62-J62</x:f>
        <x:v>0.3080748976009353</x:v>
      </x:c>
      <x:c r="V62" s="12" t="n">
        <x:f>J62*'Когорты'!T7</x:f>
        <x:v>18256.290228203623</x:v>
      </x:c>
      <x:c r="W62" s="12" t="n">
        <x:f>Q62*'Когорты'!T7*(1+'Воздействие'!H19*N62)</x:f>
        <x:v>18256.290228203623</x:v>
      </x:c>
      <x:c r="X62" s="12" t="n">
        <x:f>R62*'Когорты'!T7*(1+'Воздействие'!H19*N62)</x:f>
        <x:v>547.6887068461089</x:v>
      </x:c>
      <x:c r="Y62" s="12" t="n">
        <x:f>W62+X62*S62</x:f>
        <x:v>18564.365125804557</x:v>
      </x:c>
      <x:c r="Z62" s="12" t="n">
        <x:f>F62*N62</x:f>
        <x:v>233.99999999999994</x:v>
      </x:c>
      <x:c r="AA62" s="12" t="n">
        <x:f>J62*D62</x:f>
        <x:v>0</x:v>
      </x:c>
      <x:c r="AB62" s="12" t="n">
        <x:f>Q62*D62</x:f>
        <x:v>0</x:v>
      </x:c>
      <x:c r="AC62" s="12" t="n">
        <x:f>R62*D62</x:f>
        <x:v>0</x:v>
      </x:c>
      <x:c r="AD62" s="12" t="n">
        <x:f>J62*E62</x:f>
        <x:v>18.256290228203625</x:v>
      </x:c>
      <x:c r="AE62" s="12" t="n">
        <x:f>Q62*E62</x:f>
        <x:v>18.256290228203625</x:v>
      </x:c>
      <x:c r="AF62" s="12" t="n">
        <x:f>R62*E62</x:f>
        <x:v>0.5476887068461088</x:v>
      </x:c>
      <x:c r="AG62" s="1" t="n">
        <x:f>IF(AND(I62&gt;=0,I62&lt;=1,Q62+R62&lt;=F62+0.00000001,N62&gt;=0,N62&lt;=1),1,0)</x:f>
        <x:v>1</x:v>
      </x:c>
      <x:c r="AH62" s="1"/>
      <x:c r="AI62" s="1"/>
    </x:row>
    <x:row r="63" ht="24" customHeight="1">
      <x:c r="A63" s="1" t="str">
        <x:v>H4</x:v>
      </x:c>
      <x:c r="B63" s="1" t="str">
        <x:v>S3</x:v>
      </x:c>
      <x:c r="C63" s="1" t="str">
        <x:v>Оба</x:v>
      </x:c>
      <x:c r="D63" s="1" t="n">
        <x:v>1</x:v>
      </x:c>
      <x:c r="E63" s="1" t="n">
        <x:v>1</x:v>
      </x:c>
      <x:c r="F63" s="12" t="n">
        <x:f>'Когорты'!D7*'Когорты'!K7</x:f>
        <x:v>3120.0000000000005</x:v>
      </x:c>
      <x:c r="G63" s="8" t="n">
        <x:f>'Когорты'!F7</x:f>
        <x:v>0.12</x:v>
      </x:c>
      <x:c r="H63" s="1" t="n">
        <x:f>'Когорты'!Q7</x:f>
        <x:v>1</x:v>
      </x:c>
      <x:c r="I63" s="8" t="n">
        <x:f>IF('Когорты'!S7&gt;0,G63*H63/'Когорты'!S7,0)</x:f>
        <x:v>0.11702750146284376</x:v>
      </x:c>
      <x:c r="J63" s="1" t="n">
        <x:f>F63*I63</x:f>
        <x:v>365.12580456407255</x:v>
      </x:c>
      <x:c r="K63" s="8" t="n">
        <x:f>'Воздействие'!C19*D63</x:f>
        <x:v>0.3</x:v>
      </x:c>
      <x:c r="L63" s="8" t="n">
        <x:f>'Воздействие'!D19*E63</x:f>
        <x:v>0.3</x:v>
      </x:c>
      <x:c r="M63" s="8" t="n">
        <x:f>'Воздействие'!E19*D63*E63</x:f>
        <x:v>0.1</x:v>
      </x:c>
      <x:c r="N63" s="8" t="n">
        <x:f>K63+L63-M63</x:f>
        <x:v>0.5</x:v>
      </x:c>
      <x:c r="O63" s="1" t="n">
        <x:f>J63*'Параметры'!$B$10*N63</x:f>
        <x:v>18.25629022820363</x:v>
      </x:c>
      <x:c r="P63" s="8" t="n">
        <x:f>(1-'Воздействие'!F19*D63)*(1-'Воздействие'!G19*E63)</x:f>
        <x:v>1</x:v>
      </x:c>
      <x:c r="Q63" s="1" t="n">
        <x:f>J63*P63</x:f>
        <x:v>365.12580456407255</x:v>
      </x:c>
      <x:c r="R63" s="1" t="n">
        <x:f>O63*P63</x:f>
        <x:v>18.25629022820363</x:v>
      </x:c>
      <x:c r="S63" s="8" t="n">
        <x:f>(1-'Гипотезы'!D8)*(1-'Гипотезы'!E8)</x:f>
        <x:v>0.5625</x:v>
      </x:c>
      <x:c r="T63" s="12" t="n">
        <x:f>Q63+R63*S63</x:f>
        <x:v>375.3949678174371</x:v>
      </x:c>
      <x:c r="U63" s="12" t="n">
        <x:f>T63-J63</x:f>
        <x:v>10.269163253364525</x:v>
      </x:c>
      <x:c r="V63" s="12" t="n">
        <x:f>J63*'Когорты'!T7</x:f>
        <x:v>365125.8045640726</x:v>
      </x:c>
      <x:c r="W63" s="12" t="n">
        <x:f>Q63*'Когорты'!T7*(1+'Воздействие'!H19*N63)</x:f>
        <x:v>365125.8045640726</x:v>
      </x:c>
      <x:c r="X63" s="12" t="n">
        <x:f>R63*'Когорты'!T7*(1+'Воздействие'!H19*N63)</x:f>
        <x:v>18256.290228203627</x:v>
      </x:c>
      <x:c r="Y63" s="12" t="n">
        <x:f>W63+X63*S63</x:f>
        <x:v>375394.96781743714</x:v>
      </x:c>
      <x:c r="Z63" s="12" t="n">
        <x:f>F63*N63</x:f>
        <x:v>1560.0000000000002</x:v>
      </x:c>
      <x:c r="AA63" s="12" t="n">
        <x:f>J63*D63</x:f>
        <x:v>365.12580456407255</x:v>
      </x:c>
      <x:c r="AB63" s="12" t="n">
        <x:f>Q63*D63</x:f>
        <x:v>365.12580456407255</x:v>
      </x:c>
      <x:c r="AC63" s="12" t="n">
        <x:f>R63*D63</x:f>
        <x:v>18.25629022820363</x:v>
      </x:c>
      <x:c r="AD63" s="12" t="n">
        <x:f>J63*E63</x:f>
        <x:v>365.12580456407255</x:v>
      </x:c>
      <x:c r="AE63" s="12" t="n">
        <x:f>Q63*E63</x:f>
        <x:v>365.12580456407255</x:v>
      </x:c>
      <x:c r="AF63" s="12" t="n">
        <x:f>R63*E63</x:f>
        <x:v>18.25629022820363</x:v>
      </x:c>
      <x:c r="AG63" s="1" t="n">
        <x:f>IF(AND(I63&gt;=0,I63&lt;=1,Q63+R63&lt;=F63+0.00000001,N63&gt;=0,N63&lt;=1),1,0)</x:f>
        <x:v>1</x:v>
      </x:c>
      <x:c r="AH63" s="1"/>
      <x:c r="AI63" s="1"/>
    </x:row>
    <x:row r="64" ht="24" customHeight="1">
      <x:c r="A64" s="1" t="str">
        <x:v>H4</x:v>
      </x:c>
      <x:c r="B64" s="1" t="str">
        <x:v>S3</x:v>
      </x:c>
      <x:c r="C64" s="1" t="str">
        <x:v>Ни один</x:v>
      </x:c>
      <x:c r="D64" s="1" t="n">
        <x:v>0</x:v>
      </x:c>
      <x:c r="E64" s="1" t="n">
        <x:v>0</x:v>
      </x:c>
      <x:c r="F64" s="12" t="n">
        <x:f>'Когорты'!D7*'Когорты'!N7</x:f>
        <x:v>9719.999999999998</x:v>
      </x:c>
      <x:c r="G64" s="8" t="n">
        <x:f>'Когорты'!F7</x:f>
        <x:v>0.12</x:v>
      </x:c>
      <x:c r="H64" s="1" t="n">
        <x:f>'Когорты'!R7</x:f>
        <x:v>0.3</x:v>
      </x:c>
      <x:c r="I64" s="8" t="n">
        <x:f>IF('Когорты'!S7&gt;0,G64*H64/'Когорты'!S7,0)</x:f>
        <x:v>0.03510825043885313</x:v>
      </x:c>
      <x:c r="J64" s="1" t="n">
        <x:f>F64*I64</x:f>
        <x:v>341.25219426565235</x:v>
      </x:c>
      <x:c r="K64" s="8" t="n">
        <x:f>'Воздействие'!C19*D64</x:f>
        <x:v>0</x:v>
      </x:c>
      <x:c r="L64" s="8" t="n">
        <x:f>'Воздействие'!D19*E64</x:f>
        <x:v>0</x:v>
      </x:c>
      <x:c r="M64" s="8" t="n">
        <x:f>'Воздействие'!E19*D64*E64</x:f>
        <x:v>0</x:v>
      </x:c>
      <x:c r="N64" s="8" t="n">
        <x:f>K64+L64-M64</x:f>
        <x:v>0</x:v>
      </x:c>
      <x:c r="O64" s="1" t="n">
        <x:f>J64*'Параметры'!$B$10*N64</x:f>
        <x:v>0</x:v>
      </x:c>
      <x:c r="P64" s="8" t="n">
        <x:f>(1-'Воздействие'!F19*D64)*(1-'Воздействие'!G19*E64)</x:f>
        <x:v>1</x:v>
      </x:c>
      <x:c r="Q64" s="1" t="n">
        <x:f>J64*P64</x:f>
        <x:v>341.25219426565235</x:v>
      </x:c>
      <x:c r="R64" s="1" t="n">
        <x:f>O64*P64</x:f>
        <x:v>0</x:v>
      </x:c>
      <x:c r="S64" s="8" t="n">
        <x:f>(1-'Гипотезы'!D8)*(1-'Гипотезы'!E8)</x:f>
        <x:v>0.5625</x:v>
      </x:c>
      <x:c r="T64" s="12" t="n">
        <x:f>Q64+R64*S64</x:f>
        <x:v>341.25219426565235</x:v>
      </x:c>
      <x:c r="U64" s="12" t="n">
        <x:f>T64-J64</x:f>
        <x:v>0</x:v>
      </x:c>
      <x:c r="V64" s="12" t="n">
        <x:f>J64*'Когорты'!T7</x:f>
        <x:v>341252.19426565233</x:v>
      </x:c>
      <x:c r="W64" s="12" t="n">
        <x:f>Q64*'Когорты'!T7*(1+'Воздействие'!H19*N64)</x:f>
        <x:v>341252.19426565233</x:v>
      </x:c>
      <x:c r="X64" s="12" t="n">
        <x:f>R64*'Когорты'!T7*(1+'Воздействие'!H19*N64)</x:f>
        <x:v>0</x:v>
      </x:c>
      <x:c r="Y64" s="12" t="n">
        <x:f>W64+X64*S64</x:f>
        <x:v>341252.19426565233</x:v>
      </x:c>
      <x:c r="Z64" s="12" t="n">
        <x:f>F64*N64</x:f>
        <x:v>0</x:v>
      </x:c>
      <x:c r="AA64" s="12" t="n">
        <x:f>J64*D64</x:f>
        <x:v>0</x:v>
      </x:c>
      <x:c r="AB64" s="12" t="n">
        <x:f>Q64*D64</x:f>
        <x:v>0</x:v>
      </x:c>
      <x:c r="AC64" s="12" t="n">
        <x:f>R64*D64</x:f>
        <x:v>0</x:v>
      </x:c>
      <x:c r="AD64" s="12" t="n">
        <x:f>J64*E64</x:f>
        <x:v>0</x:v>
      </x:c>
      <x:c r="AE64" s="12" t="n">
        <x:f>Q64*E64</x:f>
        <x:v>0</x:v>
      </x:c>
      <x:c r="AF64" s="12" t="n">
        <x:f>R64*E64</x:f>
        <x:v>0</x:v>
      </x:c>
      <x:c r="AG64" s="1" t="n">
        <x:f>IF(AND(I64&gt;=0,I64&lt;=1,Q64+R64&lt;=F64+0.00000001,N64&gt;=0,N64&lt;=1),1,0)</x:f>
        <x:v>1</x:v>
      </x:c>
      <x:c r="AH64" s="1"/>
      <x:c r="AI64" s="1"/>
    </x:row>
    <x:row r="65" ht="24" customHeight="1">
      <x:c r="A65" s="1" t="str">
        <x:v>H4</x:v>
      </x:c>
      <x:c r="B65" s="1" t="str">
        <x:v>S4</x:v>
      </x:c>
      <x:c r="C65" s="1" t="str">
        <x:v>Только C</x:v>
      </x:c>
      <x:c r="D65" s="1" t="n">
        <x:v>1</x:v>
      </x:c>
      <x:c r="E65" s="1" t="n">
        <x:v>0</x:v>
      </x:c>
      <x:c r="F65" s="12" t="n">
        <x:f>'Когорты'!D8*'Когорты'!L8</x:f>
        <x:v>16380.000000000002</x:v>
      </x:c>
      <x:c r="G65" s="8" t="n">
        <x:f>'Когорты'!F8</x:f>
        <x:v>0.21</x:v>
      </x:c>
      <x:c r="H65" s="1" t="n">
        <x:f>'Когорты'!O8</x:f>
        <x:v>1.5</x:v>
      </x:c>
      <x:c r="I65" s="8" t="n">
        <x:f>IF('Когорты'!S8&gt;0,G65*H65/'Когорты'!S8,0)</x:f>
        <x:v>0.30719719133996487</x:v>
      </x:c>
      <x:c r="J65" s="1" t="n">
        <x:f>F65*I65</x:f>
        <x:v>5031.889994148625</x:v>
      </x:c>
      <x:c r="K65" s="8" t="n">
        <x:f>'Воздействие'!C20*D65</x:f>
        <x:v>0.2</x:v>
      </x:c>
      <x:c r="L65" s="8" t="n">
        <x:f>'Воздействие'!D20*E65</x:f>
        <x:v>0</x:v>
      </x:c>
      <x:c r="M65" s="8" t="n">
        <x:f>'Воздействие'!E20*D65*E65</x:f>
        <x:v>0</x:v>
      </x:c>
      <x:c r="N65" s="8" t="n">
        <x:f>K65+L65-M65</x:f>
        <x:v>0.2</x:v>
      </x:c>
      <x:c r="O65" s="1" t="n">
        <x:f>J65*'Параметры'!$B$10*N65</x:f>
        <x:v>100.63779988297252</x:v>
      </x:c>
      <x:c r="P65" s="8" t="n">
        <x:f>(1-'Воздействие'!F20*D65)*(1-'Воздействие'!G20*E65)</x:f>
        <x:v>1</x:v>
      </x:c>
      <x:c r="Q65" s="1" t="n">
        <x:f>J65*P65</x:f>
        <x:v>5031.889994148625</x:v>
      </x:c>
      <x:c r="R65" s="1" t="n">
        <x:f>O65*P65</x:f>
        <x:v>100.63779988297252</x:v>
      </x:c>
      <x:c r="S65" s="8" t="n">
        <x:f>(1-'Гипотезы'!D8)*(1-'Гипотезы'!E8)</x:f>
        <x:v>0.5625</x:v>
      </x:c>
      <x:c r="T65" s="12" t="n">
        <x:f>Q65+R65*S65</x:f>
        <x:v>5088.498756582797</x:v>
      </x:c>
      <x:c r="U65" s="12" t="n">
        <x:f>T65-J65</x:f>
        <x:v>56.608762434171695</x:v>
      </x:c>
      <x:c r="V65" s="12" t="n">
        <x:f>J65*'Когорты'!T8</x:f>
        <x:v>5031889.994148625</x:v>
      </x:c>
      <x:c r="W65" s="12" t="n">
        <x:f>Q65*'Когорты'!T8*(1+'Воздействие'!H20*N65)</x:f>
        <x:v>5031889.994148625</x:v>
      </x:c>
      <x:c r="X65" s="12" t="n">
        <x:f>R65*'Когорты'!T8*(1+'Воздействие'!H20*N65)</x:f>
        <x:v>100637.79988297251</x:v>
      </x:c>
      <x:c r="Y65" s="12" t="n">
        <x:f>W65+X65*S65</x:f>
        <x:v>5088498.7565827975</x:v>
      </x:c>
      <x:c r="Z65" s="12" t="n">
        <x:f>F65*N65</x:f>
        <x:v>3276.0000000000005</x:v>
      </x:c>
      <x:c r="AA65" s="12" t="n">
        <x:f>J65*D65</x:f>
        <x:v>5031.889994148625</x:v>
      </x:c>
      <x:c r="AB65" s="12" t="n">
        <x:f>Q65*D65</x:f>
        <x:v>5031.889994148625</x:v>
      </x:c>
      <x:c r="AC65" s="12" t="n">
        <x:f>R65*D65</x:f>
        <x:v>100.63779988297252</x:v>
      </x:c>
      <x:c r="AD65" s="12" t="n">
        <x:f>J65*E65</x:f>
        <x:v>0</x:v>
      </x:c>
      <x:c r="AE65" s="12" t="n">
        <x:f>Q65*E65</x:f>
        <x:v>0</x:v>
      </x:c>
      <x:c r="AF65" s="12" t="n">
        <x:f>R65*E65</x:f>
        <x:v>0</x:v>
      </x:c>
      <x:c r="AG65" s="1" t="n">
        <x:f>IF(AND(I65&gt;=0,I65&lt;=1,Q65+R65&lt;=F65+0.00000001,N65&gt;=0,N65&lt;=1),1,0)</x:f>
        <x:v>1</x:v>
      </x:c>
      <x:c r="AH65" s="1"/>
      <x:c r="AI65" s="1"/>
    </x:row>
    <x:row r="66" ht="24" customHeight="1">
      <x:c r="A66" s="1" t="str">
        <x:v>H4</x:v>
      </x:c>
      <x:c r="B66" s="1" t="str">
        <x:v>S4</x:v>
      </x:c>
      <x:c r="C66" s="1" t="str">
        <x:v>Только F</x:v>
      </x:c>
      <x:c r="D66" s="1" t="n">
        <x:v>0</x:v>
      </x:c>
      <x:c r="E66" s="1" t="n">
        <x:v>1</x:v>
      </x:c>
      <x:c r="F66" s="12" t="n">
        <x:f>'Когорты'!D8*'Когорты'!M8</x:f>
        <x:v>779.9999999999999</x:v>
      </x:c>
      <x:c r="G66" s="8" t="n">
        <x:f>'Когорты'!F8</x:f>
        <x:v>0.21</x:v>
      </x:c>
      <x:c r="H66" s="1" t="n">
        <x:f>'Когорты'!P8</x:f>
        <x:v>0.2</x:v>
      </x:c>
      <x:c r="I66" s="8" t="n">
        <x:f>IF('Когорты'!S8&gt;0,G66*H66/'Когорты'!S8,0)</x:f>
        <x:v>0.04095962551199532</x:v>
      </x:c>
      <x:c r="J66" s="1" t="n">
        <x:f>F66*I66</x:f>
        <x:v>31.948507899356347</x:v>
      </x:c>
      <x:c r="K66" s="8" t="n">
        <x:f>'Воздействие'!C20*D66</x:f>
        <x:v>0</x:v>
      </x:c>
      <x:c r="L66" s="8" t="n">
        <x:f>'Воздействие'!D20*E66</x:f>
        <x:v>0.2</x:v>
      </x:c>
      <x:c r="M66" s="8" t="n">
        <x:f>'Воздействие'!E20*D66*E66</x:f>
        <x:v>0</x:v>
      </x:c>
      <x:c r="N66" s="8" t="n">
        <x:f>K66+L66-M66</x:f>
        <x:v>0.2</x:v>
      </x:c>
      <x:c r="O66" s="1" t="n">
        <x:f>J66*'Параметры'!$B$10*N66</x:f>
        <x:v>0.638970157987127</x:v>
      </x:c>
      <x:c r="P66" s="8" t="n">
        <x:f>(1-'Воздействие'!F20*D66)*(1-'Воздействие'!G20*E66)</x:f>
        <x:v>1</x:v>
      </x:c>
      <x:c r="Q66" s="1" t="n">
        <x:f>J66*P66</x:f>
        <x:v>31.948507899356347</x:v>
      </x:c>
      <x:c r="R66" s="1" t="n">
        <x:f>O66*P66</x:f>
        <x:v>0.638970157987127</x:v>
      </x:c>
      <x:c r="S66" s="8" t="n">
        <x:f>(1-'Гипотезы'!D8)*(1-'Гипотезы'!E8)</x:f>
        <x:v>0.5625</x:v>
      </x:c>
      <x:c r="T66" s="12" t="n">
        <x:f>Q66+R66*S66</x:f>
        <x:v>32.30792861322411</x:v>
      </x:c>
      <x:c r="U66" s="12" t="n">
        <x:f>T66-J66</x:f>
        <x:v>0.35942071386775964</x:v>
      </x:c>
      <x:c r="V66" s="12" t="n">
        <x:f>J66*'Когорты'!T8</x:f>
        <x:v>31948.507899356347</x:v>
      </x:c>
      <x:c r="W66" s="12" t="n">
        <x:f>Q66*'Когорты'!T8*(1+'Воздействие'!H20*N66)</x:f>
        <x:v>31948.507899356347</x:v>
      </x:c>
      <x:c r="X66" s="12" t="n">
        <x:f>R66*'Когорты'!T8*(1+'Воздействие'!H20*N66)</x:f>
        <x:v>638.970157987127</x:v>
      </x:c>
      <x:c r="Y66" s="12" t="n">
        <x:f>W66+X66*S66</x:f>
        <x:v>32307.928613224107</x:v>
      </x:c>
      <x:c r="Z66" s="12" t="n">
        <x:f>F66*N66</x:f>
        <x:v>156</x:v>
      </x:c>
      <x:c r="AA66" s="12" t="n">
        <x:f>J66*D66</x:f>
        <x:v>0</x:v>
      </x:c>
      <x:c r="AB66" s="12" t="n">
        <x:f>Q66*D66</x:f>
        <x:v>0</x:v>
      </x:c>
      <x:c r="AC66" s="12" t="n">
        <x:f>R66*D66</x:f>
        <x:v>0</x:v>
      </x:c>
      <x:c r="AD66" s="12" t="n">
        <x:f>J66*E66</x:f>
        <x:v>31.948507899356347</x:v>
      </x:c>
      <x:c r="AE66" s="12" t="n">
        <x:f>Q66*E66</x:f>
        <x:v>31.948507899356347</x:v>
      </x:c>
      <x:c r="AF66" s="12" t="n">
        <x:f>R66*E66</x:f>
        <x:v>0.638970157987127</x:v>
      </x:c>
      <x:c r="AG66" s="1" t="n">
        <x:f>IF(AND(I66&gt;=0,I66&lt;=1,Q66+R66&lt;=F66+0.00000001,N66&gt;=0,N66&lt;=1),1,0)</x:f>
        <x:v>1</x:v>
      </x:c>
      <x:c r="AH66" s="1"/>
      <x:c r="AI66" s="1"/>
    </x:row>
    <x:row r="67" ht="24" customHeight="1">
      <x:c r="A67" s="1" t="str">
        <x:v>H4</x:v>
      </x:c>
      <x:c r="B67" s="1" t="str">
        <x:v>S4</x:v>
      </x:c>
      <x:c r="C67" s="1" t="str">
        <x:v>Оба</x:v>
      </x:c>
      <x:c r="D67" s="1" t="n">
        <x:v>1</x:v>
      </x:c>
      <x:c r="E67" s="1" t="n">
        <x:v>1</x:v>
      </x:c>
      <x:c r="F67" s="12" t="n">
        <x:f>'Когорты'!D8*'Когорты'!K8</x:f>
        <x:v>3120.0000000000005</x:v>
      </x:c>
      <x:c r="G67" s="8" t="n">
        <x:f>'Когорты'!F8</x:f>
        <x:v>0.21</x:v>
      </x:c>
      <x:c r="H67" s="1" t="n">
        <x:f>'Когорты'!Q8</x:f>
        <x:v>1</x:v>
      </x:c>
      <x:c r="I67" s="8" t="n">
        <x:f>IF('Когорты'!S8&gt;0,G67*H67/'Когорты'!S8,0)</x:f>
        <x:v>0.20479812755997656</x:v>
      </x:c>
      <x:c r="J67" s="1" t="n">
        <x:f>F67*I67</x:f>
        <x:v>638.970157987127</x:v>
      </x:c>
      <x:c r="K67" s="8" t="n">
        <x:f>'Воздействие'!C20*D67</x:f>
        <x:v>0.2</x:v>
      </x:c>
      <x:c r="L67" s="8" t="n">
        <x:f>'Воздействие'!D20*E67</x:f>
        <x:v>0.2</x:v>
      </x:c>
      <x:c r="M67" s="8" t="n">
        <x:f>'Воздействие'!E20*D67*E67</x:f>
        <x:v>0.1</x:v>
      </x:c>
      <x:c r="N67" s="8" t="n">
        <x:f>K67+L67-M67</x:f>
        <x:v>0.30000000000000004</x:v>
      </x:c>
      <x:c r="O67" s="1" t="n">
        <x:f>J67*'Параметры'!$B$10*N67</x:f>
        <x:v>19.169104739613815</x:v>
      </x:c>
      <x:c r="P67" s="8" t="n">
        <x:f>(1-'Воздействие'!F20*D67)*(1-'Воздействие'!G20*E67)</x:f>
        <x:v>1</x:v>
      </x:c>
      <x:c r="Q67" s="1" t="n">
        <x:f>J67*P67</x:f>
        <x:v>638.970157987127</x:v>
      </x:c>
      <x:c r="R67" s="1" t="n">
        <x:f>O67*P67</x:f>
        <x:v>19.169104739613815</x:v>
      </x:c>
      <x:c r="S67" s="8" t="n">
        <x:f>(1-'Гипотезы'!D8)*(1-'Гипотезы'!E8)</x:f>
        <x:v>0.5625</x:v>
      </x:c>
      <x:c r="T67" s="12" t="n">
        <x:f>Q67+R67*S67</x:f>
        <x:v>649.7527794031597</x:v>
      </x:c>
      <x:c r="U67" s="12" t="n">
        <x:f>T67-J67</x:f>
        <x:v>10.782621416032725</x:v>
      </x:c>
      <x:c r="V67" s="12" t="n">
        <x:f>J67*'Когорты'!T8</x:f>
        <x:v>638970.157987127</x:v>
      </x:c>
      <x:c r="W67" s="12" t="n">
        <x:f>Q67*'Когорты'!T8*(1+'Воздействие'!H20*N67)</x:f>
        <x:v>638970.157987127</x:v>
      </x:c>
      <x:c r="X67" s="12" t="n">
        <x:f>R67*'Когорты'!T8*(1+'Воздействие'!H20*N67)</x:f>
        <x:v>19169.104739613813</x:v>
      </x:c>
      <x:c r="Y67" s="12" t="n">
        <x:f>W67+X67*S67</x:f>
        <x:v>649752.7794031597</x:v>
      </x:c>
      <x:c r="Z67" s="12" t="n">
        <x:f>F67*N67</x:f>
        <x:v>936.0000000000002</x:v>
      </x:c>
      <x:c r="AA67" s="12" t="n">
        <x:f>J67*D67</x:f>
        <x:v>638.970157987127</x:v>
      </x:c>
      <x:c r="AB67" s="12" t="n">
        <x:f>Q67*D67</x:f>
        <x:v>638.970157987127</x:v>
      </x:c>
      <x:c r="AC67" s="12" t="n">
        <x:f>R67*D67</x:f>
        <x:v>19.169104739613815</x:v>
      </x:c>
      <x:c r="AD67" s="12" t="n">
        <x:f>J67*E67</x:f>
        <x:v>638.970157987127</x:v>
      </x:c>
      <x:c r="AE67" s="12" t="n">
        <x:f>Q67*E67</x:f>
        <x:v>638.970157987127</x:v>
      </x:c>
      <x:c r="AF67" s="12" t="n">
        <x:f>R67*E67</x:f>
        <x:v>19.169104739613815</x:v>
      </x:c>
      <x:c r="AG67" s="1" t="n">
        <x:f>IF(AND(I67&gt;=0,I67&lt;=1,Q67+R67&lt;=F67+0.00000001,N67&gt;=0,N67&lt;=1),1,0)</x:f>
        <x:v>1</x:v>
      </x:c>
      <x:c r="AH67" s="1"/>
      <x:c r="AI67" s="1"/>
    </x:row>
    <x:row r="68" ht="24" customHeight="1">
      <x:c r="A68" s="1" t="str">
        <x:v>H4</x:v>
      </x:c>
      <x:c r="B68" s="1" t="str">
        <x:v>S4</x:v>
      </x:c>
      <x:c r="C68" s="1" t="str">
        <x:v>Ни один</x:v>
      </x:c>
      <x:c r="D68" s="1" t="n">
        <x:v>0</x:v>
      </x:c>
      <x:c r="E68" s="1" t="n">
        <x:v>0</x:v>
      </x:c>
      <x:c r="F68" s="12" t="n">
        <x:f>'Когорты'!D8*'Когорты'!N8</x:f>
        <x:v>9719.999999999998</x:v>
      </x:c>
      <x:c r="G68" s="8" t="n">
        <x:f>'Когорты'!F8</x:f>
        <x:v>0.21</x:v>
      </x:c>
      <x:c r="H68" s="1" t="n">
        <x:f>'Когорты'!R8</x:f>
        <x:v>0.3</x:v>
      </x:c>
      <x:c r="I68" s="8" t="n">
        <x:f>IF('Когорты'!S8&gt;0,G68*H68/'Когорты'!S8,0)</x:f>
        <x:v>0.061439438267992974</x:v>
      </x:c>
      <x:c r="J68" s="1" t="n">
        <x:f>F68*I68</x:f>
        <x:v>597.1913399648915</x:v>
      </x:c>
      <x:c r="K68" s="8" t="n">
        <x:f>'Воздействие'!C20*D68</x:f>
        <x:v>0</x:v>
      </x:c>
      <x:c r="L68" s="8" t="n">
        <x:f>'Воздействие'!D20*E68</x:f>
        <x:v>0</x:v>
      </x:c>
      <x:c r="M68" s="8" t="n">
        <x:f>'Воздействие'!E20*D68*E68</x:f>
        <x:v>0</x:v>
      </x:c>
      <x:c r="N68" s="8" t="n">
        <x:f>K68+L68-M68</x:f>
        <x:v>0</x:v>
      </x:c>
      <x:c r="O68" s="1" t="n">
        <x:f>J68*'Параметры'!$B$10*N68</x:f>
        <x:v>0</x:v>
      </x:c>
      <x:c r="P68" s="8" t="n">
        <x:f>(1-'Воздействие'!F20*D68)*(1-'Воздействие'!G20*E68)</x:f>
        <x:v>1</x:v>
      </x:c>
      <x:c r="Q68" s="1" t="n">
        <x:f>J68*P68</x:f>
        <x:v>597.1913399648915</x:v>
      </x:c>
      <x:c r="R68" s="1" t="n">
        <x:f>O68*P68</x:f>
        <x:v>0</x:v>
      </x:c>
      <x:c r="S68" s="8" t="n">
        <x:f>(1-'Гипотезы'!D8)*(1-'Гипотезы'!E8)</x:f>
        <x:v>0.5625</x:v>
      </x:c>
      <x:c r="T68" s="12" t="n">
        <x:f>Q68+R68*S68</x:f>
        <x:v>597.1913399648915</x:v>
      </x:c>
      <x:c r="U68" s="12" t="n">
        <x:f>T68-J68</x:f>
        <x:v>0</x:v>
      </x:c>
      <x:c r="V68" s="12" t="n">
        <x:f>J68*'Когорты'!T8</x:f>
        <x:v>597191.3399648916</x:v>
      </x:c>
      <x:c r="W68" s="12" t="n">
        <x:f>Q68*'Когорты'!T8*(1+'Воздействие'!H20*N68)</x:f>
        <x:v>597191.3399648916</x:v>
      </x:c>
      <x:c r="X68" s="12" t="n">
        <x:f>R68*'Когорты'!T8*(1+'Воздействие'!H20*N68)</x:f>
        <x:v>0</x:v>
      </x:c>
      <x:c r="Y68" s="12" t="n">
        <x:f>W68+X68*S68</x:f>
        <x:v>597191.3399648916</x:v>
      </x:c>
      <x:c r="Z68" s="12" t="n">
        <x:f>F68*N68</x:f>
        <x:v>0</x:v>
      </x:c>
      <x:c r="AA68" s="12" t="n">
        <x:f>J68*D68</x:f>
        <x:v>0</x:v>
      </x:c>
      <x:c r="AB68" s="12" t="n">
        <x:f>Q68*D68</x:f>
        <x:v>0</x:v>
      </x:c>
      <x:c r="AC68" s="12" t="n">
        <x:f>R68*D68</x:f>
        <x:v>0</x:v>
      </x:c>
      <x:c r="AD68" s="12" t="n">
        <x:f>J68*E68</x:f>
        <x:v>0</x:v>
      </x:c>
      <x:c r="AE68" s="12" t="n">
        <x:f>Q68*E68</x:f>
        <x:v>0</x:v>
      </x:c>
      <x:c r="AF68" s="12" t="n">
        <x:f>R68*E68</x:f>
        <x:v>0</x:v>
      </x:c>
      <x:c r="AG68" s="1" t="n">
        <x:f>IF(AND(I68&gt;=0,I68&lt;=1,Q68+R68&lt;=F68+0.00000001,N68&gt;=0,N68&lt;=1),1,0)</x:f>
        <x:v>1</x:v>
      </x:c>
      <x:c r="AH68" s="1"/>
      <x:c r="AI68" s="1"/>
    </x:row>
    <x:row r="69" ht="24" customHeight="1">
      <x:c r="A69" s="1" t="str">
        <x:v>H5</x:v>
      </x:c>
      <x:c r="B69" s="1" t="str">
        <x:v>S1</x:v>
      </x:c>
      <x:c r="C69" s="1" t="str">
        <x:v>Только C</x:v>
      </x:c>
      <x:c r="D69" s="1" t="n">
        <x:v>1</x:v>
      </x:c>
      <x:c r="E69" s="1" t="n">
        <x:v>0</x:v>
      </x:c>
      <x:c r="F69" s="12" t="n">
        <x:f>'Когорты'!D5*'Когорты'!L5</x:f>
        <x:v>10920</x:v>
      </x:c>
      <x:c r="G69" s="8" t="n">
        <x:f>'Когорты'!F5</x:f>
        <x:v>0.3</x:v>
      </x:c>
      <x:c r="H69" s="1" t="n">
        <x:f>'Когорты'!O5</x:f>
        <x:v>1.5</x:v>
      </x:c>
      <x:c r="I69" s="8" t="n">
        <x:f>IF('Когорты'!S5&gt;0,G69*H69/'Когорты'!S5,0)</x:f>
        <x:v>0.43885313048566404</x:v>
      </x:c>
      <x:c r="J69" s="1" t="n">
        <x:f>F69*I69</x:f>
        <x:v>4792.276184903451</x:v>
      </x:c>
      <x:c r="K69" s="8" t="n">
        <x:f>'Воздействие'!C21*D69</x:f>
        <x:v>0</x:v>
      </x:c>
      <x:c r="L69" s="8" t="n">
        <x:f>'Воздействие'!D21*E69</x:f>
        <x:v>0</x:v>
      </x:c>
      <x:c r="M69" s="8" t="n">
        <x:f>'Воздействие'!E21*D69*E69</x:f>
        <x:v>0</x:v>
      </x:c>
      <x:c r="N69" s="8" t="n">
        <x:f>K69+L69-M69</x:f>
        <x:v>0</x:v>
      </x:c>
      <x:c r="O69" s="1" t="n">
        <x:f>J69*'Параметры'!$B$10*N69</x:f>
        <x:v>0</x:v>
      </x:c>
      <x:c r="P69" s="8" t="n">
        <x:f>(1-'Воздействие'!F21*D69)*(1-'Воздействие'!G21*E69)</x:f>
        <x:v>1</x:v>
      </x:c>
      <x:c r="Q69" s="1" t="n">
        <x:f>J69*P69</x:f>
        <x:v>4792.276184903451</x:v>
      </x:c>
      <x:c r="R69" s="1" t="n">
        <x:f>O69*P69</x:f>
        <x:v>0</x:v>
      </x:c>
      <x:c r="S69" s="8" t="n">
        <x:f>(1-'Гипотезы'!D9)*(1-'Гипотезы'!E9)</x:f>
        <x:v>0.5625</x:v>
      </x:c>
      <x:c r="T69" s="12" t="n">
        <x:f>Q69+R69*S69</x:f>
        <x:v>4792.276184903451</x:v>
      </x:c>
      <x:c r="U69" s="12" t="n">
        <x:f>T69-J69</x:f>
        <x:v>0</x:v>
      </x:c>
      <x:c r="V69" s="12" t="n">
        <x:f>J69*'Когорты'!T5</x:f>
        <x:v>4792276.184903451</x:v>
      </x:c>
      <x:c r="W69" s="12" t="n">
        <x:f>Q69*'Когорты'!T5*(1+'Воздействие'!H21*N69)</x:f>
        <x:v>4792276.184903451</x:v>
      </x:c>
      <x:c r="X69" s="12" t="n">
        <x:f>R69*'Когорты'!T5*(1+'Воздействие'!H21*N69)</x:f>
        <x:v>0</x:v>
      </x:c>
      <x:c r="Y69" s="12" t="n">
        <x:f>W69+X69*S69</x:f>
        <x:v>4792276.184903451</x:v>
      </x:c>
      <x:c r="Z69" s="12" t="n">
        <x:f>F69*N69</x:f>
        <x:v>0</x:v>
      </x:c>
      <x:c r="AA69" s="12" t="n">
        <x:f>J69*D69</x:f>
        <x:v>4792.276184903451</x:v>
      </x:c>
      <x:c r="AB69" s="12" t="n">
        <x:f>Q69*D69</x:f>
        <x:v>4792.276184903451</x:v>
      </x:c>
      <x:c r="AC69" s="12" t="n">
        <x:f>R69*D69</x:f>
        <x:v>0</x:v>
      </x:c>
      <x:c r="AD69" s="12" t="n">
        <x:f>J69*E69</x:f>
        <x:v>0</x:v>
      </x:c>
      <x:c r="AE69" s="12" t="n">
        <x:f>Q69*E69</x:f>
        <x:v>0</x:v>
      </x:c>
      <x:c r="AF69" s="12" t="n">
        <x:f>R69*E69</x:f>
        <x:v>0</x:v>
      </x:c>
      <x:c r="AG69" s="1" t="n">
        <x:f>IF(AND(I69&gt;=0,I69&lt;=1,Q69+R69&lt;=F69+0.00000001,N69&gt;=0,N69&lt;=1),1,0)</x:f>
        <x:v>1</x:v>
      </x:c>
      <x:c r="AH69" s="1"/>
      <x:c r="AI69" s="1"/>
    </x:row>
    <x:row r="70" ht="24" customHeight="1">
      <x:c r="A70" s="1" t="str">
        <x:v>H5</x:v>
      </x:c>
      <x:c r="B70" s="1" t="str">
        <x:v>S1</x:v>
      </x:c>
      <x:c r="C70" s="1" t="str">
        <x:v>Только F</x:v>
      </x:c>
      <x:c r="D70" s="1" t="n">
        <x:v>0</x:v>
      </x:c>
      <x:c r="E70" s="1" t="n">
        <x:v>1</x:v>
      </x:c>
      <x:c r="F70" s="12" t="n">
        <x:f>'Когорты'!D5*'Когорты'!M5</x:f>
        <x:v>519.9999999999999</x:v>
      </x:c>
      <x:c r="G70" s="8" t="n">
        <x:f>'Когорты'!F5</x:f>
        <x:v>0.3</x:v>
      </x:c>
      <x:c r="H70" s="1" t="n">
        <x:f>'Когорты'!P5</x:f>
        <x:v>0.2</x:v>
      </x:c>
      <x:c r="I70" s="8" t="n">
        <x:f>IF('Когорты'!S5&gt;0,G70*H70/'Когорты'!S5,0)</x:f>
        <x:v>0.05851375073142188</x:v>
      </x:c>
      <x:c r="J70" s="1" t="n">
        <x:f>F70*I70</x:f>
        <x:v>30.42715038033937</x:v>
      </x:c>
      <x:c r="K70" s="8" t="n">
        <x:f>'Воздействие'!C21*D70</x:f>
        <x:v>0</x:v>
      </x:c>
      <x:c r="L70" s="8" t="n">
        <x:f>'Воздействие'!D21*E70</x:f>
        <x:v>0.5</x:v>
      </x:c>
      <x:c r="M70" s="8" t="n">
        <x:f>'Воздействие'!E21*D70*E70</x:f>
        <x:v>0</x:v>
      </x:c>
      <x:c r="N70" s="8" t="n">
        <x:f>K70+L70-M70</x:f>
        <x:v>0.5</x:v>
      </x:c>
      <x:c r="O70" s="1" t="n">
        <x:f>J70*'Параметры'!$B$10*N70</x:f>
        <x:v>1.5213575190169686</x:v>
      </x:c>
      <x:c r="P70" s="8" t="n">
        <x:f>(1-'Воздействие'!F21*D70)*(1-'Воздействие'!G21*E70)</x:f>
        <x:v>1</x:v>
      </x:c>
      <x:c r="Q70" s="1" t="n">
        <x:f>J70*P70</x:f>
        <x:v>30.42715038033937</x:v>
      </x:c>
      <x:c r="R70" s="1" t="n">
        <x:f>O70*P70</x:f>
        <x:v>1.5213575190169686</x:v>
      </x:c>
      <x:c r="S70" s="8" t="n">
        <x:f>(1-'Гипотезы'!D9)*(1-'Гипотезы'!E9)</x:f>
        <x:v>0.5625</x:v>
      </x:c>
      <x:c r="T70" s="12" t="n">
        <x:f>Q70+R70*S70</x:f>
        <x:v>31.282913984786415</x:v>
      </x:c>
      <x:c r="U70" s="12" t="n">
        <x:f>T70-J70</x:f>
        <x:v>0.8557636044470449</x:v>
      </x:c>
      <x:c r="V70" s="12" t="n">
        <x:f>J70*'Когорты'!T5</x:f>
        <x:v>30427.15038033937</x:v>
      </x:c>
      <x:c r="W70" s="12" t="n">
        <x:f>Q70*'Когорты'!T5*(1+'Воздействие'!H21*N70)</x:f>
        <x:v>30427.15038033937</x:v>
      </x:c>
      <x:c r="X70" s="12" t="n">
        <x:f>R70*'Когорты'!T5*(1+'Воздействие'!H21*N70)</x:f>
        <x:v>1521.3575190169686</x:v>
      </x:c>
      <x:c r="Y70" s="12" t="n">
        <x:f>W70+X70*S70</x:f>
        <x:v>31282.913984786417</x:v>
      </x:c>
      <x:c r="Z70" s="12" t="n">
        <x:f>F70*N70</x:f>
        <x:v>259.99999999999994</x:v>
      </x:c>
      <x:c r="AA70" s="12" t="n">
        <x:f>J70*D70</x:f>
        <x:v>0</x:v>
      </x:c>
      <x:c r="AB70" s="12" t="n">
        <x:f>Q70*D70</x:f>
        <x:v>0</x:v>
      </x:c>
      <x:c r="AC70" s="12" t="n">
        <x:f>R70*D70</x:f>
        <x:v>0</x:v>
      </x:c>
      <x:c r="AD70" s="12" t="n">
        <x:f>J70*E70</x:f>
        <x:v>30.42715038033937</x:v>
      </x:c>
      <x:c r="AE70" s="12" t="n">
        <x:f>Q70*E70</x:f>
        <x:v>30.42715038033937</x:v>
      </x:c>
      <x:c r="AF70" s="12" t="n">
        <x:f>R70*E70</x:f>
        <x:v>1.5213575190169686</x:v>
      </x:c>
      <x:c r="AG70" s="1" t="n">
        <x:f>IF(AND(I70&gt;=0,I70&lt;=1,Q70+R70&lt;=F70+0.00000001,N70&gt;=0,N70&lt;=1),1,0)</x:f>
        <x:v>1</x:v>
      </x:c>
      <x:c r="AH70" s="1"/>
      <x:c r="AI70" s="1"/>
    </x:row>
    <x:row r="71" ht="24" customHeight="1">
      <x:c r="A71" s="1" t="str">
        <x:v>H5</x:v>
      </x:c>
      <x:c r="B71" s="1" t="str">
        <x:v>S1</x:v>
      </x:c>
      <x:c r="C71" s="1" t="str">
        <x:v>Оба</x:v>
      </x:c>
      <x:c r="D71" s="1" t="n">
        <x:v>1</x:v>
      </x:c>
      <x:c r="E71" s="1" t="n">
        <x:v>1</x:v>
      </x:c>
      <x:c r="F71" s="12" t="n">
        <x:f>'Когорты'!D5*'Когорты'!K5</x:f>
        <x:v>2080</x:v>
      </x:c>
      <x:c r="G71" s="8" t="n">
        <x:f>'Когорты'!F5</x:f>
        <x:v>0.3</x:v>
      </x:c>
      <x:c r="H71" s="1" t="n">
        <x:f>'Когорты'!Q5</x:f>
        <x:v>1</x:v>
      </x:c>
      <x:c r="I71" s="8" t="n">
        <x:f>IF('Когорты'!S5&gt;0,G71*H71/'Когорты'!S5,0)</x:f>
        <x:v>0.2925687536571094</x:v>
      </x:c>
      <x:c r="J71" s="1" t="n">
        <x:f>F71*I71</x:f>
        <x:v>608.5430076067876</x:v>
      </x:c>
      <x:c r="K71" s="8" t="n">
        <x:f>'Воздействие'!C21*D71</x:f>
        <x:v>0</x:v>
      </x:c>
      <x:c r="L71" s="8" t="n">
        <x:f>'Воздействие'!D21*E71</x:f>
        <x:v>0.5</x:v>
      </x:c>
      <x:c r="M71" s="8" t="n">
        <x:f>'Воздействие'!E21*D71*E71</x:f>
        <x:v>0</x:v>
      </x:c>
      <x:c r="N71" s="8" t="n">
        <x:f>K71+L71-M71</x:f>
        <x:v>0.5</x:v>
      </x:c>
      <x:c r="O71" s="1" t="n">
        <x:f>J71*'Параметры'!$B$10*N71</x:f>
        <x:v>30.42715038033938</x:v>
      </x:c>
      <x:c r="P71" s="8" t="n">
        <x:f>(1-'Воздействие'!F21*D71)*(1-'Воздействие'!G21*E71)</x:f>
        <x:v>1</x:v>
      </x:c>
      <x:c r="Q71" s="1" t="n">
        <x:f>J71*P71</x:f>
        <x:v>608.5430076067876</x:v>
      </x:c>
      <x:c r="R71" s="1" t="n">
        <x:f>O71*P71</x:f>
        <x:v>30.42715038033938</x:v>
      </x:c>
      <x:c r="S71" s="8" t="n">
        <x:f>(1-'Гипотезы'!D9)*(1-'Гипотезы'!E9)</x:f>
        <x:v>0.5625</x:v>
      </x:c>
      <x:c r="T71" s="12" t="n">
        <x:f>Q71+R71*S71</x:f>
        <x:v>625.6582796957284</x:v>
      </x:c>
      <x:c r="U71" s="12" t="n">
        <x:f>T71-J71</x:f>
        <x:v>17.115272088940856</x:v>
      </x:c>
      <x:c r="V71" s="12" t="n">
        <x:f>J71*'Когорты'!T5</x:f>
        <x:v>608543.0076067876</x:v>
      </x:c>
      <x:c r="W71" s="12" t="n">
        <x:f>Q71*'Когорты'!T5*(1+'Воздействие'!H21*N71)</x:f>
        <x:v>608543.0076067876</x:v>
      </x:c>
      <x:c r="X71" s="12" t="n">
        <x:f>R71*'Когорты'!T5*(1+'Воздействие'!H21*N71)</x:f>
        <x:v>30427.15038033938</x:v>
      </x:c>
      <x:c r="Y71" s="12" t="n">
        <x:f>W71+X71*S71</x:f>
        <x:v>625658.2796957286</x:v>
      </x:c>
      <x:c r="Z71" s="12" t="n">
        <x:f>F71*N71</x:f>
        <x:v>1040</x:v>
      </x:c>
      <x:c r="AA71" s="12" t="n">
        <x:f>J71*D71</x:f>
        <x:v>608.5430076067876</x:v>
      </x:c>
      <x:c r="AB71" s="12" t="n">
        <x:f>Q71*D71</x:f>
        <x:v>608.5430076067876</x:v>
      </x:c>
      <x:c r="AC71" s="12" t="n">
        <x:f>R71*D71</x:f>
        <x:v>30.42715038033938</x:v>
      </x:c>
      <x:c r="AD71" s="12" t="n">
        <x:f>J71*E71</x:f>
        <x:v>608.5430076067876</x:v>
      </x:c>
      <x:c r="AE71" s="12" t="n">
        <x:f>Q71*E71</x:f>
        <x:v>608.5430076067876</x:v>
      </x:c>
      <x:c r="AF71" s="12" t="n">
        <x:f>R71*E71</x:f>
        <x:v>30.42715038033938</x:v>
      </x:c>
      <x:c r="AG71" s="1" t="n">
        <x:f>IF(AND(I71&gt;=0,I71&lt;=1,Q71+R71&lt;=F71+0.00000001,N71&gt;=0,N71&lt;=1),1,0)</x:f>
        <x:v>1</x:v>
      </x:c>
      <x:c r="AH71" s="1"/>
      <x:c r="AI71" s="1"/>
    </x:row>
    <x:row r="72" ht="24" customHeight="1">
      <x:c r="A72" s="1" t="str">
        <x:v>H5</x:v>
      </x:c>
      <x:c r="B72" s="1" t="str">
        <x:v>S1</x:v>
      </x:c>
      <x:c r="C72" s="1" t="str">
        <x:v>Ни один</x:v>
      </x:c>
      <x:c r="D72" s="1" t="n">
        <x:v>0</x:v>
      </x:c>
      <x:c r="E72" s="1" t="n">
        <x:v>0</x:v>
      </x:c>
      <x:c r="F72" s="12" t="n">
        <x:f>'Когорты'!D5*'Когорты'!N5</x:f>
        <x:v>6479.999999999999</x:v>
      </x:c>
      <x:c r="G72" s="8" t="n">
        <x:f>'Когорты'!F5</x:f>
        <x:v>0.3</x:v>
      </x:c>
      <x:c r="H72" s="1" t="n">
        <x:f>'Когорты'!R5</x:f>
        <x:v>0.3</x:v>
      </x:c>
      <x:c r="I72" s="8" t="n">
        <x:f>IF('Когорты'!S5&gt;0,G72*H72/'Когорты'!S5,0)</x:f>
        <x:v>0.08777062609713282</x:v>
      </x:c>
      <x:c r="J72" s="1" t="n">
        <x:f>F72*I72</x:f>
        <x:v>568.7536571094206</x:v>
      </x:c>
      <x:c r="K72" s="8" t="n">
        <x:f>'Воздействие'!C21*D72</x:f>
        <x:v>0</x:v>
      </x:c>
      <x:c r="L72" s="8" t="n">
        <x:f>'Воздействие'!D21*E72</x:f>
        <x:v>0</x:v>
      </x:c>
      <x:c r="M72" s="8" t="n">
        <x:f>'Воздействие'!E21*D72*E72</x:f>
        <x:v>0</x:v>
      </x:c>
      <x:c r="N72" s="8" t="n">
        <x:f>K72+L72-M72</x:f>
        <x:v>0</x:v>
      </x:c>
      <x:c r="O72" s="1" t="n">
        <x:f>J72*'Параметры'!$B$10*N72</x:f>
        <x:v>0</x:v>
      </x:c>
      <x:c r="P72" s="8" t="n">
        <x:f>(1-'Воздействие'!F21*D72)*(1-'Воздействие'!G21*E72)</x:f>
        <x:v>1</x:v>
      </x:c>
      <x:c r="Q72" s="1" t="n">
        <x:f>J72*P72</x:f>
        <x:v>568.7536571094206</x:v>
      </x:c>
      <x:c r="R72" s="1" t="n">
        <x:f>O72*P72</x:f>
        <x:v>0</x:v>
      </x:c>
      <x:c r="S72" s="8" t="n">
        <x:f>(1-'Гипотезы'!D9)*(1-'Гипотезы'!E9)</x:f>
        <x:v>0.5625</x:v>
      </x:c>
      <x:c r="T72" s="12" t="n">
        <x:f>Q72+R72*S72</x:f>
        <x:v>568.7536571094206</x:v>
      </x:c>
      <x:c r="U72" s="12" t="n">
        <x:f>T72-J72</x:f>
        <x:v>0</x:v>
      </x:c>
      <x:c r="V72" s="12" t="n">
        <x:f>J72*'Когорты'!T5</x:f>
        <x:v>568753.6571094206</x:v>
      </x:c>
      <x:c r="W72" s="12" t="n">
        <x:f>Q72*'Когорты'!T5*(1+'Воздействие'!H21*N72)</x:f>
        <x:v>568753.6571094206</x:v>
      </x:c>
      <x:c r="X72" s="12" t="n">
        <x:f>R72*'Когорты'!T5*(1+'Воздействие'!H21*N72)</x:f>
        <x:v>0</x:v>
      </x:c>
      <x:c r="Y72" s="12" t="n">
        <x:f>W72+X72*S72</x:f>
        <x:v>568753.6571094206</x:v>
      </x:c>
      <x:c r="Z72" s="12" t="n">
        <x:f>F72*N72</x:f>
        <x:v>0</x:v>
      </x:c>
      <x:c r="AA72" s="12" t="n">
        <x:f>J72*D72</x:f>
        <x:v>0</x:v>
      </x:c>
      <x:c r="AB72" s="12" t="n">
        <x:f>Q72*D72</x:f>
        <x:v>0</x:v>
      </x:c>
      <x:c r="AC72" s="12" t="n">
        <x:f>R72*D72</x:f>
        <x:v>0</x:v>
      </x:c>
      <x:c r="AD72" s="12" t="n">
        <x:f>J72*E72</x:f>
        <x:v>0</x:v>
      </x:c>
      <x:c r="AE72" s="12" t="n">
        <x:f>Q72*E72</x:f>
        <x:v>0</x:v>
      </x:c>
      <x:c r="AF72" s="12" t="n">
        <x:f>R72*E72</x:f>
        <x:v>0</x:v>
      </x:c>
      <x:c r="AG72" s="1" t="n">
        <x:f>IF(AND(I72&gt;=0,I72&lt;=1,Q72+R72&lt;=F72+0.00000001,N72&gt;=0,N72&lt;=1),1,0)</x:f>
        <x:v>1</x:v>
      </x:c>
      <x:c r="AH72" s="1"/>
      <x:c r="AI72" s="1"/>
    </x:row>
    <x:row r="73" ht="24" customHeight="1">
      <x:c r="A73" s="1" t="str">
        <x:v>H5</x:v>
      </x:c>
      <x:c r="B73" s="1" t="str">
        <x:v>S2</x:v>
      </x:c>
      <x:c r="C73" s="1" t="str">
        <x:v>Только C</x:v>
      </x:c>
      <x:c r="D73" s="1" t="n">
        <x:v>1</x:v>
      </x:c>
      <x:c r="E73" s="1" t="n">
        <x:v>0</x:v>
      </x:c>
      <x:c r="F73" s="12" t="n">
        <x:f>'Когорты'!D6*'Когорты'!L6</x:f>
        <x:v>10920</x:v>
      </x:c>
      <x:c r="G73" s="8" t="n">
        <x:f>'Когорты'!F6</x:f>
        <x:v>0.21</x:v>
      </x:c>
      <x:c r="H73" s="1" t="n">
        <x:f>'Когорты'!O6</x:f>
        <x:v>1.5</x:v>
      </x:c>
      <x:c r="I73" s="8" t="n">
        <x:f>IF('Когорты'!S6&gt;0,G73*H73/'Когорты'!S6,0)</x:f>
        <x:v>0.30719719133996487</x:v>
      </x:c>
      <x:c r="J73" s="1" t="n">
        <x:f>F73*I73</x:f>
        <x:v>3354.5933294324163</x:v>
      </x:c>
      <x:c r="K73" s="8" t="n">
        <x:f>'Воздействие'!C22*D73</x:f>
        <x:v>0</x:v>
      </x:c>
      <x:c r="L73" s="8" t="n">
        <x:f>'Воздействие'!D22*E73</x:f>
        <x:v>0</x:v>
      </x:c>
      <x:c r="M73" s="8" t="n">
        <x:f>'Воздействие'!E22*D73*E73</x:f>
        <x:v>0</x:v>
      </x:c>
      <x:c r="N73" s="8" t="n">
        <x:f>K73+L73-M73</x:f>
        <x:v>0</x:v>
      </x:c>
      <x:c r="O73" s="1" t="n">
        <x:f>J73*'Параметры'!$B$10*N73</x:f>
        <x:v>0</x:v>
      </x:c>
      <x:c r="P73" s="8" t="n">
        <x:f>(1-'Воздействие'!F22*D73)*(1-'Воздействие'!G22*E73)</x:f>
        <x:v>1</x:v>
      </x:c>
      <x:c r="Q73" s="1" t="n">
        <x:f>J73*P73</x:f>
        <x:v>3354.5933294324163</x:v>
      </x:c>
      <x:c r="R73" s="1" t="n">
        <x:f>O73*P73</x:f>
        <x:v>0</x:v>
      </x:c>
      <x:c r="S73" s="8" t="n">
        <x:f>(1-'Гипотезы'!D9)*(1-'Гипотезы'!E9)</x:f>
        <x:v>0.5625</x:v>
      </x:c>
      <x:c r="T73" s="12" t="n">
        <x:f>Q73+R73*S73</x:f>
        <x:v>3354.5933294324163</x:v>
      </x:c>
      <x:c r="U73" s="12" t="n">
        <x:f>T73-J73</x:f>
        <x:v>0</x:v>
      </x:c>
      <x:c r="V73" s="12" t="n">
        <x:f>J73*'Когорты'!T6</x:f>
        <x:v>3354593.3294324162</x:v>
      </x:c>
      <x:c r="W73" s="12" t="n">
        <x:f>Q73*'Когорты'!T6*(1+'Воздействие'!H22*N73)</x:f>
        <x:v>3354593.3294324162</x:v>
      </x:c>
      <x:c r="X73" s="12" t="n">
        <x:f>R73*'Когорты'!T6*(1+'Воздействие'!H22*N73)</x:f>
        <x:v>0</x:v>
      </x:c>
      <x:c r="Y73" s="12" t="n">
        <x:f>W73+X73*S73</x:f>
        <x:v>3354593.3294324162</x:v>
      </x:c>
      <x:c r="Z73" s="12" t="n">
        <x:f>F73*N73</x:f>
        <x:v>0</x:v>
      </x:c>
      <x:c r="AA73" s="12" t="n">
        <x:f>J73*D73</x:f>
        <x:v>3354.5933294324163</x:v>
      </x:c>
      <x:c r="AB73" s="12" t="n">
        <x:f>Q73*D73</x:f>
        <x:v>3354.5933294324163</x:v>
      </x:c>
      <x:c r="AC73" s="12" t="n">
        <x:f>R73*D73</x:f>
        <x:v>0</x:v>
      </x:c>
      <x:c r="AD73" s="12" t="n">
        <x:f>J73*E73</x:f>
        <x:v>0</x:v>
      </x:c>
      <x:c r="AE73" s="12" t="n">
        <x:f>Q73*E73</x:f>
        <x:v>0</x:v>
      </x:c>
      <x:c r="AF73" s="12" t="n">
        <x:f>R73*E73</x:f>
        <x:v>0</x:v>
      </x:c>
      <x:c r="AG73" s="1" t="n">
        <x:f>IF(AND(I73&gt;=0,I73&lt;=1,Q73+R73&lt;=F73+0.00000001,N73&gt;=0,N73&lt;=1),1,0)</x:f>
        <x:v>1</x:v>
      </x:c>
      <x:c r="AH73" s="1"/>
      <x:c r="AI73" s="1"/>
    </x:row>
    <x:row r="74" ht="24" customHeight="1">
      <x:c r="A74" s="1" t="str">
        <x:v>H5</x:v>
      </x:c>
      <x:c r="B74" s="1" t="str">
        <x:v>S2</x:v>
      </x:c>
      <x:c r="C74" s="1" t="str">
        <x:v>Только F</x:v>
      </x:c>
      <x:c r="D74" s="1" t="n">
        <x:v>0</x:v>
      </x:c>
      <x:c r="E74" s="1" t="n">
        <x:v>1</x:v>
      </x:c>
      <x:c r="F74" s="12" t="n">
        <x:f>'Когорты'!D6*'Когорты'!M6</x:f>
        <x:v>519.9999999999999</x:v>
      </x:c>
      <x:c r="G74" s="8" t="n">
        <x:f>'Когорты'!F6</x:f>
        <x:v>0.21</x:v>
      </x:c>
      <x:c r="H74" s="1" t="n">
        <x:f>'Когорты'!P6</x:f>
        <x:v>0.2</x:v>
      </x:c>
      <x:c r="I74" s="8" t="n">
        <x:f>IF('Когорты'!S6&gt;0,G74*H74/'Когорты'!S6,0)</x:f>
        <x:v>0.04095962551199532</x:v>
      </x:c>
      <x:c r="J74" s="1" t="n">
        <x:f>F74*I74</x:f>
        <x:v>21.29900526623756</x:v>
      </x:c>
      <x:c r="K74" s="8" t="n">
        <x:f>'Воздействие'!C22*D74</x:f>
        <x:v>0</x:v>
      </x:c>
      <x:c r="L74" s="8" t="n">
        <x:f>'Воздействие'!D22*E74</x:f>
        <x:v>0.5</x:v>
      </x:c>
      <x:c r="M74" s="8" t="n">
        <x:f>'Воздействие'!E22*D74*E74</x:f>
        <x:v>0</x:v>
      </x:c>
      <x:c r="N74" s="8" t="n">
        <x:f>K74+L74-M74</x:f>
        <x:v>0.5</x:v>
      </x:c>
      <x:c r="O74" s="1" t="n">
        <x:f>J74*'Параметры'!$B$10*N74</x:f>
        <x:v>1.0649502633118781</x:v>
      </x:c>
      <x:c r="P74" s="8" t="n">
        <x:f>(1-'Воздействие'!F22*D74)*(1-'Воздействие'!G22*E74)</x:f>
        <x:v>1</x:v>
      </x:c>
      <x:c r="Q74" s="1" t="n">
        <x:f>J74*P74</x:f>
        <x:v>21.29900526623756</x:v>
      </x:c>
      <x:c r="R74" s="1" t="n">
        <x:f>O74*P74</x:f>
        <x:v>1.0649502633118781</x:v>
      </x:c>
      <x:c r="S74" s="8" t="n">
        <x:f>(1-'Гипотезы'!D9)*(1-'Гипотезы'!E9)</x:f>
        <x:v>0.5625</x:v>
      </x:c>
      <x:c r="T74" s="12" t="n">
        <x:f>Q74+R74*S74</x:f>
        <x:v>21.89803978935049</x:v>
      </x:c>
      <x:c r="U74" s="12" t="n">
        <x:f>T74-J74</x:f>
        <x:v>0.5990345231129304</x:v>
      </x:c>
      <x:c r="V74" s="12" t="n">
        <x:f>J74*'Когорты'!T6</x:f>
        <x:v>21299.00526623756</x:v>
      </x:c>
      <x:c r="W74" s="12" t="n">
        <x:f>Q74*'Когорты'!T6*(1+'Воздействие'!H22*N74)</x:f>
        <x:v>21299.00526623756</x:v>
      </x:c>
      <x:c r="X74" s="12" t="n">
        <x:f>R74*'Когорты'!T6*(1+'Воздействие'!H22*N74)</x:f>
        <x:v>1064.9502633118782</x:v>
      </x:c>
      <x:c r="Y74" s="12" t="n">
        <x:f>W74+X74*S74</x:f>
        <x:v>21898.039789350492</x:v>
      </x:c>
      <x:c r="Z74" s="12" t="n">
        <x:f>F74*N74</x:f>
        <x:v>259.99999999999994</x:v>
      </x:c>
      <x:c r="AA74" s="12" t="n">
        <x:f>J74*D74</x:f>
        <x:v>0</x:v>
      </x:c>
      <x:c r="AB74" s="12" t="n">
        <x:f>Q74*D74</x:f>
        <x:v>0</x:v>
      </x:c>
      <x:c r="AC74" s="12" t="n">
        <x:f>R74*D74</x:f>
        <x:v>0</x:v>
      </x:c>
      <x:c r="AD74" s="12" t="n">
        <x:f>J74*E74</x:f>
        <x:v>21.29900526623756</x:v>
      </x:c>
      <x:c r="AE74" s="12" t="n">
        <x:f>Q74*E74</x:f>
        <x:v>21.29900526623756</x:v>
      </x:c>
      <x:c r="AF74" s="12" t="n">
        <x:f>R74*E74</x:f>
        <x:v>1.0649502633118781</x:v>
      </x:c>
      <x:c r="AG74" s="1" t="n">
        <x:f>IF(AND(I74&gt;=0,I74&lt;=1,Q74+R74&lt;=F74+0.00000001,N74&gt;=0,N74&lt;=1),1,0)</x:f>
        <x:v>1</x:v>
      </x:c>
      <x:c r="AH74" s="1"/>
      <x:c r="AI74" s="1"/>
    </x:row>
    <x:row r="75" ht="24" customHeight="1">
      <x:c r="A75" s="1" t="str">
        <x:v>H5</x:v>
      </x:c>
      <x:c r="B75" s="1" t="str">
        <x:v>S2</x:v>
      </x:c>
      <x:c r="C75" s="1" t="str">
        <x:v>Оба</x:v>
      </x:c>
      <x:c r="D75" s="1" t="n">
        <x:v>1</x:v>
      </x:c>
      <x:c r="E75" s="1" t="n">
        <x:v>1</x:v>
      </x:c>
      <x:c r="F75" s="12" t="n">
        <x:f>'Когорты'!D6*'Когорты'!K6</x:f>
        <x:v>2080</x:v>
      </x:c>
      <x:c r="G75" s="8" t="n">
        <x:f>'Когорты'!F6</x:f>
        <x:v>0.21</x:v>
      </x:c>
      <x:c r="H75" s="1" t="n">
        <x:f>'Когорты'!Q6</x:f>
        <x:v>1</x:v>
      </x:c>
      <x:c r="I75" s="8" t="n">
        <x:f>IF('Когорты'!S6&gt;0,G75*H75/'Когорты'!S6,0)</x:f>
        <x:v>0.20479812755997656</x:v>
      </x:c>
      <x:c r="J75" s="1" t="n">
        <x:f>F75*I75</x:f>
        <x:v>425.98010532475126</x:v>
      </x:c>
      <x:c r="K75" s="8" t="n">
        <x:f>'Воздействие'!C22*D75</x:f>
        <x:v>0</x:v>
      </x:c>
      <x:c r="L75" s="8" t="n">
        <x:f>'Воздействие'!D22*E75</x:f>
        <x:v>0.5</x:v>
      </x:c>
      <x:c r="M75" s="8" t="n">
        <x:f>'Воздействие'!E22*D75*E75</x:f>
        <x:v>0</x:v>
      </x:c>
      <x:c r="N75" s="8" t="n">
        <x:f>K75+L75-M75</x:f>
        <x:v>0.5</x:v>
      </x:c>
      <x:c r="O75" s="1" t="n">
        <x:f>J75*'Параметры'!$B$10*N75</x:f>
        <x:v>21.299005266237565</x:v>
      </x:c>
      <x:c r="P75" s="8" t="n">
        <x:f>(1-'Воздействие'!F22*D75)*(1-'Воздействие'!G22*E75)</x:f>
        <x:v>1</x:v>
      </x:c>
      <x:c r="Q75" s="1" t="n">
        <x:f>J75*P75</x:f>
        <x:v>425.98010532475126</x:v>
      </x:c>
      <x:c r="R75" s="1" t="n">
        <x:f>O75*P75</x:f>
        <x:v>21.299005266237565</x:v>
      </x:c>
      <x:c r="S75" s="8" t="n">
        <x:f>(1-'Гипотезы'!D9)*(1-'Гипотезы'!E9)</x:f>
        <x:v>0.5625</x:v>
      </x:c>
      <x:c r="T75" s="12" t="n">
        <x:f>Q75+R75*S75</x:f>
        <x:v>437.9607957870099</x:v>
      </x:c>
      <x:c r="U75" s="12" t="n">
        <x:f>T75-J75</x:f>
        <x:v>11.980690462258622</x:v>
      </x:c>
      <x:c r="V75" s="12" t="n">
        <x:f>J75*'Когорты'!T6</x:f>
        <x:v>425980.1053247513</x:v>
      </x:c>
      <x:c r="W75" s="12" t="n">
        <x:f>Q75*'Когорты'!T6*(1+'Воздействие'!H22*N75)</x:f>
        <x:v>425980.1053247513</x:v>
      </x:c>
      <x:c r="X75" s="12" t="n">
        <x:f>R75*'Когорты'!T6*(1+'Воздействие'!H22*N75)</x:f>
        <x:v>21299.005266237564</x:v>
      </x:c>
      <x:c r="Y75" s="12" t="n">
        <x:f>W75+X75*S75</x:f>
        <x:v>437960.79578700993</x:v>
      </x:c>
      <x:c r="Z75" s="12" t="n">
        <x:f>F75*N75</x:f>
        <x:v>1040</x:v>
      </x:c>
      <x:c r="AA75" s="12" t="n">
        <x:f>J75*D75</x:f>
        <x:v>425.98010532475126</x:v>
      </x:c>
      <x:c r="AB75" s="12" t="n">
        <x:f>Q75*D75</x:f>
        <x:v>425.98010532475126</x:v>
      </x:c>
      <x:c r="AC75" s="12" t="n">
        <x:f>R75*D75</x:f>
        <x:v>21.299005266237565</x:v>
      </x:c>
      <x:c r="AD75" s="12" t="n">
        <x:f>J75*E75</x:f>
        <x:v>425.98010532475126</x:v>
      </x:c>
      <x:c r="AE75" s="12" t="n">
        <x:f>Q75*E75</x:f>
        <x:v>425.98010532475126</x:v>
      </x:c>
      <x:c r="AF75" s="12" t="n">
        <x:f>R75*E75</x:f>
        <x:v>21.299005266237565</x:v>
      </x:c>
      <x:c r="AG75" s="1" t="n">
        <x:f>IF(AND(I75&gt;=0,I75&lt;=1,Q75+R75&lt;=F75+0.00000001,N75&gt;=0,N75&lt;=1),1,0)</x:f>
        <x:v>1</x:v>
      </x:c>
      <x:c r="AH75" s="1"/>
      <x:c r="AI75" s="1"/>
    </x:row>
    <x:row r="76" ht="24" customHeight="1">
      <x:c r="A76" s="1" t="str">
        <x:v>H5</x:v>
      </x:c>
      <x:c r="B76" s="1" t="str">
        <x:v>S2</x:v>
      </x:c>
      <x:c r="C76" s="1" t="str">
        <x:v>Ни один</x:v>
      </x:c>
      <x:c r="D76" s="1" t="n">
        <x:v>0</x:v>
      </x:c>
      <x:c r="E76" s="1" t="n">
        <x:v>0</x:v>
      </x:c>
      <x:c r="F76" s="12" t="n">
        <x:f>'Когорты'!D6*'Когорты'!N6</x:f>
        <x:v>6479.999999999999</x:v>
      </x:c>
      <x:c r="G76" s="8" t="n">
        <x:f>'Когорты'!F6</x:f>
        <x:v>0.21</x:v>
      </x:c>
      <x:c r="H76" s="1" t="n">
        <x:f>'Когорты'!R6</x:f>
        <x:v>0.3</x:v>
      </x:c>
      <x:c r="I76" s="8" t="n">
        <x:f>IF('Когорты'!S6&gt;0,G76*H76/'Когорты'!S6,0)</x:f>
        <x:v>0.061439438267992974</x:v>
      </x:c>
      <x:c r="J76" s="1" t="n">
        <x:f>F76*I76</x:f>
        <x:v>398.1275599765944</x:v>
      </x:c>
      <x:c r="K76" s="8" t="n">
        <x:f>'Воздействие'!C22*D76</x:f>
        <x:v>0</x:v>
      </x:c>
      <x:c r="L76" s="8" t="n">
        <x:f>'Воздействие'!D22*E76</x:f>
        <x:v>0</x:v>
      </x:c>
      <x:c r="M76" s="8" t="n">
        <x:f>'Воздействие'!E22*D76*E76</x:f>
        <x:v>0</x:v>
      </x:c>
      <x:c r="N76" s="8" t="n">
        <x:f>K76+L76-M76</x:f>
        <x:v>0</x:v>
      </x:c>
      <x:c r="O76" s="1" t="n">
        <x:f>J76*'Параметры'!$B$10*N76</x:f>
        <x:v>0</x:v>
      </x:c>
      <x:c r="P76" s="8" t="n">
        <x:f>(1-'Воздействие'!F22*D76)*(1-'Воздействие'!G22*E76)</x:f>
        <x:v>1</x:v>
      </x:c>
      <x:c r="Q76" s="1" t="n">
        <x:f>J76*P76</x:f>
        <x:v>398.1275599765944</x:v>
      </x:c>
      <x:c r="R76" s="1" t="n">
        <x:f>O76*P76</x:f>
        <x:v>0</x:v>
      </x:c>
      <x:c r="S76" s="8" t="n">
        <x:f>(1-'Гипотезы'!D9)*(1-'Гипотезы'!E9)</x:f>
        <x:v>0.5625</x:v>
      </x:c>
      <x:c r="T76" s="12" t="n">
        <x:f>Q76+R76*S76</x:f>
        <x:v>398.1275599765944</x:v>
      </x:c>
      <x:c r="U76" s="12" t="n">
        <x:f>T76-J76</x:f>
        <x:v>0</x:v>
      </x:c>
      <x:c r="V76" s="12" t="n">
        <x:f>J76*'Когорты'!T6</x:f>
        <x:v>398127.5599765944</x:v>
      </x:c>
      <x:c r="W76" s="12" t="n">
        <x:f>Q76*'Когорты'!T6*(1+'Воздействие'!H22*N76)</x:f>
        <x:v>398127.5599765944</x:v>
      </x:c>
      <x:c r="X76" s="12" t="n">
        <x:f>R76*'Когорты'!T6*(1+'Воздействие'!H22*N76)</x:f>
        <x:v>0</x:v>
      </x:c>
      <x:c r="Y76" s="12" t="n">
        <x:f>W76+X76*S76</x:f>
        <x:v>398127.5599765944</x:v>
      </x:c>
      <x:c r="Z76" s="12" t="n">
        <x:f>F76*N76</x:f>
        <x:v>0</x:v>
      </x:c>
      <x:c r="AA76" s="12" t="n">
        <x:f>J76*D76</x:f>
        <x:v>0</x:v>
      </x:c>
      <x:c r="AB76" s="12" t="n">
        <x:f>Q76*D76</x:f>
        <x:v>0</x:v>
      </x:c>
      <x:c r="AC76" s="12" t="n">
        <x:f>R76*D76</x:f>
        <x:v>0</x:v>
      </x:c>
      <x:c r="AD76" s="12" t="n">
        <x:f>J76*E76</x:f>
        <x:v>0</x:v>
      </x:c>
      <x:c r="AE76" s="12" t="n">
        <x:f>Q76*E76</x:f>
        <x:v>0</x:v>
      </x:c>
      <x:c r="AF76" s="12" t="n">
        <x:f>R76*E76</x:f>
        <x:v>0</x:v>
      </x:c>
      <x:c r="AG76" s="1" t="n">
        <x:f>IF(AND(I76&gt;=0,I76&lt;=1,Q76+R76&lt;=F76+0.00000001,N76&gt;=0,N76&lt;=1),1,0)</x:f>
        <x:v>1</x:v>
      </x:c>
      <x:c r="AH76" s="1"/>
      <x:c r="AI76" s="1"/>
    </x:row>
    <x:row r="77" ht="24" customHeight="1">
      <x:c r="A77" s="1" t="str">
        <x:v>H5</x:v>
      </x:c>
      <x:c r="B77" s="1" t="str">
        <x:v>S3</x:v>
      </x:c>
      <x:c r="C77" s="1" t="str">
        <x:v>Только C</x:v>
      </x:c>
      <x:c r="D77" s="1" t="n">
        <x:v>1</x:v>
      </x:c>
      <x:c r="E77" s="1" t="n">
        <x:v>0</x:v>
      </x:c>
      <x:c r="F77" s="12" t="n">
        <x:f>'Когорты'!D7*'Когорты'!L7</x:f>
        <x:v>16380.000000000002</x:v>
      </x:c>
      <x:c r="G77" s="8" t="n">
        <x:f>'Когорты'!F7</x:f>
        <x:v>0.12</x:v>
      </x:c>
      <x:c r="H77" s="1" t="n">
        <x:f>'Когорты'!O7</x:f>
        <x:v>1.5</x:v>
      </x:c>
      <x:c r="I77" s="8" t="n">
        <x:f>IF('Когорты'!S7&gt;0,G77*H77/'Когорты'!S7,0)</x:f>
        <x:v>0.17554125219426564</x:v>
      </x:c>
      <x:c r="J77" s="1" t="n">
        <x:f>F77*I77</x:f>
        <x:v>2875.3657109420715</x:v>
      </x:c>
      <x:c r="K77" s="8" t="n">
        <x:f>'Воздействие'!C23*D77</x:f>
        <x:v>0</x:v>
      </x:c>
      <x:c r="L77" s="8" t="n">
        <x:f>'Воздействие'!D23*E77</x:f>
        <x:v>0</x:v>
      </x:c>
      <x:c r="M77" s="8" t="n">
        <x:f>'Воздействие'!E23*D77*E77</x:f>
        <x:v>0</x:v>
      </x:c>
      <x:c r="N77" s="8" t="n">
        <x:f>K77+L77-M77</x:f>
        <x:v>0</x:v>
      </x:c>
      <x:c r="O77" s="1" t="n">
        <x:f>J77*'Параметры'!$B$10*N77</x:f>
        <x:v>0</x:v>
      </x:c>
      <x:c r="P77" s="8" t="n">
        <x:f>(1-'Воздействие'!F23*D77)*(1-'Воздействие'!G23*E77)</x:f>
        <x:v>1</x:v>
      </x:c>
      <x:c r="Q77" s="1" t="n">
        <x:f>J77*P77</x:f>
        <x:v>2875.3657109420715</x:v>
      </x:c>
      <x:c r="R77" s="1" t="n">
        <x:f>O77*P77</x:f>
        <x:v>0</x:v>
      </x:c>
      <x:c r="S77" s="8" t="n">
        <x:f>(1-'Гипотезы'!D9)*(1-'Гипотезы'!E9)</x:f>
        <x:v>0.5625</x:v>
      </x:c>
      <x:c r="T77" s="12" t="n">
        <x:f>Q77+R77*S77</x:f>
        <x:v>2875.3657109420715</x:v>
      </x:c>
      <x:c r="U77" s="12" t="n">
        <x:f>T77-J77</x:f>
        <x:v>0</x:v>
      </x:c>
      <x:c r="V77" s="12" t="n">
        <x:f>J77*'Когорты'!T7</x:f>
        <x:v>2875365.7109420714</x:v>
      </x:c>
      <x:c r="W77" s="12" t="n">
        <x:f>Q77*'Когорты'!T7*(1+'Воздействие'!H23*N77)</x:f>
        <x:v>2875365.7109420714</x:v>
      </x:c>
      <x:c r="X77" s="12" t="n">
        <x:f>R77*'Когорты'!T7*(1+'Воздействие'!H23*N77)</x:f>
        <x:v>0</x:v>
      </x:c>
      <x:c r="Y77" s="12" t="n">
        <x:f>W77+X77*S77</x:f>
        <x:v>2875365.7109420714</x:v>
      </x:c>
      <x:c r="Z77" s="12" t="n">
        <x:f>F77*N77</x:f>
        <x:v>0</x:v>
      </x:c>
      <x:c r="AA77" s="12" t="n">
        <x:f>J77*D77</x:f>
        <x:v>2875.3657109420715</x:v>
      </x:c>
      <x:c r="AB77" s="12" t="n">
        <x:f>Q77*D77</x:f>
        <x:v>2875.3657109420715</x:v>
      </x:c>
      <x:c r="AC77" s="12" t="n">
        <x:f>R77*D77</x:f>
        <x:v>0</x:v>
      </x:c>
      <x:c r="AD77" s="12" t="n">
        <x:f>J77*E77</x:f>
        <x:v>0</x:v>
      </x:c>
      <x:c r="AE77" s="12" t="n">
        <x:f>Q77*E77</x:f>
        <x:v>0</x:v>
      </x:c>
      <x:c r="AF77" s="12" t="n">
        <x:f>R77*E77</x:f>
        <x:v>0</x:v>
      </x:c>
      <x:c r="AG77" s="1" t="n">
        <x:f>IF(AND(I77&gt;=0,I77&lt;=1,Q77+R77&lt;=F77+0.00000001,N77&gt;=0,N77&lt;=1),1,0)</x:f>
        <x:v>1</x:v>
      </x:c>
      <x:c r="AH77" s="1"/>
      <x:c r="AI77" s="1"/>
    </x:row>
    <x:row r="78" ht="24" customHeight="1">
      <x:c r="A78" s="1" t="str">
        <x:v>H5</x:v>
      </x:c>
      <x:c r="B78" s="1" t="str">
        <x:v>S3</x:v>
      </x:c>
      <x:c r="C78" s="1" t="str">
        <x:v>Только F</x:v>
      </x:c>
      <x:c r="D78" s="1" t="n">
        <x:v>0</x:v>
      </x:c>
      <x:c r="E78" s="1" t="n">
        <x:v>1</x:v>
      </x:c>
      <x:c r="F78" s="12" t="n">
        <x:f>'Когорты'!D7*'Когорты'!M7</x:f>
        <x:v>779.9999999999999</x:v>
      </x:c>
      <x:c r="G78" s="8" t="n">
        <x:f>'Когорты'!F7</x:f>
        <x:v>0.12</x:v>
      </x:c>
      <x:c r="H78" s="1" t="n">
        <x:f>'Когорты'!P7</x:f>
        <x:v>0.2</x:v>
      </x:c>
      <x:c r="I78" s="8" t="n">
        <x:f>IF('Когорты'!S7&gt;0,G78*H78/'Когорты'!S7,0)</x:f>
        <x:v>0.023405500292568753</x:v>
      </x:c>
      <x:c r="J78" s="1" t="n">
        <x:f>F78*I78</x:f>
        <x:v>18.256290228203625</x:v>
      </x:c>
      <x:c r="K78" s="8" t="n">
        <x:f>'Воздействие'!C23*D78</x:f>
        <x:v>0</x:v>
      </x:c>
      <x:c r="L78" s="8" t="n">
        <x:f>'Воздействие'!D23*E78</x:f>
        <x:v>0.2</x:v>
      </x:c>
      <x:c r="M78" s="8" t="n">
        <x:f>'Воздействие'!E23*D78*E78</x:f>
        <x:v>0</x:v>
      </x:c>
      <x:c r="N78" s="8" t="n">
        <x:f>K78+L78-M78</x:f>
        <x:v>0.2</x:v>
      </x:c>
      <x:c r="O78" s="1" t="n">
        <x:f>J78*'Параметры'!$B$10*N78</x:f>
        <x:v>0.36512580456407256</x:v>
      </x:c>
      <x:c r="P78" s="8" t="n">
        <x:f>(1-'Воздействие'!F23*D78)*(1-'Воздействие'!G23*E78)</x:f>
        <x:v>1</x:v>
      </x:c>
      <x:c r="Q78" s="1" t="n">
        <x:f>J78*P78</x:f>
        <x:v>18.256290228203625</x:v>
      </x:c>
      <x:c r="R78" s="1" t="n">
        <x:f>O78*P78</x:f>
        <x:v>0.36512580456407256</x:v>
      </x:c>
      <x:c r="S78" s="8" t="n">
        <x:f>(1-'Гипотезы'!D9)*(1-'Гипотезы'!E9)</x:f>
        <x:v>0.5625</x:v>
      </x:c>
      <x:c r="T78" s="12" t="n">
        <x:f>Q78+R78*S78</x:f>
        <x:v>18.461673493270915</x:v>
      </x:c>
      <x:c r="U78" s="12" t="n">
        <x:f>T78-J78</x:f>
        <x:v>0.2053832650672902</x:v>
      </x:c>
      <x:c r="V78" s="12" t="n">
        <x:f>J78*'Когорты'!T7</x:f>
        <x:v>18256.290228203623</x:v>
      </x:c>
      <x:c r="W78" s="12" t="n">
        <x:f>Q78*'Когорты'!T7*(1+'Воздействие'!H23*N78)</x:f>
        <x:v>18256.290228203623</x:v>
      </x:c>
      <x:c r="X78" s="12" t="n">
        <x:f>R78*'Когорты'!T7*(1+'Воздействие'!H23*N78)</x:f>
        <x:v>365.12580456407255</x:v>
      </x:c>
      <x:c r="Y78" s="12" t="n">
        <x:f>W78+X78*S78</x:f>
        <x:v>18461.673493270915</x:v>
      </x:c>
      <x:c r="Z78" s="12" t="n">
        <x:f>F78*N78</x:f>
        <x:v>156</x:v>
      </x:c>
      <x:c r="AA78" s="12" t="n">
        <x:f>J78*D78</x:f>
        <x:v>0</x:v>
      </x:c>
      <x:c r="AB78" s="12" t="n">
        <x:f>Q78*D78</x:f>
        <x:v>0</x:v>
      </x:c>
      <x:c r="AC78" s="12" t="n">
        <x:f>R78*D78</x:f>
        <x:v>0</x:v>
      </x:c>
      <x:c r="AD78" s="12" t="n">
        <x:f>J78*E78</x:f>
        <x:v>18.256290228203625</x:v>
      </x:c>
      <x:c r="AE78" s="12" t="n">
        <x:f>Q78*E78</x:f>
        <x:v>18.256290228203625</x:v>
      </x:c>
      <x:c r="AF78" s="12" t="n">
        <x:f>R78*E78</x:f>
        <x:v>0.36512580456407256</x:v>
      </x:c>
      <x:c r="AG78" s="1" t="n">
        <x:f>IF(AND(I78&gt;=0,I78&lt;=1,Q78+R78&lt;=F78+0.00000001,N78&gt;=0,N78&lt;=1),1,0)</x:f>
        <x:v>1</x:v>
      </x:c>
      <x:c r="AH78" s="1"/>
      <x:c r="AI78" s="1"/>
    </x:row>
    <x:row r="79" ht="24" customHeight="1">
      <x:c r="A79" s="1" t="str">
        <x:v>H5</x:v>
      </x:c>
      <x:c r="B79" s="1" t="str">
        <x:v>S3</x:v>
      </x:c>
      <x:c r="C79" s="1" t="str">
        <x:v>Оба</x:v>
      </x:c>
      <x:c r="D79" s="1" t="n">
        <x:v>1</x:v>
      </x:c>
      <x:c r="E79" s="1" t="n">
        <x:v>1</x:v>
      </x:c>
      <x:c r="F79" s="12" t="n">
        <x:f>'Когорты'!D7*'Когорты'!K7</x:f>
        <x:v>3120.0000000000005</x:v>
      </x:c>
      <x:c r="G79" s="8" t="n">
        <x:f>'Когорты'!F7</x:f>
        <x:v>0.12</x:v>
      </x:c>
      <x:c r="H79" s="1" t="n">
        <x:f>'Когорты'!Q7</x:f>
        <x:v>1</x:v>
      </x:c>
      <x:c r="I79" s="8" t="n">
        <x:f>IF('Когорты'!S7&gt;0,G79*H79/'Когорты'!S7,0)</x:f>
        <x:v>0.11702750146284376</x:v>
      </x:c>
      <x:c r="J79" s="1" t="n">
        <x:f>F79*I79</x:f>
        <x:v>365.12580456407255</x:v>
      </x:c>
      <x:c r="K79" s="8" t="n">
        <x:f>'Воздействие'!C23*D79</x:f>
        <x:v>0</x:v>
      </x:c>
      <x:c r="L79" s="8" t="n">
        <x:f>'Воздействие'!D23*E79</x:f>
        <x:v>0.2</x:v>
      </x:c>
      <x:c r="M79" s="8" t="n">
        <x:f>'Воздействие'!E23*D79*E79</x:f>
        <x:v>0</x:v>
      </x:c>
      <x:c r="N79" s="8" t="n">
        <x:f>K79+L79-M79</x:f>
        <x:v>0.2</x:v>
      </x:c>
      <x:c r="O79" s="1" t="n">
        <x:f>J79*'Параметры'!$B$10*N79</x:f>
        <x:v>7.3025160912814515</x:v>
      </x:c>
      <x:c r="P79" s="8" t="n">
        <x:f>(1-'Воздействие'!F23*D79)*(1-'Воздействие'!G23*E79)</x:f>
        <x:v>1</x:v>
      </x:c>
      <x:c r="Q79" s="1" t="n">
        <x:f>J79*P79</x:f>
        <x:v>365.12580456407255</x:v>
      </x:c>
      <x:c r="R79" s="1" t="n">
        <x:f>O79*P79</x:f>
        <x:v>7.3025160912814515</x:v>
      </x:c>
      <x:c r="S79" s="8" t="n">
        <x:f>(1-'Гипотезы'!D9)*(1-'Гипотезы'!E9)</x:f>
        <x:v>0.5625</x:v>
      </x:c>
      <x:c r="T79" s="12" t="n">
        <x:f>Q79+R79*S79</x:f>
        <x:v>369.2334698654184</x:v>
      </x:c>
      <x:c r="U79" s="12" t="n">
        <x:f>T79-J79</x:f>
        <x:v>4.107665301345833</x:v>
      </x:c>
      <x:c r="V79" s="12" t="n">
        <x:f>J79*'Когорты'!T7</x:f>
        <x:v>365125.8045640726</x:v>
      </x:c>
      <x:c r="W79" s="12" t="n">
        <x:f>Q79*'Когорты'!T7*(1+'Воздействие'!H23*N79)</x:f>
        <x:v>365125.8045640726</x:v>
      </x:c>
      <x:c r="X79" s="12" t="n">
        <x:f>R79*'Когорты'!T7*(1+'Воздействие'!H23*N79)</x:f>
        <x:v>7302.516091281452</x:v>
      </x:c>
      <x:c r="Y79" s="12" t="n">
        <x:f>W79+X79*S79</x:f>
        <x:v>369233.4698654184</x:v>
      </x:c>
      <x:c r="Z79" s="12" t="n">
        <x:f>F79*N79</x:f>
        <x:v>624.0000000000001</x:v>
      </x:c>
      <x:c r="AA79" s="12" t="n">
        <x:f>J79*D79</x:f>
        <x:v>365.12580456407255</x:v>
      </x:c>
      <x:c r="AB79" s="12" t="n">
        <x:f>Q79*D79</x:f>
        <x:v>365.12580456407255</x:v>
      </x:c>
      <x:c r="AC79" s="12" t="n">
        <x:f>R79*D79</x:f>
        <x:v>7.3025160912814515</x:v>
      </x:c>
      <x:c r="AD79" s="12" t="n">
        <x:f>J79*E79</x:f>
        <x:v>365.12580456407255</x:v>
      </x:c>
      <x:c r="AE79" s="12" t="n">
        <x:f>Q79*E79</x:f>
        <x:v>365.12580456407255</x:v>
      </x:c>
      <x:c r="AF79" s="12" t="n">
        <x:f>R79*E79</x:f>
        <x:v>7.3025160912814515</x:v>
      </x:c>
      <x:c r="AG79" s="1" t="n">
        <x:f>IF(AND(I79&gt;=0,I79&lt;=1,Q79+R79&lt;=F79+0.00000001,N79&gt;=0,N79&lt;=1),1,0)</x:f>
        <x:v>1</x:v>
      </x:c>
      <x:c r="AH79" s="1"/>
      <x:c r="AI79" s="1"/>
    </x:row>
    <x:row r="80" ht="24" customHeight="1">
      <x:c r="A80" s="1" t="str">
        <x:v>H5</x:v>
      </x:c>
      <x:c r="B80" s="1" t="str">
        <x:v>S3</x:v>
      </x:c>
      <x:c r="C80" s="1" t="str">
        <x:v>Ни один</x:v>
      </x:c>
      <x:c r="D80" s="1" t="n">
        <x:v>0</x:v>
      </x:c>
      <x:c r="E80" s="1" t="n">
        <x:v>0</x:v>
      </x:c>
      <x:c r="F80" s="12" t="n">
        <x:f>'Когорты'!D7*'Когорты'!N7</x:f>
        <x:v>9719.999999999998</x:v>
      </x:c>
      <x:c r="G80" s="8" t="n">
        <x:f>'Когорты'!F7</x:f>
        <x:v>0.12</x:v>
      </x:c>
      <x:c r="H80" s="1" t="n">
        <x:f>'Когорты'!R7</x:f>
        <x:v>0.3</x:v>
      </x:c>
      <x:c r="I80" s="8" t="n">
        <x:f>IF('Когорты'!S7&gt;0,G80*H80/'Когорты'!S7,0)</x:f>
        <x:v>0.03510825043885313</x:v>
      </x:c>
      <x:c r="J80" s="1" t="n">
        <x:f>F80*I80</x:f>
        <x:v>341.25219426565235</x:v>
      </x:c>
      <x:c r="K80" s="8" t="n">
        <x:f>'Воздействие'!C23*D80</x:f>
        <x:v>0</x:v>
      </x:c>
      <x:c r="L80" s="8" t="n">
        <x:f>'Воздействие'!D23*E80</x:f>
        <x:v>0</x:v>
      </x:c>
      <x:c r="M80" s="8" t="n">
        <x:f>'Воздействие'!E23*D80*E80</x:f>
        <x:v>0</x:v>
      </x:c>
      <x:c r="N80" s="8" t="n">
        <x:f>K80+L80-M80</x:f>
        <x:v>0</x:v>
      </x:c>
      <x:c r="O80" s="1" t="n">
        <x:f>J80*'Параметры'!$B$10*N80</x:f>
        <x:v>0</x:v>
      </x:c>
      <x:c r="P80" s="8" t="n">
        <x:f>(1-'Воздействие'!F23*D80)*(1-'Воздействие'!G23*E80)</x:f>
        <x:v>1</x:v>
      </x:c>
      <x:c r="Q80" s="1" t="n">
        <x:f>J80*P80</x:f>
        <x:v>341.25219426565235</x:v>
      </x:c>
      <x:c r="R80" s="1" t="n">
        <x:f>O80*P80</x:f>
        <x:v>0</x:v>
      </x:c>
      <x:c r="S80" s="8" t="n">
        <x:f>(1-'Гипотезы'!D9)*(1-'Гипотезы'!E9)</x:f>
        <x:v>0.5625</x:v>
      </x:c>
      <x:c r="T80" s="12" t="n">
        <x:f>Q80+R80*S80</x:f>
        <x:v>341.25219426565235</x:v>
      </x:c>
      <x:c r="U80" s="12" t="n">
        <x:f>T80-J80</x:f>
        <x:v>0</x:v>
      </x:c>
      <x:c r="V80" s="12" t="n">
        <x:f>J80*'Когорты'!T7</x:f>
        <x:v>341252.19426565233</x:v>
      </x:c>
      <x:c r="W80" s="12" t="n">
        <x:f>Q80*'Когорты'!T7*(1+'Воздействие'!H23*N80)</x:f>
        <x:v>341252.19426565233</x:v>
      </x:c>
      <x:c r="X80" s="12" t="n">
        <x:f>R80*'Когорты'!T7*(1+'Воздействие'!H23*N80)</x:f>
        <x:v>0</x:v>
      </x:c>
      <x:c r="Y80" s="12" t="n">
        <x:f>W80+X80*S80</x:f>
        <x:v>341252.19426565233</x:v>
      </x:c>
      <x:c r="Z80" s="12" t="n">
        <x:f>F80*N80</x:f>
        <x:v>0</x:v>
      </x:c>
      <x:c r="AA80" s="12" t="n">
        <x:f>J80*D80</x:f>
        <x:v>0</x:v>
      </x:c>
      <x:c r="AB80" s="12" t="n">
        <x:f>Q80*D80</x:f>
        <x:v>0</x:v>
      </x:c>
      <x:c r="AC80" s="12" t="n">
        <x:f>R80*D80</x:f>
        <x:v>0</x:v>
      </x:c>
      <x:c r="AD80" s="12" t="n">
        <x:f>J80*E80</x:f>
        <x:v>0</x:v>
      </x:c>
      <x:c r="AE80" s="12" t="n">
        <x:f>Q80*E80</x:f>
        <x:v>0</x:v>
      </x:c>
      <x:c r="AF80" s="12" t="n">
        <x:f>R80*E80</x:f>
        <x:v>0</x:v>
      </x:c>
      <x:c r="AG80" s="1" t="n">
        <x:f>IF(AND(I80&gt;=0,I80&lt;=1,Q80+R80&lt;=F80+0.00000001,N80&gt;=0,N80&lt;=1),1,0)</x:f>
        <x:v>1</x:v>
      </x:c>
      <x:c r="AH80" s="1"/>
      <x:c r="AI80" s="1"/>
    </x:row>
    <x:row r="81" ht="24" customHeight="1">
      <x:c r="A81" s="1" t="str">
        <x:v>H5</x:v>
      </x:c>
      <x:c r="B81" s="1" t="str">
        <x:v>S4</x:v>
      </x:c>
      <x:c r="C81" s="1" t="str">
        <x:v>Только C</x:v>
      </x:c>
      <x:c r="D81" s="1" t="n">
        <x:v>1</x:v>
      </x:c>
      <x:c r="E81" s="1" t="n">
        <x:v>0</x:v>
      </x:c>
      <x:c r="F81" s="12" t="n">
        <x:f>'Когорты'!D8*'Когорты'!L8</x:f>
        <x:v>16380.000000000002</x:v>
      </x:c>
      <x:c r="G81" s="8" t="n">
        <x:f>'Когорты'!F8</x:f>
        <x:v>0.21</x:v>
      </x:c>
      <x:c r="H81" s="1" t="n">
        <x:f>'Когорты'!O8</x:f>
        <x:v>1.5</x:v>
      </x:c>
      <x:c r="I81" s="8" t="n">
        <x:f>IF('Когорты'!S8&gt;0,G81*H81/'Когорты'!S8,0)</x:f>
        <x:v>0.30719719133996487</x:v>
      </x:c>
      <x:c r="J81" s="1" t="n">
        <x:f>F81*I81</x:f>
        <x:v>5031.889994148625</x:v>
      </x:c>
      <x:c r="K81" s="8" t="n">
        <x:f>'Воздействие'!C24*D81</x:f>
        <x:v>0</x:v>
      </x:c>
      <x:c r="L81" s="8" t="n">
        <x:f>'Воздействие'!D24*E81</x:f>
        <x:v>0</x:v>
      </x:c>
      <x:c r="M81" s="8" t="n">
        <x:f>'Воздействие'!E24*D81*E81</x:f>
        <x:v>0</x:v>
      </x:c>
      <x:c r="N81" s="8" t="n">
        <x:f>K81+L81-M81</x:f>
        <x:v>0</x:v>
      </x:c>
      <x:c r="O81" s="1" t="n">
        <x:f>J81*'Параметры'!$B$10*N81</x:f>
        <x:v>0</x:v>
      </x:c>
      <x:c r="P81" s="8" t="n">
        <x:f>(1-'Воздействие'!F24*D81)*(1-'Воздействие'!G24*E81)</x:f>
        <x:v>1</x:v>
      </x:c>
      <x:c r="Q81" s="1" t="n">
        <x:f>J81*P81</x:f>
        <x:v>5031.889994148625</x:v>
      </x:c>
      <x:c r="R81" s="1" t="n">
        <x:f>O81*P81</x:f>
        <x:v>0</x:v>
      </x:c>
      <x:c r="S81" s="8" t="n">
        <x:f>(1-'Гипотезы'!D9)*(1-'Гипотезы'!E9)</x:f>
        <x:v>0.5625</x:v>
      </x:c>
      <x:c r="T81" s="12" t="n">
        <x:f>Q81+R81*S81</x:f>
        <x:v>5031.889994148625</x:v>
      </x:c>
      <x:c r="U81" s="12" t="n">
        <x:f>T81-J81</x:f>
        <x:v>0</x:v>
      </x:c>
      <x:c r="V81" s="12" t="n">
        <x:f>J81*'Когорты'!T8</x:f>
        <x:v>5031889.994148625</x:v>
      </x:c>
      <x:c r="W81" s="12" t="n">
        <x:f>Q81*'Когорты'!T8*(1+'Воздействие'!H24*N81)</x:f>
        <x:v>5031889.994148625</x:v>
      </x:c>
      <x:c r="X81" s="12" t="n">
        <x:f>R81*'Когорты'!T8*(1+'Воздействие'!H24*N81)</x:f>
        <x:v>0</x:v>
      </x:c>
      <x:c r="Y81" s="12" t="n">
        <x:f>W81+X81*S81</x:f>
        <x:v>5031889.994148625</x:v>
      </x:c>
      <x:c r="Z81" s="12" t="n">
        <x:f>F81*N81</x:f>
        <x:v>0</x:v>
      </x:c>
      <x:c r="AA81" s="12" t="n">
        <x:f>J81*D81</x:f>
        <x:v>5031.889994148625</x:v>
      </x:c>
      <x:c r="AB81" s="12" t="n">
        <x:f>Q81*D81</x:f>
        <x:v>5031.889994148625</x:v>
      </x:c>
      <x:c r="AC81" s="12" t="n">
        <x:f>R81*D81</x:f>
        <x:v>0</x:v>
      </x:c>
      <x:c r="AD81" s="12" t="n">
        <x:f>J81*E81</x:f>
        <x:v>0</x:v>
      </x:c>
      <x:c r="AE81" s="12" t="n">
        <x:f>Q81*E81</x:f>
        <x:v>0</x:v>
      </x:c>
      <x:c r="AF81" s="12" t="n">
        <x:f>R81*E81</x:f>
        <x:v>0</x:v>
      </x:c>
      <x:c r="AG81" s="1" t="n">
        <x:f>IF(AND(I81&gt;=0,I81&lt;=1,Q81+R81&lt;=F81+0.00000001,N81&gt;=0,N81&lt;=1),1,0)</x:f>
        <x:v>1</x:v>
      </x:c>
      <x:c r="AH81" s="1"/>
      <x:c r="AI81" s="1"/>
    </x:row>
    <x:row r="82" ht="24" customHeight="1">
      <x:c r="A82" s="1" t="str">
        <x:v>H5</x:v>
      </x:c>
      <x:c r="B82" s="1" t="str">
        <x:v>S4</x:v>
      </x:c>
      <x:c r="C82" s="1" t="str">
        <x:v>Только F</x:v>
      </x:c>
      <x:c r="D82" s="1" t="n">
        <x:v>0</x:v>
      </x:c>
      <x:c r="E82" s="1" t="n">
        <x:v>1</x:v>
      </x:c>
      <x:c r="F82" s="12" t="n">
        <x:f>'Когорты'!D8*'Когорты'!M8</x:f>
        <x:v>779.9999999999999</x:v>
      </x:c>
      <x:c r="G82" s="8" t="n">
        <x:f>'Когорты'!F8</x:f>
        <x:v>0.21</x:v>
      </x:c>
      <x:c r="H82" s="1" t="n">
        <x:f>'Когорты'!P8</x:f>
        <x:v>0.2</x:v>
      </x:c>
      <x:c r="I82" s="8" t="n">
        <x:f>IF('Когорты'!S8&gt;0,G82*H82/'Когорты'!S8,0)</x:f>
        <x:v>0.04095962551199532</x:v>
      </x:c>
      <x:c r="J82" s="1" t="n">
        <x:f>F82*I82</x:f>
        <x:v>31.948507899356347</x:v>
      </x:c>
      <x:c r="K82" s="8" t="n">
        <x:f>'Воздействие'!C24*D82</x:f>
        <x:v>0</x:v>
      </x:c>
      <x:c r="L82" s="8" t="n">
        <x:f>'Воздействие'!D24*E82</x:f>
        <x:v>0.2</x:v>
      </x:c>
      <x:c r="M82" s="8" t="n">
        <x:f>'Воздействие'!E24*D82*E82</x:f>
        <x:v>0</x:v>
      </x:c>
      <x:c r="N82" s="8" t="n">
        <x:f>K82+L82-M82</x:f>
        <x:v>0.2</x:v>
      </x:c>
      <x:c r="O82" s="1" t="n">
        <x:f>J82*'Параметры'!$B$10*N82</x:f>
        <x:v>0.638970157987127</x:v>
      </x:c>
      <x:c r="P82" s="8" t="n">
        <x:f>(1-'Воздействие'!F24*D82)*(1-'Воздействие'!G24*E82)</x:f>
        <x:v>1</x:v>
      </x:c>
      <x:c r="Q82" s="1" t="n">
        <x:f>J82*P82</x:f>
        <x:v>31.948507899356347</x:v>
      </x:c>
      <x:c r="R82" s="1" t="n">
        <x:f>O82*P82</x:f>
        <x:v>0.638970157987127</x:v>
      </x:c>
      <x:c r="S82" s="8" t="n">
        <x:f>(1-'Гипотезы'!D9)*(1-'Гипотезы'!E9)</x:f>
        <x:v>0.5625</x:v>
      </x:c>
      <x:c r="T82" s="12" t="n">
        <x:f>Q82+R82*S82</x:f>
        <x:v>32.30792861322411</x:v>
      </x:c>
      <x:c r="U82" s="12" t="n">
        <x:f>T82-J82</x:f>
        <x:v>0.35942071386775964</x:v>
      </x:c>
      <x:c r="V82" s="12" t="n">
        <x:f>J82*'Когорты'!T8</x:f>
        <x:v>31948.507899356347</x:v>
      </x:c>
      <x:c r="W82" s="12" t="n">
        <x:f>Q82*'Когорты'!T8*(1+'Воздействие'!H24*N82)</x:f>
        <x:v>31948.507899356347</x:v>
      </x:c>
      <x:c r="X82" s="12" t="n">
        <x:f>R82*'Когорты'!T8*(1+'Воздействие'!H24*N82)</x:f>
        <x:v>638.970157987127</x:v>
      </x:c>
      <x:c r="Y82" s="12" t="n">
        <x:f>W82+X82*S82</x:f>
        <x:v>32307.928613224107</x:v>
      </x:c>
      <x:c r="Z82" s="12" t="n">
        <x:f>F82*N82</x:f>
        <x:v>156</x:v>
      </x:c>
      <x:c r="AA82" s="12" t="n">
        <x:f>J82*D82</x:f>
        <x:v>0</x:v>
      </x:c>
      <x:c r="AB82" s="12" t="n">
        <x:f>Q82*D82</x:f>
        <x:v>0</x:v>
      </x:c>
      <x:c r="AC82" s="12" t="n">
        <x:f>R82*D82</x:f>
        <x:v>0</x:v>
      </x:c>
      <x:c r="AD82" s="12" t="n">
        <x:f>J82*E82</x:f>
        <x:v>31.948507899356347</x:v>
      </x:c>
      <x:c r="AE82" s="12" t="n">
        <x:f>Q82*E82</x:f>
        <x:v>31.948507899356347</x:v>
      </x:c>
      <x:c r="AF82" s="12" t="n">
        <x:f>R82*E82</x:f>
        <x:v>0.638970157987127</x:v>
      </x:c>
      <x:c r="AG82" s="1" t="n">
        <x:f>IF(AND(I82&gt;=0,I82&lt;=1,Q82+R82&lt;=F82+0.00000001,N82&gt;=0,N82&lt;=1),1,0)</x:f>
        <x:v>1</x:v>
      </x:c>
      <x:c r="AH82" s="1"/>
      <x:c r="AI82" s="1"/>
    </x:row>
    <x:row r="83" ht="24" customHeight="1">
      <x:c r="A83" s="1" t="str">
        <x:v>H5</x:v>
      </x:c>
      <x:c r="B83" s="1" t="str">
        <x:v>S4</x:v>
      </x:c>
      <x:c r="C83" s="1" t="str">
        <x:v>Оба</x:v>
      </x:c>
      <x:c r="D83" s="1" t="n">
        <x:v>1</x:v>
      </x:c>
      <x:c r="E83" s="1" t="n">
        <x:v>1</x:v>
      </x:c>
      <x:c r="F83" s="12" t="n">
        <x:f>'Когорты'!D8*'Когорты'!K8</x:f>
        <x:v>3120.0000000000005</x:v>
      </x:c>
      <x:c r="G83" s="8" t="n">
        <x:f>'Когорты'!F8</x:f>
        <x:v>0.21</x:v>
      </x:c>
      <x:c r="H83" s="1" t="n">
        <x:f>'Когорты'!Q8</x:f>
        <x:v>1</x:v>
      </x:c>
      <x:c r="I83" s="8" t="n">
        <x:f>IF('Когорты'!S8&gt;0,G83*H83/'Когорты'!S8,0)</x:f>
        <x:v>0.20479812755997656</x:v>
      </x:c>
      <x:c r="J83" s="1" t="n">
        <x:f>F83*I83</x:f>
        <x:v>638.970157987127</x:v>
      </x:c>
      <x:c r="K83" s="8" t="n">
        <x:f>'Воздействие'!C24*D83</x:f>
        <x:v>0</x:v>
      </x:c>
      <x:c r="L83" s="8" t="n">
        <x:f>'Воздействие'!D24*E83</x:f>
        <x:v>0.2</x:v>
      </x:c>
      <x:c r="M83" s="8" t="n">
        <x:f>'Воздействие'!E24*D83*E83</x:f>
        <x:v>0</x:v>
      </x:c>
      <x:c r="N83" s="8" t="n">
        <x:f>K83+L83-M83</x:f>
        <x:v>0.2</x:v>
      </x:c>
      <x:c r="O83" s="1" t="n">
        <x:f>J83*'Параметры'!$B$10*N83</x:f>
        <x:v>12.779403159742541</x:v>
      </x:c>
      <x:c r="P83" s="8" t="n">
        <x:f>(1-'Воздействие'!F24*D83)*(1-'Воздействие'!G24*E83)</x:f>
        <x:v>1</x:v>
      </x:c>
      <x:c r="Q83" s="1" t="n">
        <x:f>J83*P83</x:f>
        <x:v>638.970157987127</x:v>
      </x:c>
      <x:c r="R83" s="1" t="n">
        <x:f>O83*P83</x:f>
        <x:v>12.779403159742541</x:v>
      </x:c>
      <x:c r="S83" s="8" t="n">
        <x:f>(1-'Гипотезы'!D9)*(1-'Гипотезы'!E9)</x:f>
        <x:v>0.5625</x:v>
      </x:c>
      <x:c r="T83" s="12" t="n">
        <x:f>Q83+R83*S83</x:f>
        <x:v>646.1585722644821</x:v>
      </x:c>
      <x:c r="U83" s="12" t="n">
        <x:f>T83-J83</x:f>
        <x:v>7.18841427735515</x:v>
      </x:c>
      <x:c r="V83" s="12" t="n">
        <x:f>J83*'Когорты'!T8</x:f>
        <x:v>638970.157987127</x:v>
      </x:c>
      <x:c r="W83" s="12" t="n">
        <x:f>Q83*'Когорты'!T8*(1+'Воздействие'!H24*N83)</x:f>
        <x:v>638970.157987127</x:v>
      </x:c>
      <x:c r="X83" s="12" t="n">
        <x:f>R83*'Когорты'!T8*(1+'Воздействие'!H24*N83)</x:f>
        <x:v>12779.403159742542</x:v>
      </x:c>
      <x:c r="Y83" s="12" t="n">
        <x:f>W83+X83*S83</x:f>
        <x:v>646158.5722644822</x:v>
      </x:c>
      <x:c r="Z83" s="12" t="n">
        <x:f>F83*N83</x:f>
        <x:v>624.0000000000001</x:v>
      </x:c>
      <x:c r="AA83" s="12" t="n">
        <x:f>J83*D83</x:f>
        <x:v>638.970157987127</x:v>
      </x:c>
      <x:c r="AB83" s="12" t="n">
        <x:f>Q83*D83</x:f>
        <x:v>638.970157987127</x:v>
      </x:c>
      <x:c r="AC83" s="12" t="n">
        <x:f>R83*D83</x:f>
        <x:v>12.779403159742541</x:v>
      </x:c>
      <x:c r="AD83" s="12" t="n">
        <x:f>J83*E83</x:f>
        <x:v>638.970157987127</x:v>
      </x:c>
      <x:c r="AE83" s="12" t="n">
        <x:f>Q83*E83</x:f>
        <x:v>638.970157987127</x:v>
      </x:c>
      <x:c r="AF83" s="12" t="n">
        <x:f>R83*E83</x:f>
        <x:v>12.779403159742541</x:v>
      </x:c>
      <x:c r="AG83" s="1" t="n">
        <x:f>IF(AND(I83&gt;=0,I83&lt;=1,Q83+R83&lt;=F83+0.00000001,N83&gt;=0,N83&lt;=1),1,0)</x:f>
        <x:v>1</x:v>
      </x:c>
      <x:c r="AH83" s="1"/>
      <x:c r="AI83" s="1"/>
    </x:row>
    <x:row r="84" ht="24" customHeight="1">
      <x:c r="A84" s="1" t="str">
        <x:v>H5</x:v>
      </x:c>
      <x:c r="B84" s="1" t="str">
        <x:v>S4</x:v>
      </x:c>
      <x:c r="C84" s="1" t="str">
        <x:v>Ни один</x:v>
      </x:c>
      <x:c r="D84" s="1" t="n">
        <x:v>0</x:v>
      </x:c>
      <x:c r="E84" s="1" t="n">
        <x:v>0</x:v>
      </x:c>
      <x:c r="F84" s="12" t="n">
        <x:f>'Когорты'!D8*'Когорты'!N8</x:f>
        <x:v>9719.999999999998</x:v>
      </x:c>
      <x:c r="G84" s="8" t="n">
        <x:f>'Когорты'!F8</x:f>
        <x:v>0.21</x:v>
      </x:c>
      <x:c r="H84" s="1" t="n">
        <x:f>'Когорты'!R8</x:f>
        <x:v>0.3</x:v>
      </x:c>
      <x:c r="I84" s="8" t="n">
        <x:f>IF('Когорты'!S8&gt;0,G84*H84/'Когорты'!S8,0)</x:f>
        <x:v>0.061439438267992974</x:v>
      </x:c>
      <x:c r="J84" s="1" t="n">
        <x:f>F84*I84</x:f>
        <x:v>597.1913399648915</x:v>
      </x:c>
      <x:c r="K84" s="8" t="n">
        <x:f>'Воздействие'!C24*D84</x:f>
        <x:v>0</x:v>
      </x:c>
      <x:c r="L84" s="8" t="n">
        <x:f>'Воздействие'!D24*E84</x:f>
        <x:v>0</x:v>
      </x:c>
      <x:c r="M84" s="8" t="n">
        <x:f>'Воздействие'!E24*D84*E84</x:f>
        <x:v>0</x:v>
      </x:c>
      <x:c r="N84" s="8" t="n">
        <x:f>K84+L84-M84</x:f>
        <x:v>0</x:v>
      </x:c>
      <x:c r="O84" s="1" t="n">
        <x:f>J84*'Параметры'!$B$10*N84</x:f>
        <x:v>0</x:v>
      </x:c>
      <x:c r="P84" s="8" t="n">
        <x:f>(1-'Воздействие'!F24*D84)*(1-'Воздействие'!G24*E84)</x:f>
        <x:v>1</x:v>
      </x:c>
      <x:c r="Q84" s="1" t="n">
        <x:f>J84*P84</x:f>
        <x:v>597.1913399648915</x:v>
      </x:c>
      <x:c r="R84" s="1" t="n">
        <x:f>O84*P84</x:f>
        <x:v>0</x:v>
      </x:c>
      <x:c r="S84" s="8" t="n">
        <x:f>(1-'Гипотезы'!D9)*(1-'Гипотезы'!E9)</x:f>
        <x:v>0.5625</x:v>
      </x:c>
      <x:c r="T84" s="12" t="n">
        <x:f>Q84+R84*S84</x:f>
        <x:v>597.1913399648915</x:v>
      </x:c>
      <x:c r="U84" s="12" t="n">
        <x:f>T84-J84</x:f>
        <x:v>0</x:v>
      </x:c>
      <x:c r="V84" s="12" t="n">
        <x:f>J84*'Когорты'!T8</x:f>
        <x:v>597191.3399648916</x:v>
      </x:c>
      <x:c r="W84" s="12" t="n">
        <x:f>Q84*'Когорты'!T8*(1+'Воздействие'!H24*N84)</x:f>
        <x:v>597191.3399648916</x:v>
      </x:c>
      <x:c r="X84" s="12" t="n">
        <x:f>R84*'Когорты'!T8*(1+'Воздействие'!H24*N84)</x:f>
        <x:v>0</x:v>
      </x:c>
      <x:c r="Y84" s="12" t="n">
        <x:f>W84+X84*S84</x:f>
        <x:v>597191.3399648916</x:v>
      </x:c>
      <x:c r="Z84" s="12" t="n">
        <x:f>F84*N84</x:f>
        <x:v>0</x:v>
      </x:c>
      <x:c r="AA84" s="12" t="n">
        <x:f>J84*D84</x:f>
        <x:v>0</x:v>
      </x:c>
      <x:c r="AB84" s="12" t="n">
        <x:f>Q84*D84</x:f>
        <x:v>0</x:v>
      </x:c>
      <x:c r="AC84" s="12" t="n">
        <x:f>R84*D84</x:f>
        <x:v>0</x:v>
      </x:c>
      <x:c r="AD84" s="12" t="n">
        <x:f>J84*E84</x:f>
        <x:v>0</x:v>
      </x:c>
      <x:c r="AE84" s="12" t="n">
        <x:f>Q84*E84</x:f>
        <x:v>0</x:v>
      </x:c>
      <x:c r="AF84" s="12" t="n">
        <x:f>R84*E84</x:f>
        <x:v>0</x:v>
      </x:c>
      <x:c r="AG84" s="1" t="n">
        <x:f>IF(AND(I84&gt;=0,I84&lt;=1,Q84+R84&lt;=F84+0.00000001,N84&gt;=0,N84&lt;=1),1,0)</x:f>
        <x:v>1</x:v>
      </x:c>
      <x:c r="AH84" s="1"/>
      <x:c r="AI84" s="1"/>
    </x:row>
    <x:row r="85" ht="24" customHeight="1">
      <x:c r="A85" s="1" t="str">
        <x:v>H6.1</x:v>
      </x:c>
      <x:c r="B85" s="1" t="str">
        <x:v>S1</x:v>
      </x:c>
      <x:c r="C85" s="1" t="str">
        <x:v>Только C</x:v>
      </x:c>
      <x:c r="D85" s="1" t="n">
        <x:v>1</x:v>
      </x:c>
      <x:c r="E85" s="1" t="n">
        <x:v>0</x:v>
      </x:c>
      <x:c r="F85" s="12" t="n">
        <x:f>'Когорты'!D5*'Когорты'!L5</x:f>
        <x:v>10920</x:v>
      </x:c>
      <x:c r="G85" s="8" t="n">
        <x:f>'Когорты'!F5</x:f>
        <x:v>0.3</x:v>
      </x:c>
      <x:c r="H85" s="1" t="n">
        <x:f>'Когорты'!O5</x:f>
        <x:v>1.5</x:v>
      </x:c>
      <x:c r="I85" s="8" t="n">
        <x:f>IF('Когорты'!S5&gt;0,G85*H85/'Когорты'!S5,0)</x:f>
        <x:v>0.43885313048566404</x:v>
      </x:c>
      <x:c r="J85" s="1" t="n">
        <x:f>F85*I85</x:f>
        <x:v>4792.276184903451</x:v>
      </x:c>
      <x:c r="K85" s="8" t="n">
        <x:f>'Воздействие'!C25*D85</x:f>
        <x:v>0</x:v>
      </x:c>
      <x:c r="L85" s="8" t="n">
        <x:f>'Воздействие'!D25*E85</x:f>
        <x:v>0</x:v>
      </x:c>
      <x:c r="M85" s="8" t="n">
        <x:f>'Воздействие'!E25*D85*E85</x:f>
        <x:v>0</x:v>
      </x:c>
      <x:c r="N85" s="8" t="n">
        <x:f>K85+L85-M85</x:f>
        <x:v>0</x:v>
      </x:c>
      <x:c r="O85" s="1" t="n">
        <x:f>J85*'Параметры'!$B$10*N85</x:f>
        <x:v>0</x:v>
      </x:c>
      <x:c r="P85" s="8" t="n">
        <x:f>(1-'Воздействие'!F25*D85)*(1-'Воздействие'!G25*E85)</x:f>
        <x:v>1</x:v>
      </x:c>
      <x:c r="Q85" s="1" t="n">
        <x:f>J85*P85</x:f>
        <x:v>4792.276184903451</x:v>
      </x:c>
      <x:c r="R85" s="1" t="n">
        <x:f>O85*P85</x:f>
        <x:v>0</x:v>
      </x:c>
      <x:c r="S85" s="8" t="n">
        <x:f>(1-'Гипотезы'!D10)*(1-'Гипотезы'!E10)</x:f>
        <x:v>0.5625</x:v>
      </x:c>
      <x:c r="T85" s="12" t="n">
        <x:f>Q85+R85*S85</x:f>
        <x:v>4792.276184903451</x:v>
      </x:c>
      <x:c r="U85" s="12" t="n">
        <x:f>T85-J85</x:f>
        <x:v>0</x:v>
      </x:c>
      <x:c r="V85" s="12" t="n">
        <x:f>J85*'Когорты'!T5</x:f>
        <x:v>4792276.184903451</x:v>
      </x:c>
      <x:c r="W85" s="12" t="n">
        <x:f>Q85*'Когорты'!T5*(1+'Воздействие'!H25*N85)</x:f>
        <x:v>4792276.184903451</x:v>
      </x:c>
      <x:c r="X85" s="12" t="n">
        <x:f>R85*'Когорты'!T5*(1+'Воздействие'!H25*N85)</x:f>
        <x:v>0</x:v>
      </x:c>
      <x:c r="Y85" s="12" t="n">
        <x:f>W85+X85*S85</x:f>
        <x:v>4792276.184903451</x:v>
      </x:c>
      <x:c r="Z85" s="12" t="n">
        <x:f>F85*N85</x:f>
        <x:v>0</x:v>
      </x:c>
      <x:c r="AA85" s="12" t="n">
        <x:f>J85*D85</x:f>
        <x:v>4792.276184903451</x:v>
      </x:c>
      <x:c r="AB85" s="12" t="n">
        <x:f>Q85*D85</x:f>
        <x:v>4792.276184903451</x:v>
      </x:c>
      <x:c r="AC85" s="12" t="n">
        <x:f>R85*D85</x:f>
        <x:v>0</x:v>
      </x:c>
      <x:c r="AD85" s="12" t="n">
        <x:f>J85*E85</x:f>
        <x:v>0</x:v>
      </x:c>
      <x:c r="AE85" s="12" t="n">
        <x:f>Q85*E85</x:f>
        <x:v>0</x:v>
      </x:c>
      <x:c r="AF85" s="12" t="n">
        <x:f>R85*E85</x:f>
        <x:v>0</x:v>
      </x:c>
      <x:c r="AG85" s="1" t="n">
        <x:f>IF(AND(I85&gt;=0,I85&lt;=1,Q85+R85&lt;=F85+0.00000001,N85&gt;=0,N85&lt;=1),1,0)</x:f>
        <x:v>1</x:v>
      </x:c>
      <x:c r="AH85" s="1"/>
      <x:c r="AI85" s="1"/>
    </x:row>
    <x:row r="86" ht="24" customHeight="1">
      <x:c r="A86" s="1" t="str">
        <x:v>H6.1</x:v>
      </x:c>
      <x:c r="B86" s="1" t="str">
        <x:v>S1</x:v>
      </x:c>
      <x:c r="C86" s="1" t="str">
        <x:v>Только F</x:v>
      </x:c>
      <x:c r="D86" s="1" t="n">
        <x:v>0</x:v>
      </x:c>
      <x:c r="E86" s="1" t="n">
        <x:v>1</x:v>
      </x:c>
      <x:c r="F86" s="12" t="n">
        <x:f>'Когорты'!D5*'Когорты'!M5</x:f>
        <x:v>519.9999999999999</x:v>
      </x:c>
      <x:c r="G86" s="8" t="n">
        <x:f>'Когорты'!F5</x:f>
        <x:v>0.3</x:v>
      </x:c>
      <x:c r="H86" s="1" t="n">
        <x:f>'Когорты'!P5</x:f>
        <x:v>0.2</x:v>
      </x:c>
      <x:c r="I86" s="8" t="n">
        <x:f>IF('Когорты'!S5&gt;0,G86*H86/'Когорты'!S5,0)</x:f>
        <x:v>0.05851375073142188</x:v>
      </x:c>
      <x:c r="J86" s="1" t="n">
        <x:f>F86*I86</x:f>
        <x:v>30.42715038033937</x:v>
      </x:c>
      <x:c r="K86" s="8" t="n">
        <x:f>'Воздействие'!C25*D86</x:f>
        <x:v>0</x:v>
      </x:c>
      <x:c r="L86" s="8" t="n">
        <x:f>'Воздействие'!D25*E86</x:f>
        <x:v>0.3</x:v>
      </x:c>
      <x:c r="M86" s="8" t="n">
        <x:f>'Воздействие'!E25*D86*E86</x:f>
        <x:v>0</x:v>
      </x:c>
      <x:c r="N86" s="8" t="n">
        <x:f>K86+L86-M86</x:f>
        <x:v>0.3</x:v>
      </x:c>
      <x:c r="O86" s="1" t="n">
        <x:f>J86*'Параметры'!$B$10*N86</x:f>
        <x:v>0.9128145114101811</x:v>
      </x:c>
      <x:c r="P86" s="8" t="n">
        <x:f>(1-'Воздействие'!F25*D86)*(1-'Воздействие'!G25*E86)</x:f>
        <x:v>1</x:v>
      </x:c>
      <x:c r="Q86" s="1" t="n">
        <x:f>J86*P86</x:f>
        <x:v>30.42715038033937</x:v>
      </x:c>
      <x:c r="R86" s="1" t="n">
        <x:f>O86*P86</x:f>
        <x:v>0.9128145114101811</x:v>
      </x:c>
      <x:c r="S86" s="8" t="n">
        <x:f>(1-'Гипотезы'!D10)*(1-'Гипотезы'!E10)</x:f>
        <x:v>0.5625</x:v>
      </x:c>
      <x:c r="T86" s="12" t="n">
        <x:f>Q86+R86*S86</x:f>
        <x:v>30.940608543007595</x:v>
      </x:c>
      <x:c r="U86" s="12" t="n">
        <x:f>T86-J86</x:f>
        <x:v>0.5134581626682255</x:v>
      </x:c>
      <x:c r="V86" s="12" t="n">
        <x:f>J86*'Когорты'!T5</x:f>
        <x:v>30427.15038033937</x:v>
      </x:c>
      <x:c r="W86" s="12" t="n">
        <x:f>Q86*'Когорты'!T5*(1+'Воздействие'!H25*N86)</x:f>
        <x:v>30427.15038033937</x:v>
      </x:c>
      <x:c r="X86" s="12" t="n">
        <x:f>R86*'Когорты'!T5*(1+'Воздействие'!H25*N86)</x:f>
        <x:v>912.8145114101811</x:v>
      </x:c>
      <x:c r="Y86" s="12" t="n">
        <x:f>W86+X86*S86</x:f>
        <x:v>30940.6085430076</x:v>
      </x:c>
      <x:c r="Z86" s="12" t="n">
        <x:f>F86*N86</x:f>
        <x:v>155.99999999999997</x:v>
      </x:c>
      <x:c r="AA86" s="12" t="n">
        <x:f>J86*D86</x:f>
        <x:v>0</x:v>
      </x:c>
      <x:c r="AB86" s="12" t="n">
        <x:f>Q86*D86</x:f>
        <x:v>0</x:v>
      </x:c>
      <x:c r="AC86" s="12" t="n">
        <x:f>R86*D86</x:f>
        <x:v>0</x:v>
      </x:c>
      <x:c r="AD86" s="12" t="n">
        <x:f>J86*E86</x:f>
        <x:v>30.42715038033937</x:v>
      </x:c>
      <x:c r="AE86" s="12" t="n">
        <x:f>Q86*E86</x:f>
        <x:v>30.42715038033937</x:v>
      </x:c>
      <x:c r="AF86" s="12" t="n">
        <x:f>R86*E86</x:f>
        <x:v>0.9128145114101811</x:v>
      </x:c>
      <x:c r="AG86" s="1" t="n">
        <x:f>IF(AND(I86&gt;=0,I86&lt;=1,Q86+R86&lt;=F86+0.00000001,N86&gt;=0,N86&lt;=1),1,0)</x:f>
        <x:v>1</x:v>
      </x:c>
      <x:c r="AH86" s="1"/>
      <x:c r="AI86" s="1"/>
    </x:row>
    <x:row r="87" ht="24" customHeight="1">
      <x:c r="A87" s="1" t="str">
        <x:v>H6.1</x:v>
      </x:c>
      <x:c r="B87" s="1" t="str">
        <x:v>S1</x:v>
      </x:c>
      <x:c r="C87" s="1" t="str">
        <x:v>Оба</x:v>
      </x:c>
      <x:c r="D87" s="1" t="n">
        <x:v>1</x:v>
      </x:c>
      <x:c r="E87" s="1" t="n">
        <x:v>1</x:v>
      </x:c>
      <x:c r="F87" s="12" t="n">
        <x:f>'Когорты'!D5*'Когорты'!K5</x:f>
        <x:v>2080</x:v>
      </x:c>
      <x:c r="G87" s="8" t="n">
        <x:f>'Когорты'!F5</x:f>
        <x:v>0.3</x:v>
      </x:c>
      <x:c r="H87" s="1" t="n">
        <x:f>'Когорты'!Q5</x:f>
        <x:v>1</x:v>
      </x:c>
      <x:c r="I87" s="8" t="n">
        <x:f>IF('Когорты'!S5&gt;0,G87*H87/'Когорты'!S5,0)</x:f>
        <x:v>0.2925687536571094</x:v>
      </x:c>
      <x:c r="J87" s="1" t="n">
        <x:f>F87*I87</x:f>
        <x:v>608.5430076067876</x:v>
      </x:c>
      <x:c r="K87" s="8" t="n">
        <x:f>'Воздействие'!C25*D87</x:f>
        <x:v>0</x:v>
      </x:c>
      <x:c r="L87" s="8" t="n">
        <x:f>'Воздействие'!D25*E87</x:f>
        <x:v>0.3</x:v>
      </x:c>
      <x:c r="M87" s="8" t="n">
        <x:f>'Воздействие'!E25*D87*E87</x:f>
        <x:v>0</x:v>
      </x:c>
      <x:c r="N87" s="8" t="n">
        <x:f>K87+L87-M87</x:f>
        <x:v>0.3</x:v>
      </x:c>
      <x:c r="O87" s="1" t="n">
        <x:f>J87*'Параметры'!$B$10*N87</x:f>
        <x:v>18.25629022820363</x:v>
      </x:c>
      <x:c r="P87" s="8" t="n">
        <x:f>(1-'Воздействие'!F25*D87)*(1-'Воздействие'!G25*E87)</x:f>
        <x:v>1</x:v>
      </x:c>
      <x:c r="Q87" s="1" t="n">
        <x:f>J87*P87</x:f>
        <x:v>608.5430076067876</x:v>
      </x:c>
      <x:c r="R87" s="1" t="n">
        <x:f>O87*P87</x:f>
        <x:v>18.25629022820363</x:v>
      </x:c>
      <x:c r="S87" s="8" t="n">
        <x:f>(1-'Гипотезы'!D10)*(1-'Гипотезы'!E10)</x:f>
        <x:v>0.5625</x:v>
      </x:c>
      <x:c r="T87" s="12" t="n">
        <x:f>Q87+R87*S87</x:f>
        <x:v>618.8121708601522</x:v>
      </x:c>
      <x:c r="U87" s="12" t="n">
        <x:f>T87-J87</x:f>
        <x:v>10.269163253364582</x:v>
      </x:c>
      <x:c r="V87" s="12" t="n">
        <x:f>J87*'Когорты'!T5</x:f>
        <x:v>608543.0076067876</x:v>
      </x:c>
      <x:c r="W87" s="12" t="n">
        <x:f>Q87*'Когорты'!T5*(1+'Воздействие'!H25*N87)</x:f>
        <x:v>608543.0076067876</x:v>
      </x:c>
      <x:c r="X87" s="12" t="n">
        <x:f>R87*'Когорты'!T5*(1+'Воздействие'!H25*N87)</x:f>
        <x:v>18256.290228203627</x:v>
      </x:c>
      <x:c r="Y87" s="12" t="n">
        <x:f>W87+X87*S87</x:f>
        <x:v>618812.1708601521</x:v>
      </x:c>
      <x:c r="Z87" s="12" t="n">
        <x:f>F87*N87</x:f>
        <x:v>624</x:v>
      </x:c>
      <x:c r="AA87" s="12" t="n">
        <x:f>J87*D87</x:f>
        <x:v>608.5430076067876</x:v>
      </x:c>
      <x:c r="AB87" s="12" t="n">
        <x:f>Q87*D87</x:f>
        <x:v>608.5430076067876</x:v>
      </x:c>
      <x:c r="AC87" s="12" t="n">
        <x:f>R87*D87</x:f>
        <x:v>18.25629022820363</x:v>
      </x:c>
      <x:c r="AD87" s="12" t="n">
        <x:f>J87*E87</x:f>
        <x:v>608.5430076067876</x:v>
      </x:c>
      <x:c r="AE87" s="12" t="n">
        <x:f>Q87*E87</x:f>
        <x:v>608.5430076067876</x:v>
      </x:c>
      <x:c r="AF87" s="12" t="n">
        <x:f>R87*E87</x:f>
        <x:v>18.25629022820363</x:v>
      </x:c>
      <x:c r="AG87" s="1" t="n">
        <x:f>IF(AND(I87&gt;=0,I87&lt;=1,Q87+R87&lt;=F87+0.00000001,N87&gt;=0,N87&lt;=1),1,0)</x:f>
        <x:v>1</x:v>
      </x:c>
      <x:c r="AH87" s="1"/>
      <x:c r="AI87" s="1"/>
    </x:row>
    <x:row r="88" ht="24" customHeight="1">
      <x:c r="A88" s="1" t="str">
        <x:v>H6.1</x:v>
      </x:c>
      <x:c r="B88" s="1" t="str">
        <x:v>S1</x:v>
      </x:c>
      <x:c r="C88" s="1" t="str">
        <x:v>Ни один</x:v>
      </x:c>
      <x:c r="D88" s="1" t="n">
        <x:v>0</x:v>
      </x:c>
      <x:c r="E88" s="1" t="n">
        <x:v>0</x:v>
      </x:c>
      <x:c r="F88" s="12" t="n">
        <x:f>'Когорты'!D5*'Когорты'!N5</x:f>
        <x:v>6479.999999999999</x:v>
      </x:c>
      <x:c r="G88" s="8" t="n">
        <x:f>'Когорты'!F5</x:f>
        <x:v>0.3</x:v>
      </x:c>
      <x:c r="H88" s="1" t="n">
        <x:f>'Когорты'!R5</x:f>
        <x:v>0.3</x:v>
      </x:c>
      <x:c r="I88" s="8" t="n">
        <x:f>IF('Когорты'!S5&gt;0,G88*H88/'Когорты'!S5,0)</x:f>
        <x:v>0.08777062609713282</x:v>
      </x:c>
      <x:c r="J88" s="1" t="n">
        <x:f>F88*I88</x:f>
        <x:v>568.7536571094206</x:v>
      </x:c>
      <x:c r="K88" s="8" t="n">
        <x:f>'Воздействие'!C25*D88</x:f>
        <x:v>0</x:v>
      </x:c>
      <x:c r="L88" s="8" t="n">
        <x:f>'Воздействие'!D25*E88</x:f>
        <x:v>0</x:v>
      </x:c>
      <x:c r="M88" s="8" t="n">
        <x:f>'Воздействие'!E25*D88*E88</x:f>
        <x:v>0</x:v>
      </x:c>
      <x:c r="N88" s="8" t="n">
        <x:f>K88+L88-M88</x:f>
        <x:v>0</x:v>
      </x:c>
      <x:c r="O88" s="1" t="n">
        <x:f>J88*'Параметры'!$B$10*N88</x:f>
        <x:v>0</x:v>
      </x:c>
      <x:c r="P88" s="8" t="n">
        <x:f>(1-'Воздействие'!F25*D88)*(1-'Воздействие'!G25*E88)</x:f>
        <x:v>1</x:v>
      </x:c>
      <x:c r="Q88" s="1" t="n">
        <x:f>J88*P88</x:f>
        <x:v>568.7536571094206</x:v>
      </x:c>
      <x:c r="R88" s="1" t="n">
        <x:f>O88*P88</x:f>
        <x:v>0</x:v>
      </x:c>
      <x:c r="S88" s="8" t="n">
        <x:f>(1-'Гипотезы'!D10)*(1-'Гипотезы'!E10)</x:f>
        <x:v>0.5625</x:v>
      </x:c>
      <x:c r="T88" s="12" t="n">
        <x:f>Q88+R88*S88</x:f>
        <x:v>568.7536571094206</x:v>
      </x:c>
      <x:c r="U88" s="12" t="n">
        <x:f>T88-J88</x:f>
        <x:v>0</x:v>
      </x:c>
      <x:c r="V88" s="12" t="n">
        <x:f>J88*'Когорты'!T5</x:f>
        <x:v>568753.6571094206</x:v>
      </x:c>
      <x:c r="W88" s="12" t="n">
        <x:f>Q88*'Когорты'!T5*(1+'Воздействие'!H25*N88)</x:f>
        <x:v>568753.6571094206</x:v>
      </x:c>
      <x:c r="X88" s="12" t="n">
        <x:f>R88*'Когорты'!T5*(1+'Воздействие'!H25*N88)</x:f>
        <x:v>0</x:v>
      </x:c>
      <x:c r="Y88" s="12" t="n">
        <x:f>W88+X88*S88</x:f>
        <x:v>568753.6571094206</x:v>
      </x:c>
      <x:c r="Z88" s="12" t="n">
        <x:f>F88*N88</x:f>
        <x:v>0</x:v>
      </x:c>
      <x:c r="AA88" s="12" t="n">
        <x:f>J88*D88</x:f>
        <x:v>0</x:v>
      </x:c>
      <x:c r="AB88" s="12" t="n">
        <x:f>Q88*D88</x:f>
        <x:v>0</x:v>
      </x:c>
      <x:c r="AC88" s="12" t="n">
        <x:f>R88*D88</x:f>
        <x:v>0</x:v>
      </x:c>
      <x:c r="AD88" s="12" t="n">
        <x:f>J88*E88</x:f>
        <x:v>0</x:v>
      </x:c>
      <x:c r="AE88" s="12" t="n">
        <x:f>Q88*E88</x:f>
        <x:v>0</x:v>
      </x:c>
      <x:c r="AF88" s="12" t="n">
        <x:f>R88*E88</x:f>
        <x:v>0</x:v>
      </x:c>
      <x:c r="AG88" s="1" t="n">
        <x:f>IF(AND(I88&gt;=0,I88&lt;=1,Q88+R88&lt;=F88+0.00000001,N88&gt;=0,N88&lt;=1),1,0)</x:f>
        <x:v>1</x:v>
      </x:c>
      <x:c r="AH88" s="1"/>
      <x:c r="AI88" s="1"/>
    </x:row>
    <x:row r="89" ht="24" customHeight="1">
      <x:c r="A89" s="1" t="str">
        <x:v>H6.1</x:v>
      </x:c>
      <x:c r="B89" s="1" t="str">
        <x:v>S2</x:v>
      </x:c>
      <x:c r="C89" s="1" t="str">
        <x:v>Только C</x:v>
      </x:c>
      <x:c r="D89" s="1" t="n">
        <x:v>1</x:v>
      </x:c>
      <x:c r="E89" s="1" t="n">
        <x:v>0</x:v>
      </x:c>
      <x:c r="F89" s="12" t="n">
        <x:f>'Когорты'!D6*'Когорты'!L6</x:f>
        <x:v>10920</x:v>
      </x:c>
      <x:c r="G89" s="8" t="n">
        <x:f>'Когорты'!F6</x:f>
        <x:v>0.21</x:v>
      </x:c>
      <x:c r="H89" s="1" t="n">
        <x:f>'Когорты'!O6</x:f>
        <x:v>1.5</x:v>
      </x:c>
      <x:c r="I89" s="8" t="n">
        <x:f>IF('Когорты'!S6&gt;0,G89*H89/'Когорты'!S6,0)</x:f>
        <x:v>0.30719719133996487</x:v>
      </x:c>
      <x:c r="J89" s="1" t="n">
        <x:f>F89*I89</x:f>
        <x:v>3354.5933294324163</x:v>
      </x:c>
      <x:c r="K89" s="8" t="n">
        <x:f>'Воздействие'!C26*D89</x:f>
        <x:v>0</x:v>
      </x:c>
      <x:c r="L89" s="8" t="n">
        <x:f>'Воздействие'!D26*E89</x:f>
        <x:v>0</x:v>
      </x:c>
      <x:c r="M89" s="8" t="n">
        <x:f>'Воздействие'!E26*D89*E89</x:f>
        <x:v>0</x:v>
      </x:c>
      <x:c r="N89" s="8" t="n">
        <x:f>K89+L89-M89</x:f>
        <x:v>0</x:v>
      </x:c>
      <x:c r="O89" s="1" t="n">
        <x:f>J89*'Параметры'!$B$10*N89</x:f>
        <x:v>0</x:v>
      </x:c>
      <x:c r="P89" s="8" t="n">
        <x:f>(1-'Воздействие'!F26*D89)*(1-'Воздействие'!G26*E89)</x:f>
        <x:v>1</x:v>
      </x:c>
      <x:c r="Q89" s="1" t="n">
        <x:f>J89*P89</x:f>
        <x:v>3354.5933294324163</x:v>
      </x:c>
      <x:c r="R89" s="1" t="n">
        <x:f>O89*P89</x:f>
        <x:v>0</x:v>
      </x:c>
      <x:c r="S89" s="8" t="n">
        <x:f>(1-'Гипотезы'!D10)*(1-'Гипотезы'!E10)</x:f>
        <x:v>0.5625</x:v>
      </x:c>
      <x:c r="T89" s="12" t="n">
        <x:f>Q89+R89*S89</x:f>
        <x:v>3354.5933294324163</x:v>
      </x:c>
      <x:c r="U89" s="12" t="n">
        <x:f>T89-J89</x:f>
        <x:v>0</x:v>
      </x:c>
      <x:c r="V89" s="12" t="n">
        <x:f>J89*'Когорты'!T6</x:f>
        <x:v>3354593.3294324162</x:v>
      </x:c>
      <x:c r="W89" s="12" t="n">
        <x:f>Q89*'Когорты'!T6*(1+'Воздействие'!H26*N89)</x:f>
        <x:v>3354593.3294324162</x:v>
      </x:c>
      <x:c r="X89" s="12" t="n">
        <x:f>R89*'Когорты'!T6*(1+'Воздействие'!H26*N89)</x:f>
        <x:v>0</x:v>
      </x:c>
      <x:c r="Y89" s="12" t="n">
        <x:f>W89+X89*S89</x:f>
        <x:v>3354593.3294324162</x:v>
      </x:c>
      <x:c r="Z89" s="12" t="n">
        <x:f>F89*N89</x:f>
        <x:v>0</x:v>
      </x:c>
      <x:c r="AA89" s="12" t="n">
        <x:f>J89*D89</x:f>
        <x:v>3354.5933294324163</x:v>
      </x:c>
      <x:c r="AB89" s="12" t="n">
        <x:f>Q89*D89</x:f>
        <x:v>3354.5933294324163</x:v>
      </x:c>
      <x:c r="AC89" s="12" t="n">
        <x:f>R89*D89</x:f>
        <x:v>0</x:v>
      </x:c>
      <x:c r="AD89" s="12" t="n">
        <x:f>J89*E89</x:f>
        <x:v>0</x:v>
      </x:c>
      <x:c r="AE89" s="12" t="n">
        <x:f>Q89*E89</x:f>
        <x:v>0</x:v>
      </x:c>
      <x:c r="AF89" s="12" t="n">
        <x:f>R89*E89</x:f>
        <x:v>0</x:v>
      </x:c>
      <x:c r="AG89" s="1" t="n">
        <x:f>IF(AND(I89&gt;=0,I89&lt;=1,Q89+R89&lt;=F89+0.00000001,N89&gt;=0,N89&lt;=1),1,0)</x:f>
        <x:v>1</x:v>
      </x:c>
      <x:c r="AH89" s="1"/>
      <x:c r="AI89" s="1"/>
    </x:row>
    <x:row r="90" ht="24" customHeight="1">
      <x:c r="A90" s="1" t="str">
        <x:v>H6.1</x:v>
      </x:c>
      <x:c r="B90" s="1" t="str">
        <x:v>S2</x:v>
      </x:c>
      <x:c r="C90" s="1" t="str">
        <x:v>Только F</x:v>
      </x:c>
      <x:c r="D90" s="1" t="n">
        <x:v>0</x:v>
      </x:c>
      <x:c r="E90" s="1" t="n">
        <x:v>1</x:v>
      </x:c>
      <x:c r="F90" s="12" t="n">
        <x:f>'Когорты'!D6*'Когорты'!M6</x:f>
        <x:v>519.9999999999999</x:v>
      </x:c>
      <x:c r="G90" s="8" t="n">
        <x:f>'Когорты'!F6</x:f>
        <x:v>0.21</x:v>
      </x:c>
      <x:c r="H90" s="1" t="n">
        <x:f>'Когорты'!P6</x:f>
        <x:v>0.2</x:v>
      </x:c>
      <x:c r="I90" s="8" t="n">
        <x:f>IF('Когорты'!S6&gt;0,G90*H90/'Когорты'!S6,0)</x:f>
        <x:v>0.04095962551199532</x:v>
      </x:c>
      <x:c r="J90" s="1" t="n">
        <x:f>F90*I90</x:f>
        <x:v>21.29900526623756</x:v>
      </x:c>
      <x:c r="K90" s="8" t="n">
        <x:f>'Воздействие'!C26*D90</x:f>
        <x:v>0</x:v>
      </x:c>
      <x:c r="L90" s="8" t="n">
        <x:f>'Воздействие'!D26*E90</x:f>
        <x:v>0.3</x:v>
      </x:c>
      <x:c r="M90" s="8" t="n">
        <x:f>'Воздействие'!E26*D90*E90</x:f>
        <x:v>0</x:v>
      </x:c>
      <x:c r="N90" s="8" t="n">
        <x:f>K90+L90-M90</x:f>
        <x:v>0.3</x:v>
      </x:c>
      <x:c r="O90" s="1" t="n">
        <x:f>J90*'Параметры'!$B$10*N90</x:f>
        <x:v>0.6389701579871269</x:v>
      </x:c>
      <x:c r="P90" s="8" t="n">
        <x:f>(1-'Воздействие'!F26*D90)*(1-'Воздействие'!G26*E90)</x:f>
        <x:v>1</x:v>
      </x:c>
      <x:c r="Q90" s="1" t="n">
        <x:f>J90*P90</x:f>
        <x:v>21.29900526623756</x:v>
      </x:c>
      <x:c r="R90" s="1" t="n">
        <x:f>O90*P90</x:f>
        <x:v>0.6389701579871269</x:v>
      </x:c>
      <x:c r="S90" s="8" t="n">
        <x:f>(1-'Гипотезы'!D10)*(1-'Гипотезы'!E10)</x:f>
        <x:v>0.5625</x:v>
      </x:c>
      <x:c r="T90" s="12" t="n">
        <x:f>Q90+R90*S90</x:f>
        <x:v>21.65842598010532</x:v>
      </x:c>
      <x:c r="U90" s="12" t="n">
        <x:f>T90-J90</x:f>
        <x:v>0.35942071386775964</x:v>
      </x:c>
      <x:c r="V90" s="12" t="n">
        <x:f>J90*'Когорты'!T6</x:f>
        <x:v>21299.00526623756</x:v>
      </x:c>
      <x:c r="W90" s="12" t="n">
        <x:f>Q90*'Когорты'!T6*(1+'Воздействие'!H26*N90)</x:f>
        <x:v>21299.00526623756</x:v>
      </x:c>
      <x:c r="X90" s="12" t="n">
        <x:f>R90*'Когорты'!T6*(1+'Воздействие'!H26*N90)</x:f>
        <x:v>638.9701579871269</x:v>
      </x:c>
      <x:c r="Y90" s="12" t="n">
        <x:f>W90+X90*S90</x:f>
        <x:v>21658.42598010532</x:v>
      </x:c>
      <x:c r="Z90" s="12" t="n">
        <x:f>F90*N90</x:f>
        <x:v>155.99999999999997</x:v>
      </x:c>
      <x:c r="AA90" s="12" t="n">
        <x:f>J90*D90</x:f>
        <x:v>0</x:v>
      </x:c>
      <x:c r="AB90" s="12" t="n">
        <x:f>Q90*D90</x:f>
        <x:v>0</x:v>
      </x:c>
      <x:c r="AC90" s="12" t="n">
        <x:f>R90*D90</x:f>
        <x:v>0</x:v>
      </x:c>
      <x:c r="AD90" s="12" t="n">
        <x:f>J90*E90</x:f>
        <x:v>21.29900526623756</x:v>
      </x:c>
      <x:c r="AE90" s="12" t="n">
        <x:f>Q90*E90</x:f>
        <x:v>21.29900526623756</x:v>
      </x:c>
      <x:c r="AF90" s="12" t="n">
        <x:f>R90*E90</x:f>
        <x:v>0.6389701579871269</x:v>
      </x:c>
      <x:c r="AG90" s="1" t="n">
        <x:f>IF(AND(I90&gt;=0,I90&lt;=1,Q90+R90&lt;=F90+0.00000001,N90&gt;=0,N90&lt;=1),1,0)</x:f>
        <x:v>1</x:v>
      </x:c>
      <x:c r="AH90" s="1"/>
      <x:c r="AI90" s="1"/>
    </x:row>
    <x:row r="91" ht="24" customHeight="1">
      <x:c r="A91" s="1" t="str">
        <x:v>H6.1</x:v>
      </x:c>
      <x:c r="B91" s="1" t="str">
        <x:v>S2</x:v>
      </x:c>
      <x:c r="C91" s="1" t="str">
        <x:v>Оба</x:v>
      </x:c>
      <x:c r="D91" s="1" t="n">
        <x:v>1</x:v>
      </x:c>
      <x:c r="E91" s="1" t="n">
        <x:v>1</x:v>
      </x:c>
      <x:c r="F91" s="12" t="n">
        <x:f>'Когорты'!D6*'Когорты'!K6</x:f>
        <x:v>2080</x:v>
      </x:c>
      <x:c r="G91" s="8" t="n">
        <x:f>'Когорты'!F6</x:f>
        <x:v>0.21</x:v>
      </x:c>
      <x:c r="H91" s="1" t="n">
        <x:f>'Когорты'!Q6</x:f>
        <x:v>1</x:v>
      </x:c>
      <x:c r="I91" s="8" t="n">
        <x:f>IF('Когорты'!S6&gt;0,G91*H91/'Когорты'!S6,0)</x:f>
        <x:v>0.20479812755997656</x:v>
      </x:c>
      <x:c r="J91" s="1" t="n">
        <x:f>F91*I91</x:f>
        <x:v>425.98010532475126</x:v>
      </x:c>
      <x:c r="K91" s="8" t="n">
        <x:f>'Воздействие'!C26*D91</x:f>
        <x:v>0</x:v>
      </x:c>
      <x:c r="L91" s="8" t="n">
        <x:f>'Воздействие'!D26*E91</x:f>
        <x:v>0.3</x:v>
      </x:c>
      <x:c r="M91" s="8" t="n">
        <x:f>'Воздействие'!E26*D91*E91</x:f>
        <x:v>0</x:v>
      </x:c>
      <x:c r="N91" s="8" t="n">
        <x:f>K91+L91-M91</x:f>
        <x:v>0.3</x:v>
      </x:c>
      <x:c r="O91" s="1" t="n">
        <x:f>J91*'Параметры'!$B$10*N91</x:f>
        <x:v>12.779403159742538</x:v>
      </x:c>
      <x:c r="P91" s="8" t="n">
        <x:f>(1-'Воздействие'!F26*D91)*(1-'Воздействие'!G26*E91)</x:f>
        <x:v>1</x:v>
      </x:c>
      <x:c r="Q91" s="1" t="n">
        <x:f>J91*P91</x:f>
        <x:v>425.98010532475126</x:v>
      </x:c>
      <x:c r="R91" s="1" t="n">
        <x:f>O91*P91</x:f>
        <x:v>12.779403159742538</x:v>
      </x:c>
      <x:c r="S91" s="8" t="n">
        <x:f>(1-'Гипотезы'!D10)*(1-'Гипотезы'!E10)</x:f>
        <x:v>0.5625</x:v>
      </x:c>
      <x:c r="T91" s="12" t="n">
        <x:f>Q91+R91*S91</x:f>
        <x:v>433.1685196021064</x:v>
      </x:c>
      <x:c r="U91" s="12" t="n">
        <x:f>T91-J91</x:f>
        <x:v>7.18841427735515</x:v>
      </x:c>
      <x:c r="V91" s="12" t="n">
        <x:f>J91*'Когорты'!T6</x:f>
        <x:v>425980.1053247513</x:v>
      </x:c>
      <x:c r="W91" s="12" t="n">
        <x:f>Q91*'Когорты'!T6*(1+'Воздействие'!H26*N91)</x:f>
        <x:v>425980.1053247513</x:v>
      </x:c>
      <x:c r="X91" s="12" t="n">
        <x:f>R91*'Когорты'!T6*(1+'Воздействие'!H26*N91)</x:f>
        <x:v>12779.403159742538</x:v>
      </x:c>
      <x:c r="Y91" s="12" t="n">
        <x:f>W91+X91*S91</x:f>
        <x:v>433168.5196021065</x:v>
      </x:c>
      <x:c r="Z91" s="12" t="n">
        <x:f>F91*N91</x:f>
        <x:v>624</x:v>
      </x:c>
      <x:c r="AA91" s="12" t="n">
        <x:f>J91*D91</x:f>
        <x:v>425.98010532475126</x:v>
      </x:c>
      <x:c r="AB91" s="12" t="n">
        <x:f>Q91*D91</x:f>
        <x:v>425.98010532475126</x:v>
      </x:c>
      <x:c r="AC91" s="12" t="n">
        <x:f>R91*D91</x:f>
        <x:v>12.779403159742538</x:v>
      </x:c>
      <x:c r="AD91" s="12" t="n">
        <x:f>J91*E91</x:f>
        <x:v>425.98010532475126</x:v>
      </x:c>
      <x:c r="AE91" s="12" t="n">
        <x:f>Q91*E91</x:f>
        <x:v>425.98010532475126</x:v>
      </x:c>
      <x:c r="AF91" s="12" t="n">
        <x:f>R91*E91</x:f>
        <x:v>12.779403159742538</x:v>
      </x:c>
      <x:c r="AG91" s="1" t="n">
        <x:f>IF(AND(I91&gt;=0,I91&lt;=1,Q91+R91&lt;=F91+0.00000001,N91&gt;=0,N91&lt;=1),1,0)</x:f>
        <x:v>1</x:v>
      </x:c>
      <x:c r="AH91" s="1"/>
      <x:c r="AI91" s="1"/>
    </x:row>
    <x:row r="92" ht="24" customHeight="1">
      <x:c r="A92" s="1" t="str">
        <x:v>H6.1</x:v>
      </x:c>
      <x:c r="B92" s="1" t="str">
        <x:v>S2</x:v>
      </x:c>
      <x:c r="C92" s="1" t="str">
        <x:v>Ни один</x:v>
      </x:c>
      <x:c r="D92" s="1" t="n">
        <x:v>0</x:v>
      </x:c>
      <x:c r="E92" s="1" t="n">
        <x:v>0</x:v>
      </x:c>
      <x:c r="F92" s="12" t="n">
        <x:f>'Когорты'!D6*'Когорты'!N6</x:f>
        <x:v>6479.999999999999</x:v>
      </x:c>
      <x:c r="G92" s="8" t="n">
        <x:f>'Когорты'!F6</x:f>
        <x:v>0.21</x:v>
      </x:c>
      <x:c r="H92" s="1" t="n">
        <x:f>'Когорты'!R6</x:f>
        <x:v>0.3</x:v>
      </x:c>
      <x:c r="I92" s="8" t="n">
        <x:f>IF('Когорты'!S6&gt;0,G92*H92/'Когорты'!S6,0)</x:f>
        <x:v>0.061439438267992974</x:v>
      </x:c>
      <x:c r="J92" s="1" t="n">
        <x:f>F92*I92</x:f>
        <x:v>398.1275599765944</x:v>
      </x:c>
      <x:c r="K92" s="8" t="n">
        <x:f>'Воздействие'!C26*D92</x:f>
        <x:v>0</x:v>
      </x:c>
      <x:c r="L92" s="8" t="n">
        <x:f>'Воздействие'!D26*E92</x:f>
        <x:v>0</x:v>
      </x:c>
      <x:c r="M92" s="8" t="n">
        <x:f>'Воздействие'!E26*D92*E92</x:f>
        <x:v>0</x:v>
      </x:c>
      <x:c r="N92" s="8" t="n">
        <x:f>K92+L92-M92</x:f>
        <x:v>0</x:v>
      </x:c>
      <x:c r="O92" s="1" t="n">
        <x:f>J92*'Параметры'!$B$10*N92</x:f>
        <x:v>0</x:v>
      </x:c>
      <x:c r="P92" s="8" t="n">
        <x:f>(1-'Воздействие'!F26*D92)*(1-'Воздействие'!G26*E92)</x:f>
        <x:v>1</x:v>
      </x:c>
      <x:c r="Q92" s="1" t="n">
        <x:f>J92*P92</x:f>
        <x:v>398.1275599765944</x:v>
      </x:c>
      <x:c r="R92" s="1" t="n">
        <x:f>O92*P92</x:f>
        <x:v>0</x:v>
      </x:c>
      <x:c r="S92" s="8" t="n">
        <x:f>(1-'Гипотезы'!D10)*(1-'Гипотезы'!E10)</x:f>
        <x:v>0.5625</x:v>
      </x:c>
      <x:c r="T92" s="12" t="n">
        <x:f>Q92+R92*S92</x:f>
        <x:v>398.1275599765944</x:v>
      </x:c>
      <x:c r="U92" s="12" t="n">
        <x:f>T92-J92</x:f>
        <x:v>0</x:v>
      </x:c>
      <x:c r="V92" s="12" t="n">
        <x:f>J92*'Когорты'!T6</x:f>
        <x:v>398127.5599765944</x:v>
      </x:c>
      <x:c r="W92" s="12" t="n">
        <x:f>Q92*'Когорты'!T6*(1+'Воздействие'!H26*N92)</x:f>
        <x:v>398127.5599765944</x:v>
      </x:c>
      <x:c r="X92" s="12" t="n">
        <x:f>R92*'Когорты'!T6*(1+'Воздействие'!H26*N92)</x:f>
        <x:v>0</x:v>
      </x:c>
      <x:c r="Y92" s="12" t="n">
        <x:f>W92+X92*S92</x:f>
        <x:v>398127.5599765944</x:v>
      </x:c>
      <x:c r="Z92" s="12" t="n">
        <x:f>F92*N92</x:f>
        <x:v>0</x:v>
      </x:c>
      <x:c r="AA92" s="12" t="n">
        <x:f>J92*D92</x:f>
        <x:v>0</x:v>
      </x:c>
      <x:c r="AB92" s="12" t="n">
        <x:f>Q92*D92</x:f>
        <x:v>0</x:v>
      </x:c>
      <x:c r="AC92" s="12" t="n">
        <x:f>R92*D92</x:f>
        <x:v>0</x:v>
      </x:c>
      <x:c r="AD92" s="12" t="n">
        <x:f>J92*E92</x:f>
        <x:v>0</x:v>
      </x:c>
      <x:c r="AE92" s="12" t="n">
        <x:f>Q92*E92</x:f>
        <x:v>0</x:v>
      </x:c>
      <x:c r="AF92" s="12" t="n">
        <x:f>R92*E92</x:f>
        <x:v>0</x:v>
      </x:c>
      <x:c r="AG92" s="1" t="n">
        <x:f>IF(AND(I92&gt;=0,I92&lt;=1,Q92+R92&lt;=F92+0.00000001,N92&gt;=0,N92&lt;=1),1,0)</x:f>
        <x:v>1</x:v>
      </x:c>
      <x:c r="AH92" s="1"/>
      <x:c r="AI92" s="1"/>
    </x:row>
    <x:row r="93" ht="24" customHeight="1">
      <x:c r="A93" s="1" t="str">
        <x:v>H6.1</x:v>
      </x:c>
      <x:c r="B93" s="1" t="str">
        <x:v>S3</x:v>
      </x:c>
      <x:c r="C93" s="1" t="str">
        <x:v>Только C</x:v>
      </x:c>
      <x:c r="D93" s="1" t="n">
        <x:v>1</x:v>
      </x:c>
      <x:c r="E93" s="1" t="n">
        <x:v>0</x:v>
      </x:c>
      <x:c r="F93" s="12" t="n">
        <x:f>'Когорты'!D7*'Когорты'!L7</x:f>
        <x:v>16380.000000000002</x:v>
      </x:c>
      <x:c r="G93" s="8" t="n">
        <x:f>'Когорты'!F7</x:f>
        <x:v>0.12</x:v>
      </x:c>
      <x:c r="H93" s="1" t="n">
        <x:f>'Когорты'!O7</x:f>
        <x:v>1.5</x:v>
      </x:c>
      <x:c r="I93" s="8" t="n">
        <x:f>IF('Когорты'!S7&gt;0,G93*H93/'Когорты'!S7,0)</x:f>
        <x:v>0.17554125219426564</x:v>
      </x:c>
      <x:c r="J93" s="1" t="n">
        <x:f>F93*I93</x:f>
        <x:v>2875.3657109420715</x:v>
      </x:c>
      <x:c r="K93" s="8" t="n">
        <x:f>'Воздействие'!C27*D93</x:f>
        <x:v>0</x:v>
      </x:c>
      <x:c r="L93" s="8" t="n">
        <x:f>'Воздействие'!D27*E93</x:f>
        <x:v>0</x:v>
      </x:c>
      <x:c r="M93" s="8" t="n">
        <x:f>'Воздействие'!E27*D93*E93</x:f>
        <x:v>0</x:v>
      </x:c>
      <x:c r="N93" s="8" t="n">
        <x:f>K93+L93-M93</x:f>
        <x:v>0</x:v>
      </x:c>
      <x:c r="O93" s="1" t="n">
        <x:f>J93*'Параметры'!$B$10*N93</x:f>
        <x:v>0</x:v>
      </x:c>
      <x:c r="P93" s="8" t="n">
        <x:f>(1-'Воздействие'!F27*D93)*(1-'Воздействие'!G27*E93)</x:f>
        <x:v>1</x:v>
      </x:c>
      <x:c r="Q93" s="1" t="n">
        <x:f>J93*P93</x:f>
        <x:v>2875.3657109420715</x:v>
      </x:c>
      <x:c r="R93" s="1" t="n">
        <x:f>O93*P93</x:f>
        <x:v>0</x:v>
      </x:c>
      <x:c r="S93" s="8" t="n">
        <x:f>(1-'Гипотезы'!D10)*(1-'Гипотезы'!E10)</x:f>
        <x:v>0.5625</x:v>
      </x:c>
      <x:c r="T93" s="12" t="n">
        <x:f>Q93+R93*S93</x:f>
        <x:v>2875.3657109420715</x:v>
      </x:c>
      <x:c r="U93" s="12" t="n">
        <x:f>T93-J93</x:f>
        <x:v>0</x:v>
      </x:c>
      <x:c r="V93" s="12" t="n">
        <x:f>J93*'Когорты'!T7</x:f>
        <x:v>2875365.7109420714</x:v>
      </x:c>
      <x:c r="W93" s="12" t="n">
        <x:f>Q93*'Когорты'!T7*(1+'Воздействие'!H27*N93)</x:f>
        <x:v>2875365.7109420714</x:v>
      </x:c>
      <x:c r="X93" s="12" t="n">
        <x:f>R93*'Когорты'!T7*(1+'Воздействие'!H27*N93)</x:f>
        <x:v>0</x:v>
      </x:c>
      <x:c r="Y93" s="12" t="n">
        <x:f>W93+X93*S93</x:f>
        <x:v>2875365.7109420714</x:v>
      </x:c>
      <x:c r="Z93" s="12" t="n">
        <x:f>F93*N93</x:f>
        <x:v>0</x:v>
      </x:c>
      <x:c r="AA93" s="12" t="n">
        <x:f>J93*D93</x:f>
        <x:v>2875.3657109420715</x:v>
      </x:c>
      <x:c r="AB93" s="12" t="n">
        <x:f>Q93*D93</x:f>
        <x:v>2875.3657109420715</x:v>
      </x:c>
      <x:c r="AC93" s="12" t="n">
        <x:f>R93*D93</x:f>
        <x:v>0</x:v>
      </x:c>
      <x:c r="AD93" s="12" t="n">
        <x:f>J93*E93</x:f>
        <x:v>0</x:v>
      </x:c>
      <x:c r="AE93" s="12" t="n">
        <x:f>Q93*E93</x:f>
        <x:v>0</x:v>
      </x:c>
      <x:c r="AF93" s="12" t="n">
        <x:f>R93*E93</x:f>
        <x:v>0</x:v>
      </x:c>
      <x:c r="AG93" s="1" t="n">
        <x:f>IF(AND(I93&gt;=0,I93&lt;=1,Q93+R93&lt;=F93+0.00000001,N93&gt;=0,N93&lt;=1),1,0)</x:f>
        <x:v>1</x:v>
      </x:c>
      <x:c r="AH93" s="1"/>
      <x:c r="AI93" s="1"/>
    </x:row>
    <x:row r="94" ht="24" customHeight="1">
      <x:c r="A94" s="1" t="str">
        <x:v>H6.1</x:v>
      </x:c>
      <x:c r="B94" s="1" t="str">
        <x:v>S3</x:v>
      </x:c>
      <x:c r="C94" s="1" t="str">
        <x:v>Только F</x:v>
      </x:c>
      <x:c r="D94" s="1" t="n">
        <x:v>0</x:v>
      </x:c>
      <x:c r="E94" s="1" t="n">
        <x:v>1</x:v>
      </x:c>
      <x:c r="F94" s="12" t="n">
        <x:f>'Когорты'!D7*'Когорты'!M7</x:f>
        <x:v>779.9999999999999</x:v>
      </x:c>
      <x:c r="G94" s="8" t="n">
        <x:f>'Когорты'!F7</x:f>
        <x:v>0.12</x:v>
      </x:c>
      <x:c r="H94" s="1" t="n">
        <x:f>'Когорты'!P7</x:f>
        <x:v>0.2</x:v>
      </x:c>
      <x:c r="I94" s="8" t="n">
        <x:f>IF('Когорты'!S7&gt;0,G94*H94/'Когорты'!S7,0)</x:f>
        <x:v>0.023405500292568753</x:v>
      </x:c>
      <x:c r="J94" s="1" t="n">
        <x:f>F94*I94</x:f>
        <x:v>18.256290228203625</x:v>
      </x:c>
      <x:c r="K94" s="8" t="n">
        <x:f>'Воздействие'!C27*D94</x:f>
        <x:v>0</x:v>
      </x:c>
      <x:c r="L94" s="8" t="n">
        <x:f>'Воздействие'!D27*E94</x:f>
        <x:v>0.1</x:v>
      </x:c>
      <x:c r="M94" s="8" t="n">
        <x:f>'Воздействие'!E27*D94*E94</x:f>
        <x:v>0</x:v>
      </x:c>
      <x:c r="N94" s="8" t="n">
        <x:f>K94+L94-M94</x:f>
        <x:v>0.1</x:v>
      </x:c>
      <x:c r="O94" s="1" t="n">
        <x:f>J94*'Параметры'!$B$10*N94</x:f>
        <x:v>0.18256290228203628</x:v>
      </x:c>
      <x:c r="P94" s="8" t="n">
        <x:f>(1-'Воздействие'!F27*D94)*(1-'Воздействие'!G27*E94)</x:f>
        <x:v>1</x:v>
      </x:c>
      <x:c r="Q94" s="1" t="n">
        <x:f>J94*P94</x:f>
        <x:v>18.256290228203625</x:v>
      </x:c>
      <x:c r="R94" s="1" t="n">
        <x:f>O94*P94</x:f>
        <x:v>0.18256290228203628</x:v>
      </x:c>
      <x:c r="S94" s="8" t="n">
        <x:f>(1-'Гипотезы'!D10)*(1-'Гипотезы'!E10)</x:f>
        <x:v>0.5625</x:v>
      </x:c>
      <x:c r="T94" s="12" t="n">
        <x:f>Q94+R94*S94</x:f>
        <x:v>18.35898186073727</x:v>
      </x:c>
      <x:c r="U94" s="12" t="n">
        <x:f>T94-J94</x:f>
        <x:v>0.1026916325336451</x:v>
      </x:c>
      <x:c r="V94" s="12" t="n">
        <x:f>J94*'Когорты'!T7</x:f>
        <x:v>18256.290228203623</x:v>
      </x:c>
      <x:c r="W94" s="12" t="n">
        <x:f>Q94*'Когорты'!T7*(1+'Воздействие'!H27*N94)</x:f>
        <x:v>18256.290228203623</x:v>
      </x:c>
      <x:c r="X94" s="12" t="n">
        <x:f>R94*'Когорты'!T7*(1+'Воздействие'!H27*N94)</x:f>
        <x:v>182.56290228203628</x:v>
      </x:c>
      <x:c r="Y94" s="12" t="n">
        <x:f>W94+X94*S94</x:f>
        <x:v>18358.98186073727</x:v>
      </x:c>
      <x:c r="Z94" s="12" t="n">
        <x:f>F94*N94</x:f>
        <x:v>78</x:v>
      </x:c>
      <x:c r="AA94" s="12" t="n">
        <x:f>J94*D94</x:f>
        <x:v>0</x:v>
      </x:c>
      <x:c r="AB94" s="12" t="n">
        <x:f>Q94*D94</x:f>
        <x:v>0</x:v>
      </x:c>
      <x:c r="AC94" s="12" t="n">
        <x:f>R94*D94</x:f>
        <x:v>0</x:v>
      </x:c>
      <x:c r="AD94" s="12" t="n">
        <x:f>J94*E94</x:f>
        <x:v>18.256290228203625</x:v>
      </x:c>
      <x:c r="AE94" s="12" t="n">
        <x:f>Q94*E94</x:f>
        <x:v>18.256290228203625</x:v>
      </x:c>
      <x:c r="AF94" s="12" t="n">
        <x:f>R94*E94</x:f>
        <x:v>0.18256290228203628</x:v>
      </x:c>
      <x:c r="AG94" s="1" t="n">
        <x:f>IF(AND(I94&gt;=0,I94&lt;=1,Q94+R94&lt;=F94+0.00000001,N94&gt;=0,N94&lt;=1),1,0)</x:f>
        <x:v>1</x:v>
      </x:c>
      <x:c r="AH94" s="1"/>
      <x:c r="AI94" s="1"/>
    </x:row>
    <x:row r="95" ht="24" customHeight="1">
      <x:c r="A95" s="1" t="str">
        <x:v>H6.1</x:v>
      </x:c>
      <x:c r="B95" s="1" t="str">
        <x:v>S3</x:v>
      </x:c>
      <x:c r="C95" s="1" t="str">
        <x:v>Оба</x:v>
      </x:c>
      <x:c r="D95" s="1" t="n">
        <x:v>1</x:v>
      </x:c>
      <x:c r="E95" s="1" t="n">
        <x:v>1</x:v>
      </x:c>
      <x:c r="F95" s="12" t="n">
        <x:f>'Когорты'!D7*'Когорты'!K7</x:f>
        <x:v>3120.0000000000005</x:v>
      </x:c>
      <x:c r="G95" s="8" t="n">
        <x:f>'Когорты'!F7</x:f>
        <x:v>0.12</x:v>
      </x:c>
      <x:c r="H95" s="1" t="n">
        <x:f>'Когорты'!Q7</x:f>
        <x:v>1</x:v>
      </x:c>
      <x:c r="I95" s="8" t="n">
        <x:f>IF('Когорты'!S7&gt;0,G95*H95/'Когорты'!S7,0)</x:f>
        <x:v>0.11702750146284376</x:v>
      </x:c>
      <x:c r="J95" s="1" t="n">
        <x:f>F95*I95</x:f>
        <x:v>365.12580456407255</x:v>
      </x:c>
      <x:c r="K95" s="8" t="n">
        <x:f>'Воздействие'!C27*D95</x:f>
        <x:v>0</x:v>
      </x:c>
      <x:c r="L95" s="8" t="n">
        <x:f>'Воздействие'!D27*E95</x:f>
        <x:v>0.1</x:v>
      </x:c>
      <x:c r="M95" s="8" t="n">
        <x:f>'Воздействие'!E27*D95*E95</x:f>
        <x:v>0</x:v>
      </x:c>
      <x:c r="N95" s="8" t="n">
        <x:f>K95+L95-M95</x:f>
        <x:v>0.1</x:v>
      </x:c>
      <x:c r="O95" s="1" t="n">
        <x:f>J95*'Параметры'!$B$10*N95</x:f>
        <x:v>3.6512580456407258</x:v>
      </x:c>
      <x:c r="P95" s="8" t="n">
        <x:f>(1-'Воздействие'!F27*D95)*(1-'Воздействие'!G27*E95)</x:f>
        <x:v>1</x:v>
      </x:c>
      <x:c r="Q95" s="1" t="n">
        <x:f>J95*P95</x:f>
        <x:v>365.12580456407255</x:v>
      </x:c>
      <x:c r="R95" s="1" t="n">
        <x:f>O95*P95</x:f>
        <x:v>3.6512580456407258</x:v>
      </x:c>
      <x:c r="S95" s="8" t="n">
        <x:f>(1-'Гипотезы'!D10)*(1-'Гипотезы'!E10)</x:f>
        <x:v>0.5625</x:v>
      </x:c>
      <x:c r="T95" s="12" t="n">
        <x:f>Q95+R95*S95</x:f>
        <x:v>367.17963721474547</x:v>
      </x:c>
      <x:c r="U95" s="12" t="n">
        <x:f>T95-J95</x:f>
        <x:v>2.0538326506729163</x:v>
      </x:c>
      <x:c r="V95" s="12" t="n">
        <x:f>J95*'Когорты'!T7</x:f>
        <x:v>365125.8045640726</x:v>
      </x:c>
      <x:c r="W95" s="12" t="n">
        <x:f>Q95*'Когорты'!T7*(1+'Воздействие'!H27*N95)</x:f>
        <x:v>365125.8045640726</x:v>
      </x:c>
      <x:c r="X95" s="12" t="n">
        <x:f>R95*'Когорты'!T7*(1+'Воздействие'!H27*N95)</x:f>
        <x:v>3651.258045640726</x:v>
      </x:c>
      <x:c r="Y95" s="12" t="n">
        <x:f>W95+X95*S95</x:f>
        <x:v>367179.6372147455</x:v>
      </x:c>
      <x:c r="Z95" s="12" t="n">
        <x:f>F95*N95</x:f>
        <x:v>312.00000000000006</x:v>
      </x:c>
      <x:c r="AA95" s="12" t="n">
        <x:f>J95*D95</x:f>
        <x:v>365.12580456407255</x:v>
      </x:c>
      <x:c r="AB95" s="12" t="n">
        <x:f>Q95*D95</x:f>
        <x:v>365.12580456407255</x:v>
      </x:c>
      <x:c r="AC95" s="12" t="n">
        <x:f>R95*D95</x:f>
        <x:v>3.6512580456407258</x:v>
      </x:c>
      <x:c r="AD95" s="12" t="n">
        <x:f>J95*E95</x:f>
        <x:v>365.12580456407255</x:v>
      </x:c>
      <x:c r="AE95" s="12" t="n">
        <x:f>Q95*E95</x:f>
        <x:v>365.12580456407255</x:v>
      </x:c>
      <x:c r="AF95" s="12" t="n">
        <x:f>R95*E95</x:f>
        <x:v>3.6512580456407258</x:v>
      </x:c>
      <x:c r="AG95" s="1" t="n">
        <x:f>IF(AND(I95&gt;=0,I95&lt;=1,Q95+R95&lt;=F95+0.00000001,N95&gt;=0,N95&lt;=1),1,0)</x:f>
        <x:v>1</x:v>
      </x:c>
      <x:c r="AH95" s="1"/>
      <x:c r="AI95" s="1"/>
    </x:row>
    <x:row r="96" ht="24" customHeight="1">
      <x:c r="A96" s="1" t="str">
        <x:v>H6.1</x:v>
      </x:c>
      <x:c r="B96" s="1" t="str">
        <x:v>S3</x:v>
      </x:c>
      <x:c r="C96" s="1" t="str">
        <x:v>Ни один</x:v>
      </x:c>
      <x:c r="D96" s="1" t="n">
        <x:v>0</x:v>
      </x:c>
      <x:c r="E96" s="1" t="n">
        <x:v>0</x:v>
      </x:c>
      <x:c r="F96" s="12" t="n">
        <x:f>'Когорты'!D7*'Когорты'!N7</x:f>
        <x:v>9719.999999999998</x:v>
      </x:c>
      <x:c r="G96" s="8" t="n">
        <x:f>'Когорты'!F7</x:f>
        <x:v>0.12</x:v>
      </x:c>
      <x:c r="H96" s="1" t="n">
        <x:f>'Когорты'!R7</x:f>
        <x:v>0.3</x:v>
      </x:c>
      <x:c r="I96" s="8" t="n">
        <x:f>IF('Когорты'!S7&gt;0,G96*H96/'Когорты'!S7,0)</x:f>
        <x:v>0.03510825043885313</x:v>
      </x:c>
      <x:c r="J96" s="1" t="n">
        <x:f>F96*I96</x:f>
        <x:v>341.25219426565235</x:v>
      </x:c>
      <x:c r="K96" s="8" t="n">
        <x:f>'Воздействие'!C27*D96</x:f>
        <x:v>0</x:v>
      </x:c>
      <x:c r="L96" s="8" t="n">
        <x:f>'Воздействие'!D27*E96</x:f>
        <x:v>0</x:v>
      </x:c>
      <x:c r="M96" s="8" t="n">
        <x:f>'Воздействие'!E27*D96*E96</x:f>
        <x:v>0</x:v>
      </x:c>
      <x:c r="N96" s="8" t="n">
        <x:f>K96+L96-M96</x:f>
        <x:v>0</x:v>
      </x:c>
      <x:c r="O96" s="1" t="n">
        <x:f>J96*'Параметры'!$B$10*N96</x:f>
        <x:v>0</x:v>
      </x:c>
      <x:c r="P96" s="8" t="n">
        <x:f>(1-'Воздействие'!F27*D96)*(1-'Воздействие'!G27*E96)</x:f>
        <x:v>1</x:v>
      </x:c>
      <x:c r="Q96" s="1" t="n">
        <x:f>J96*P96</x:f>
        <x:v>341.25219426565235</x:v>
      </x:c>
      <x:c r="R96" s="1" t="n">
        <x:f>O96*P96</x:f>
        <x:v>0</x:v>
      </x:c>
      <x:c r="S96" s="8" t="n">
        <x:f>(1-'Гипотезы'!D10)*(1-'Гипотезы'!E10)</x:f>
        <x:v>0.5625</x:v>
      </x:c>
      <x:c r="T96" s="12" t="n">
        <x:f>Q96+R96*S96</x:f>
        <x:v>341.25219426565235</x:v>
      </x:c>
      <x:c r="U96" s="12" t="n">
        <x:f>T96-J96</x:f>
        <x:v>0</x:v>
      </x:c>
      <x:c r="V96" s="12" t="n">
        <x:f>J96*'Когорты'!T7</x:f>
        <x:v>341252.19426565233</x:v>
      </x:c>
      <x:c r="W96" s="12" t="n">
        <x:f>Q96*'Когорты'!T7*(1+'Воздействие'!H27*N96)</x:f>
        <x:v>341252.19426565233</x:v>
      </x:c>
      <x:c r="X96" s="12" t="n">
        <x:f>R96*'Когорты'!T7*(1+'Воздействие'!H27*N96)</x:f>
        <x:v>0</x:v>
      </x:c>
      <x:c r="Y96" s="12" t="n">
        <x:f>W96+X96*S96</x:f>
        <x:v>341252.19426565233</x:v>
      </x:c>
      <x:c r="Z96" s="12" t="n">
        <x:f>F96*N96</x:f>
        <x:v>0</x:v>
      </x:c>
      <x:c r="AA96" s="12" t="n">
        <x:f>J96*D96</x:f>
        <x:v>0</x:v>
      </x:c>
      <x:c r="AB96" s="12" t="n">
        <x:f>Q96*D96</x:f>
        <x:v>0</x:v>
      </x:c>
      <x:c r="AC96" s="12" t="n">
        <x:f>R96*D96</x:f>
        <x:v>0</x:v>
      </x:c>
      <x:c r="AD96" s="12" t="n">
        <x:f>J96*E96</x:f>
        <x:v>0</x:v>
      </x:c>
      <x:c r="AE96" s="12" t="n">
        <x:f>Q96*E96</x:f>
        <x:v>0</x:v>
      </x:c>
      <x:c r="AF96" s="12" t="n">
        <x:f>R96*E96</x:f>
        <x:v>0</x:v>
      </x:c>
      <x:c r="AG96" s="1" t="n">
        <x:f>IF(AND(I96&gt;=0,I96&lt;=1,Q96+R96&lt;=F96+0.00000001,N96&gt;=0,N96&lt;=1),1,0)</x:f>
        <x:v>1</x:v>
      </x:c>
      <x:c r="AH96" s="1"/>
      <x:c r="AI96" s="1"/>
    </x:row>
    <x:row r="97" ht="24" customHeight="1">
      <x:c r="A97" s="1" t="str">
        <x:v>H6.1</x:v>
      </x:c>
      <x:c r="B97" s="1" t="str">
        <x:v>S4</x:v>
      </x:c>
      <x:c r="C97" s="1" t="str">
        <x:v>Только C</x:v>
      </x:c>
      <x:c r="D97" s="1" t="n">
        <x:v>1</x:v>
      </x:c>
      <x:c r="E97" s="1" t="n">
        <x:v>0</x:v>
      </x:c>
      <x:c r="F97" s="12" t="n">
        <x:f>'Когорты'!D8*'Когорты'!L8</x:f>
        <x:v>16380.000000000002</x:v>
      </x:c>
      <x:c r="G97" s="8" t="n">
        <x:f>'Когорты'!F8</x:f>
        <x:v>0.21</x:v>
      </x:c>
      <x:c r="H97" s="1" t="n">
        <x:f>'Когорты'!O8</x:f>
        <x:v>1.5</x:v>
      </x:c>
      <x:c r="I97" s="8" t="n">
        <x:f>IF('Когорты'!S8&gt;0,G97*H97/'Когорты'!S8,0)</x:f>
        <x:v>0.30719719133996487</x:v>
      </x:c>
      <x:c r="J97" s="1" t="n">
        <x:f>F97*I97</x:f>
        <x:v>5031.889994148625</x:v>
      </x:c>
      <x:c r="K97" s="8" t="n">
        <x:f>'Воздействие'!C28*D97</x:f>
        <x:v>0</x:v>
      </x:c>
      <x:c r="L97" s="8" t="n">
        <x:f>'Воздействие'!D28*E97</x:f>
        <x:v>0</x:v>
      </x:c>
      <x:c r="M97" s="8" t="n">
        <x:f>'Воздействие'!E28*D97*E97</x:f>
        <x:v>0</x:v>
      </x:c>
      <x:c r="N97" s="8" t="n">
        <x:f>K97+L97-M97</x:f>
        <x:v>0</x:v>
      </x:c>
      <x:c r="O97" s="1" t="n">
        <x:f>J97*'Параметры'!$B$10*N97</x:f>
        <x:v>0</x:v>
      </x:c>
      <x:c r="P97" s="8" t="n">
        <x:f>(1-'Воздействие'!F28*D97)*(1-'Воздействие'!G28*E97)</x:f>
        <x:v>1</x:v>
      </x:c>
      <x:c r="Q97" s="1" t="n">
        <x:f>J97*P97</x:f>
        <x:v>5031.889994148625</x:v>
      </x:c>
      <x:c r="R97" s="1" t="n">
        <x:f>O97*P97</x:f>
        <x:v>0</x:v>
      </x:c>
      <x:c r="S97" s="8" t="n">
        <x:f>(1-'Гипотезы'!D10)*(1-'Гипотезы'!E10)</x:f>
        <x:v>0.5625</x:v>
      </x:c>
      <x:c r="T97" s="12" t="n">
        <x:f>Q97+R97*S97</x:f>
        <x:v>5031.889994148625</x:v>
      </x:c>
      <x:c r="U97" s="12" t="n">
        <x:f>T97-J97</x:f>
        <x:v>0</x:v>
      </x:c>
      <x:c r="V97" s="12" t="n">
        <x:f>J97*'Когорты'!T8</x:f>
        <x:v>5031889.994148625</x:v>
      </x:c>
      <x:c r="W97" s="12" t="n">
        <x:f>Q97*'Когорты'!T8*(1+'Воздействие'!H28*N97)</x:f>
        <x:v>5031889.994148625</x:v>
      </x:c>
      <x:c r="X97" s="12" t="n">
        <x:f>R97*'Когорты'!T8*(1+'Воздействие'!H28*N97)</x:f>
        <x:v>0</x:v>
      </x:c>
      <x:c r="Y97" s="12" t="n">
        <x:f>W97+X97*S97</x:f>
        <x:v>5031889.994148625</x:v>
      </x:c>
      <x:c r="Z97" s="12" t="n">
        <x:f>F97*N97</x:f>
        <x:v>0</x:v>
      </x:c>
      <x:c r="AA97" s="12" t="n">
        <x:f>J97*D97</x:f>
        <x:v>5031.889994148625</x:v>
      </x:c>
      <x:c r="AB97" s="12" t="n">
        <x:f>Q97*D97</x:f>
        <x:v>5031.889994148625</x:v>
      </x:c>
      <x:c r="AC97" s="12" t="n">
        <x:f>R97*D97</x:f>
        <x:v>0</x:v>
      </x:c>
      <x:c r="AD97" s="12" t="n">
        <x:f>J97*E97</x:f>
        <x:v>0</x:v>
      </x:c>
      <x:c r="AE97" s="12" t="n">
        <x:f>Q97*E97</x:f>
        <x:v>0</x:v>
      </x:c>
      <x:c r="AF97" s="12" t="n">
        <x:f>R97*E97</x:f>
        <x:v>0</x:v>
      </x:c>
      <x:c r="AG97" s="1" t="n">
        <x:f>IF(AND(I97&gt;=0,I97&lt;=1,Q97+R97&lt;=F97+0.00000001,N97&gt;=0,N97&lt;=1),1,0)</x:f>
        <x:v>1</x:v>
      </x:c>
      <x:c r="AH97" s="1"/>
      <x:c r="AI97" s="1"/>
    </x:row>
    <x:row r="98" ht="24" customHeight="1">
      <x:c r="A98" s="1" t="str">
        <x:v>H6.1</x:v>
      </x:c>
      <x:c r="B98" s="1" t="str">
        <x:v>S4</x:v>
      </x:c>
      <x:c r="C98" s="1" t="str">
        <x:v>Только F</x:v>
      </x:c>
      <x:c r="D98" s="1" t="n">
        <x:v>0</x:v>
      </x:c>
      <x:c r="E98" s="1" t="n">
        <x:v>1</x:v>
      </x:c>
      <x:c r="F98" s="12" t="n">
        <x:f>'Когорты'!D8*'Когорты'!M8</x:f>
        <x:v>779.9999999999999</x:v>
      </x:c>
      <x:c r="G98" s="8" t="n">
        <x:f>'Когорты'!F8</x:f>
        <x:v>0.21</x:v>
      </x:c>
      <x:c r="H98" s="1" t="n">
        <x:f>'Когорты'!P8</x:f>
        <x:v>0.2</x:v>
      </x:c>
      <x:c r="I98" s="8" t="n">
        <x:f>IF('Когорты'!S8&gt;0,G98*H98/'Когорты'!S8,0)</x:f>
        <x:v>0.04095962551199532</x:v>
      </x:c>
      <x:c r="J98" s="1" t="n">
        <x:f>F98*I98</x:f>
        <x:v>31.948507899356347</x:v>
      </x:c>
      <x:c r="K98" s="8" t="n">
        <x:f>'Воздействие'!C28*D98</x:f>
        <x:v>0</x:v>
      </x:c>
      <x:c r="L98" s="8" t="n">
        <x:f>'Воздействие'!D28*E98</x:f>
        <x:v>0.1</x:v>
      </x:c>
      <x:c r="M98" s="8" t="n">
        <x:f>'Воздействие'!E28*D98*E98</x:f>
        <x:v>0</x:v>
      </x:c>
      <x:c r="N98" s="8" t="n">
        <x:f>K98+L98-M98</x:f>
        <x:v>0.1</x:v>
      </x:c>
      <x:c r="O98" s="1" t="n">
        <x:f>J98*'Параметры'!$B$10*N98</x:f>
        <x:v>0.3194850789935635</x:v>
      </x:c>
      <x:c r="P98" s="8" t="n">
        <x:f>(1-'Воздействие'!F28*D98)*(1-'Воздействие'!G28*E98)</x:f>
        <x:v>1</x:v>
      </x:c>
      <x:c r="Q98" s="1" t="n">
        <x:f>J98*P98</x:f>
        <x:v>31.948507899356347</x:v>
      </x:c>
      <x:c r="R98" s="1" t="n">
        <x:f>O98*P98</x:f>
        <x:v>0.3194850789935635</x:v>
      </x:c>
      <x:c r="S98" s="8" t="n">
        <x:f>(1-'Гипотезы'!D10)*(1-'Гипотезы'!E10)</x:f>
        <x:v>0.5625</x:v>
      </x:c>
      <x:c r="T98" s="12" t="n">
        <x:f>Q98+R98*S98</x:f>
        <x:v>32.128218256290225</x:v>
      </x:c>
      <x:c r="U98" s="12" t="n">
        <x:f>T98-J98</x:f>
        <x:v>0.17971035693387805</x:v>
      </x:c>
      <x:c r="V98" s="12" t="n">
        <x:f>J98*'Когорты'!T8</x:f>
        <x:v>31948.507899356347</x:v>
      </x:c>
      <x:c r="W98" s="12" t="n">
        <x:f>Q98*'Когорты'!T8*(1+'Воздействие'!H28*N98)</x:f>
        <x:v>31948.507899356347</x:v>
      </x:c>
      <x:c r="X98" s="12" t="n">
        <x:f>R98*'Когорты'!T8*(1+'Воздействие'!H28*N98)</x:f>
        <x:v>319.4850789935635</x:v>
      </x:c>
      <x:c r="Y98" s="12" t="n">
        <x:f>W98+X98*S98</x:f>
        <x:v>32128.218256290227</x:v>
      </x:c>
      <x:c r="Z98" s="12" t="n">
        <x:f>F98*N98</x:f>
        <x:v>78</x:v>
      </x:c>
      <x:c r="AA98" s="12" t="n">
        <x:f>J98*D98</x:f>
        <x:v>0</x:v>
      </x:c>
      <x:c r="AB98" s="12" t="n">
        <x:f>Q98*D98</x:f>
        <x:v>0</x:v>
      </x:c>
      <x:c r="AC98" s="12" t="n">
        <x:f>R98*D98</x:f>
        <x:v>0</x:v>
      </x:c>
      <x:c r="AD98" s="12" t="n">
        <x:f>J98*E98</x:f>
        <x:v>31.948507899356347</x:v>
      </x:c>
      <x:c r="AE98" s="12" t="n">
        <x:f>Q98*E98</x:f>
        <x:v>31.948507899356347</x:v>
      </x:c>
      <x:c r="AF98" s="12" t="n">
        <x:f>R98*E98</x:f>
        <x:v>0.3194850789935635</x:v>
      </x:c>
      <x:c r="AG98" s="1" t="n">
        <x:f>IF(AND(I98&gt;=0,I98&lt;=1,Q98+R98&lt;=F98+0.00000001,N98&gt;=0,N98&lt;=1),1,0)</x:f>
        <x:v>1</x:v>
      </x:c>
      <x:c r="AH98" s="1"/>
      <x:c r="AI98" s="1"/>
    </x:row>
    <x:row r="99" ht="24" customHeight="1">
      <x:c r="A99" s="1" t="str">
        <x:v>H6.1</x:v>
      </x:c>
      <x:c r="B99" s="1" t="str">
        <x:v>S4</x:v>
      </x:c>
      <x:c r="C99" s="1" t="str">
        <x:v>Оба</x:v>
      </x:c>
      <x:c r="D99" s="1" t="n">
        <x:v>1</x:v>
      </x:c>
      <x:c r="E99" s="1" t="n">
        <x:v>1</x:v>
      </x:c>
      <x:c r="F99" s="12" t="n">
        <x:f>'Когорты'!D8*'Когорты'!K8</x:f>
        <x:v>3120.0000000000005</x:v>
      </x:c>
      <x:c r="G99" s="8" t="n">
        <x:f>'Когорты'!F8</x:f>
        <x:v>0.21</x:v>
      </x:c>
      <x:c r="H99" s="1" t="n">
        <x:f>'Когорты'!Q8</x:f>
        <x:v>1</x:v>
      </x:c>
      <x:c r="I99" s="8" t="n">
        <x:f>IF('Когорты'!S8&gt;0,G99*H99/'Когорты'!S8,0)</x:f>
        <x:v>0.20479812755997656</x:v>
      </x:c>
      <x:c r="J99" s="1" t="n">
        <x:f>F99*I99</x:f>
        <x:v>638.970157987127</x:v>
      </x:c>
      <x:c r="K99" s="8" t="n">
        <x:f>'Воздействие'!C28*D99</x:f>
        <x:v>0</x:v>
      </x:c>
      <x:c r="L99" s="8" t="n">
        <x:f>'Воздействие'!D28*E99</x:f>
        <x:v>0.1</x:v>
      </x:c>
      <x:c r="M99" s="8" t="n">
        <x:f>'Воздействие'!E28*D99*E99</x:f>
        <x:v>0</x:v>
      </x:c>
      <x:c r="N99" s="8" t="n">
        <x:f>K99+L99-M99</x:f>
        <x:v>0.1</x:v>
      </x:c>
      <x:c r="O99" s="1" t="n">
        <x:f>J99*'Параметры'!$B$10*N99</x:f>
        <x:v>6.389701579871271</x:v>
      </x:c>
      <x:c r="P99" s="8" t="n">
        <x:f>(1-'Воздействие'!F28*D99)*(1-'Воздействие'!G28*E99)</x:f>
        <x:v>1</x:v>
      </x:c>
      <x:c r="Q99" s="1" t="n">
        <x:f>J99*P99</x:f>
        <x:v>638.970157987127</x:v>
      </x:c>
      <x:c r="R99" s="1" t="n">
        <x:f>O99*P99</x:f>
        <x:v>6.389701579871271</x:v>
      </x:c>
      <x:c r="S99" s="8" t="n">
        <x:f>(1-'Гипотезы'!D10)*(1-'Гипотезы'!E10)</x:f>
        <x:v>0.5625</x:v>
      </x:c>
      <x:c r="T99" s="12" t="n">
        <x:f>Q99+R99*S99</x:f>
        <x:v>642.5643651258046</x:v>
      </x:c>
      <x:c r="U99" s="12" t="n">
        <x:f>T99-J99</x:f>
        <x:v>3.594207138677575</x:v>
      </x:c>
      <x:c r="V99" s="12" t="n">
        <x:f>J99*'Когорты'!T8</x:f>
        <x:v>638970.157987127</x:v>
      </x:c>
      <x:c r="W99" s="12" t="n">
        <x:f>Q99*'Когорты'!T8*(1+'Воздействие'!H28*N99)</x:f>
        <x:v>638970.157987127</x:v>
      </x:c>
      <x:c r="X99" s="12" t="n">
        <x:f>R99*'Когорты'!T8*(1+'Воздействие'!H28*N99)</x:f>
        <x:v>6389.701579871271</x:v>
      </x:c>
      <x:c r="Y99" s="12" t="n">
        <x:f>W99+X99*S99</x:f>
        <x:v>642564.3651258046</x:v>
      </x:c>
      <x:c r="Z99" s="12" t="n">
        <x:f>F99*N99</x:f>
        <x:v>312.00000000000006</x:v>
      </x:c>
      <x:c r="AA99" s="12" t="n">
        <x:f>J99*D99</x:f>
        <x:v>638.970157987127</x:v>
      </x:c>
      <x:c r="AB99" s="12" t="n">
        <x:f>Q99*D99</x:f>
        <x:v>638.970157987127</x:v>
      </x:c>
      <x:c r="AC99" s="12" t="n">
        <x:f>R99*D99</x:f>
        <x:v>6.389701579871271</x:v>
      </x:c>
      <x:c r="AD99" s="12" t="n">
        <x:f>J99*E99</x:f>
        <x:v>638.970157987127</x:v>
      </x:c>
      <x:c r="AE99" s="12" t="n">
        <x:f>Q99*E99</x:f>
        <x:v>638.970157987127</x:v>
      </x:c>
      <x:c r="AF99" s="12" t="n">
        <x:f>R99*E99</x:f>
        <x:v>6.389701579871271</x:v>
      </x:c>
      <x:c r="AG99" s="1" t="n">
        <x:f>IF(AND(I99&gt;=0,I99&lt;=1,Q99+R99&lt;=F99+0.00000001,N99&gt;=0,N99&lt;=1),1,0)</x:f>
        <x:v>1</x:v>
      </x:c>
      <x:c r="AH99" s="1"/>
      <x:c r="AI99" s="1"/>
    </x:row>
    <x:row r="100" ht="24" customHeight="1">
      <x:c r="A100" s="1" t="str">
        <x:v>H6.1</x:v>
      </x:c>
      <x:c r="B100" s="1" t="str">
        <x:v>S4</x:v>
      </x:c>
      <x:c r="C100" s="1" t="str">
        <x:v>Ни один</x:v>
      </x:c>
      <x:c r="D100" s="1" t="n">
        <x:v>0</x:v>
      </x:c>
      <x:c r="E100" s="1" t="n">
        <x:v>0</x:v>
      </x:c>
      <x:c r="F100" s="12" t="n">
        <x:f>'Когорты'!D8*'Когорты'!N8</x:f>
        <x:v>9719.999999999998</x:v>
      </x:c>
      <x:c r="G100" s="8" t="n">
        <x:f>'Когорты'!F8</x:f>
        <x:v>0.21</x:v>
      </x:c>
      <x:c r="H100" s="1" t="n">
        <x:f>'Когорты'!R8</x:f>
        <x:v>0.3</x:v>
      </x:c>
      <x:c r="I100" s="8" t="n">
        <x:f>IF('Когорты'!S8&gt;0,G100*H100/'Когорты'!S8,0)</x:f>
        <x:v>0.061439438267992974</x:v>
      </x:c>
      <x:c r="J100" s="1" t="n">
        <x:f>F100*I100</x:f>
        <x:v>597.1913399648915</x:v>
      </x:c>
      <x:c r="K100" s="8" t="n">
        <x:f>'Воздействие'!C28*D100</x:f>
        <x:v>0</x:v>
      </x:c>
      <x:c r="L100" s="8" t="n">
        <x:f>'Воздействие'!D28*E100</x:f>
        <x:v>0</x:v>
      </x:c>
      <x:c r="M100" s="8" t="n">
        <x:f>'Воздействие'!E28*D100*E100</x:f>
        <x:v>0</x:v>
      </x:c>
      <x:c r="N100" s="8" t="n">
        <x:f>K100+L100-M100</x:f>
        <x:v>0</x:v>
      </x:c>
      <x:c r="O100" s="1" t="n">
        <x:f>J100*'Параметры'!$B$10*N100</x:f>
        <x:v>0</x:v>
      </x:c>
      <x:c r="P100" s="8" t="n">
        <x:f>(1-'Воздействие'!F28*D100)*(1-'Воздействие'!G28*E100)</x:f>
        <x:v>1</x:v>
      </x:c>
      <x:c r="Q100" s="1" t="n">
        <x:f>J100*P100</x:f>
        <x:v>597.1913399648915</x:v>
      </x:c>
      <x:c r="R100" s="1" t="n">
        <x:f>O100*P100</x:f>
        <x:v>0</x:v>
      </x:c>
      <x:c r="S100" s="8" t="n">
        <x:f>(1-'Гипотезы'!D10)*(1-'Гипотезы'!E10)</x:f>
        <x:v>0.5625</x:v>
      </x:c>
      <x:c r="T100" s="12" t="n">
        <x:f>Q100+R100*S100</x:f>
        <x:v>597.1913399648915</x:v>
      </x:c>
      <x:c r="U100" s="12" t="n">
        <x:f>T100-J100</x:f>
        <x:v>0</x:v>
      </x:c>
      <x:c r="V100" s="12" t="n">
        <x:f>J100*'Когорты'!T8</x:f>
        <x:v>597191.3399648916</x:v>
      </x:c>
      <x:c r="W100" s="12" t="n">
        <x:f>Q100*'Когорты'!T8*(1+'Воздействие'!H28*N100)</x:f>
        <x:v>597191.3399648916</x:v>
      </x:c>
      <x:c r="X100" s="12" t="n">
        <x:f>R100*'Когорты'!T8*(1+'Воздействие'!H28*N100)</x:f>
        <x:v>0</x:v>
      </x:c>
      <x:c r="Y100" s="12" t="n">
        <x:f>W100+X100*S100</x:f>
        <x:v>597191.3399648916</x:v>
      </x:c>
      <x:c r="Z100" s="12" t="n">
        <x:f>F100*N100</x:f>
        <x:v>0</x:v>
      </x:c>
      <x:c r="AA100" s="12" t="n">
        <x:f>J100*D100</x:f>
        <x:v>0</x:v>
      </x:c>
      <x:c r="AB100" s="12" t="n">
        <x:f>Q100*D100</x:f>
        <x:v>0</x:v>
      </x:c>
      <x:c r="AC100" s="12" t="n">
        <x:f>R100*D100</x:f>
        <x:v>0</x:v>
      </x:c>
      <x:c r="AD100" s="12" t="n">
        <x:f>J100*E100</x:f>
        <x:v>0</x:v>
      </x:c>
      <x:c r="AE100" s="12" t="n">
        <x:f>Q100*E100</x:f>
        <x:v>0</x:v>
      </x:c>
      <x:c r="AF100" s="12" t="n">
        <x:f>R100*E100</x:f>
        <x:v>0</x:v>
      </x:c>
      <x:c r="AG100" s="1" t="n">
        <x:f>IF(AND(I100&gt;=0,I100&lt;=1,Q100+R100&lt;=F100+0.00000001,N100&gt;=0,N100&lt;=1),1,0)</x:f>
        <x:v>1</x:v>
      </x:c>
      <x:c r="AH100" s="1"/>
      <x:c r="AI100" s="1"/>
    </x:row>
    <x:row r="101" ht="24" customHeight="1">
      <x:c r="A101" s="1" t="str">
        <x:v>H6.2</x:v>
      </x:c>
      <x:c r="B101" s="1" t="str">
        <x:v>S1</x:v>
      </x:c>
      <x:c r="C101" s="1" t="str">
        <x:v>Только C</x:v>
      </x:c>
      <x:c r="D101" s="1" t="n">
        <x:v>1</x:v>
      </x:c>
      <x:c r="E101" s="1" t="n">
        <x:v>0</x:v>
      </x:c>
      <x:c r="F101" s="12" t="n">
        <x:f>'Когорты'!D5*'Когорты'!L5</x:f>
        <x:v>10920</x:v>
      </x:c>
      <x:c r="G101" s="8" t="n">
        <x:f>'Когорты'!F5</x:f>
        <x:v>0.3</x:v>
      </x:c>
      <x:c r="H101" s="1" t="n">
        <x:f>'Когорты'!O5</x:f>
        <x:v>1.5</x:v>
      </x:c>
      <x:c r="I101" s="8" t="n">
        <x:f>IF('Когорты'!S5&gt;0,G101*H101/'Когорты'!S5,0)</x:f>
        <x:v>0.43885313048566404</x:v>
      </x:c>
      <x:c r="J101" s="1" t="n">
        <x:f>F101*I101</x:f>
        <x:v>4792.276184903451</x:v>
      </x:c>
      <x:c r="K101" s="8" t="n">
        <x:f>'Воздействие'!C29*D101</x:f>
        <x:v>0</x:v>
      </x:c>
      <x:c r="L101" s="8" t="n">
        <x:f>'Воздействие'!D29*E101</x:f>
        <x:v>0</x:v>
      </x:c>
      <x:c r="M101" s="8" t="n">
        <x:f>'Воздействие'!E29*D101*E101</x:f>
        <x:v>0</x:v>
      </x:c>
      <x:c r="N101" s="8" t="n">
        <x:f>K101+L101-M101</x:f>
        <x:v>0</x:v>
      </x:c>
      <x:c r="O101" s="1" t="n">
        <x:f>J101*'Параметры'!$B$10*N101</x:f>
        <x:v>0</x:v>
      </x:c>
      <x:c r="P101" s="8" t="n">
        <x:f>(1-'Воздействие'!F29*D101)*(1-'Воздействие'!G29*E101)</x:f>
        <x:v>1</x:v>
      </x:c>
      <x:c r="Q101" s="1" t="n">
        <x:f>J101*P101</x:f>
        <x:v>4792.276184903451</x:v>
      </x:c>
      <x:c r="R101" s="1" t="n">
        <x:f>O101*P101</x:f>
        <x:v>0</x:v>
      </x:c>
      <x:c r="S101" s="8" t="n">
        <x:f>(1-'Гипотезы'!D11)*(1-'Гипотезы'!E11)</x:f>
        <x:v>0.5625</x:v>
      </x:c>
      <x:c r="T101" s="12" t="n">
        <x:f>Q101+R101*S101</x:f>
        <x:v>4792.276184903451</x:v>
      </x:c>
      <x:c r="U101" s="12" t="n">
        <x:f>T101-J101</x:f>
        <x:v>0</x:v>
      </x:c>
      <x:c r="V101" s="12" t="n">
        <x:f>J101*'Когорты'!T5</x:f>
        <x:v>4792276.184903451</x:v>
      </x:c>
      <x:c r="W101" s="12" t="n">
        <x:f>Q101*'Когорты'!T5*(1+'Воздействие'!H29*N101)</x:f>
        <x:v>4792276.184903451</x:v>
      </x:c>
      <x:c r="X101" s="12" t="n">
        <x:f>R101*'Когорты'!T5*(1+'Воздействие'!H29*N101)</x:f>
        <x:v>0</x:v>
      </x:c>
      <x:c r="Y101" s="12" t="n">
        <x:f>W101+X101*S101</x:f>
        <x:v>4792276.184903451</x:v>
      </x:c>
      <x:c r="Z101" s="12" t="n">
        <x:f>F101*N101</x:f>
        <x:v>0</x:v>
      </x:c>
      <x:c r="AA101" s="12" t="n">
        <x:f>J101*D101</x:f>
        <x:v>4792.276184903451</x:v>
      </x:c>
      <x:c r="AB101" s="12" t="n">
        <x:f>Q101*D101</x:f>
        <x:v>4792.276184903451</x:v>
      </x:c>
      <x:c r="AC101" s="12" t="n">
        <x:f>R101*D101</x:f>
        <x:v>0</x:v>
      </x:c>
      <x:c r="AD101" s="12" t="n">
        <x:f>J101*E101</x:f>
        <x:v>0</x:v>
      </x:c>
      <x:c r="AE101" s="12" t="n">
        <x:f>Q101*E101</x:f>
        <x:v>0</x:v>
      </x:c>
      <x:c r="AF101" s="12" t="n">
        <x:f>R101*E101</x:f>
        <x:v>0</x:v>
      </x:c>
      <x:c r="AG101" s="1" t="n">
        <x:f>IF(AND(I101&gt;=0,I101&lt;=1,Q101+R101&lt;=F101+0.00000001,N101&gt;=0,N101&lt;=1),1,0)</x:f>
        <x:v>1</x:v>
      </x:c>
      <x:c r="AH101" s="1"/>
      <x:c r="AI101" s="1"/>
    </x:row>
    <x:row r="102" ht="24" customHeight="1">
      <x:c r="A102" s="1" t="str">
        <x:v>H6.2</x:v>
      </x:c>
      <x:c r="B102" s="1" t="str">
        <x:v>S1</x:v>
      </x:c>
      <x:c r="C102" s="1" t="str">
        <x:v>Только F</x:v>
      </x:c>
      <x:c r="D102" s="1" t="n">
        <x:v>0</x:v>
      </x:c>
      <x:c r="E102" s="1" t="n">
        <x:v>1</x:v>
      </x:c>
      <x:c r="F102" s="12" t="n">
        <x:f>'Когорты'!D5*'Когорты'!M5</x:f>
        <x:v>519.9999999999999</x:v>
      </x:c>
      <x:c r="G102" s="8" t="n">
        <x:f>'Когорты'!F5</x:f>
        <x:v>0.3</x:v>
      </x:c>
      <x:c r="H102" s="1" t="n">
        <x:f>'Когорты'!P5</x:f>
        <x:v>0.2</x:v>
      </x:c>
      <x:c r="I102" s="8" t="n">
        <x:f>IF('Когорты'!S5&gt;0,G102*H102/'Когорты'!S5,0)</x:f>
        <x:v>0.05851375073142188</x:v>
      </x:c>
      <x:c r="J102" s="1" t="n">
        <x:f>F102*I102</x:f>
        <x:v>30.42715038033937</x:v>
      </x:c>
      <x:c r="K102" s="8" t="n">
        <x:f>'Воздействие'!C29*D102</x:f>
        <x:v>0</x:v>
      </x:c>
      <x:c r="L102" s="8" t="n">
        <x:f>'Воздействие'!D29*E102</x:f>
        <x:v>0.3</x:v>
      </x:c>
      <x:c r="M102" s="8" t="n">
        <x:f>'Воздействие'!E29*D102*E102</x:f>
        <x:v>0</x:v>
      </x:c>
      <x:c r="N102" s="8" t="n">
        <x:f>K102+L102-M102</x:f>
        <x:v>0.3</x:v>
      </x:c>
      <x:c r="O102" s="1" t="n">
        <x:f>J102*'Параметры'!$B$10*N102</x:f>
        <x:v>0.9128145114101811</x:v>
      </x:c>
      <x:c r="P102" s="8" t="n">
        <x:f>(1-'Воздействие'!F29*D102)*(1-'Воздействие'!G29*E102)</x:f>
        <x:v>1</x:v>
      </x:c>
      <x:c r="Q102" s="1" t="n">
        <x:f>J102*P102</x:f>
        <x:v>30.42715038033937</x:v>
      </x:c>
      <x:c r="R102" s="1" t="n">
        <x:f>O102*P102</x:f>
        <x:v>0.9128145114101811</x:v>
      </x:c>
      <x:c r="S102" s="8" t="n">
        <x:f>(1-'Гипотезы'!D11)*(1-'Гипотезы'!E11)</x:f>
        <x:v>0.5625</x:v>
      </x:c>
      <x:c r="T102" s="12" t="n">
        <x:f>Q102+R102*S102</x:f>
        <x:v>30.940608543007595</x:v>
      </x:c>
      <x:c r="U102" s="12" t="n">
        <x:f>T102-J102</x:f>
        <x:v>0.5134581626682255</x:v>
      </x:c>
      <x:c r="V102" s="12" t="n">
        <x:f>J102*'Когорты'!T5</x:f>
        <x:v>30427.15038033937</x:v>
      </x:c>
      <x:c r="W102" s="12" t="n">
        <x:f>Q102*'Когорты'!T5*(1+'Воздействие'!H29*N102)</x:f>
        <x:v>30427.15038033937</x:v>
      </x:c>
      <x:c r="X102" s="12" t="n">
        <x:f>R102*'Когорты'!T5*(1+'Воздействие'!H29*N102)</x:f>
        <x:v>912.8145114101811</x:v>
      </x:c>
      <x:c r="Y102" s="12" t="n">
        <x:f>W102+X102*S102</x:f>
        <x:v>30940.6085430076</x:v>
      </x:c>
      <x:c r="Z102" s="12" t="n">
        <x:f>F102*N102</x:f>
        <x:v>155.99999999999997</x:v>
      </x:c>
      <x:c r="AA102" s="12" t="n">
        <x:f>J102*D102</x:f>
        <x:v>0</x:v>
      </x:c>
      <x:c r="AB102" s="12" t="n">
        <x:f>Q102*D102</x:f>
        <x:v>0</x:v>
      </x:c>
      <x:c r="AC102" s="12" t="n">
        <x:f>R102*D102</x:f>
        <x:v>0</x:v>
      </x:c>
      <x:c r="AD102" s="12" t="n">
        <x:f>J102*E102</x:f>
        <x:v>30.42715038033937</x:v>
      </x:c>
      <x:c r="AE102" s="12" t="n">
        <x:f>Q102*E102</x:f>
        <x:v>30.42715038033937</x:v>
      </x:c>
      <x:c r="AF102" s="12" t="n">
        <x:f>R102*E102</x:f>
        <x:v>0.9128145114101811</x:v>
      </x:c>
      <x:c r="AG102" s="1" t="n">
        <x:f>IF(AND(I102&gt;=0,I102&lt;=1,Q102+R102&lt;=F102+0.00000001,N102&gt;=0,N102&lt;=1),1,0)</x:f>
        <x:v>1</x:v>
      </x:c>
      <x:c r="AH102" s="1"/>
      <x:c r="AI102" s="1"/>
    </x:row>
    <x:row r="103" ht="24" customHeight="1">
      <x:c r="A103" s="1" t="str">
        <x:v>H6.2</x:v>
      </x:c>
      <x:c r="B103" s="1" t="str">
        <x:v>S1</x:v>
      </x:c>
      <x:c r="C103" s="1" t="str">
        <x:v>Оба</x:v>
      </x:c>
      <x:c r="D103" s="1" t="n">
        <x:v>1</x:v>
      </x:c>
      <x:c r="E103" s="1" t="n">
        <x:v>1</x:v>
      </x:c>
      <x:c r="F103" s="12" t="n">
        <x:f>'Когорты'!D5*'Когорты'!K5</x:f>
        <x:v>2080</x:v>
      </x:c>
      <x:c r="G103" s="8" t="n">
        <x:f>'Когорты'!F5</x:f>
        <x:v>0.3</x:v>
      </x:c>
      <x:c r="H103" s="1" t="n">
        <x:f>'Когорты'!Q5</x:f>
        <x:v>1</x:v>
      </x:c>
      <x:c r="I103" s="8" t="n">
        <x:f>IF('Когорты'!S5&gt;0,G103*H103/'Когорты'!S5,0)</x:f>
        <x:v>0.2925687536571094</x:v>
      </x:c>
      <x:c r="J103" s="1" t="n">
        <x:f>F103*I103</x:f>
        <x:v>608.5430076067876</x:v>
      </x:c>
      <x:c r="K103" s="8" t="n">
        <x:f>'Воздействие'!C29*D103</x:f>
        <x:v>0</x:v>
      </x:c>
      <x:c r="L103" s="8" t="n">
        <x:f>'Воздействие'!D29*E103</x:f>
        <x:v>0.3</x:v>
      </x:c>
      <x:c r="M103" s="8" t="n">
        <x:f>'Воздействие'!E29*D103*E103</x:f>
        <x:v>0</x:v>
      </x:c>
      <x:c r="N103" s="8" t="n">
        <x:f>K103+L103-M103</x:f>
        <x:v>0.3</x:v>
      </x:c>
      <x:c r="O103" s="1" t="n">
        <x:f>J103*'Параметры'!$B$10*N103</x:f>
        <x:v>18.25629022820363</x:v>
      </x:c>
      <x:c r="P103" s="8" t="n">
        <x:f>(1-'Воздействие'!F29*D103)*(1-'Воздействие'!G29*E103)</x:f>
        <x:v>1</x:v>
      </x:c>
      <x:c r="Q103" s="1" t="n">
        <x:f>J103*P103</x:f>
        <x:v>608.5430076067876</x:v>
      </x:c>
      <x:c r="R103" s="1" t="n">
        <x:f>O103*P103</x:f>
        <x:v>18.25629022820363</x:v>
      </x:c>
      <x:c r="S103" s="8" t="n">
        <x:f>(1-'Гипотезы'!D11)*(1-'Гипотезы'!E11)</x:f>
        <x:v>0.5625</x:v>
      </x:c>
      <x:c r="T103" s="12" t="n">
        <x:f>Q103+R103*S103</x:f>
        <x:v>618.8121708601522</x:v>
      </x:c>
      <x:c r="U103" s="12" t="n">
        <x:f>T103-J103</x:f>
        <x:v>10.269163253364582</x:v>
      </x:c>
      <x:c r="V103" s="12" t="n">
        <x:f>J103*'Когорты'!T5</x:f>
        <x:v>608543.0076067876</x:v>
      </x:c>
      <x:c r="W103" s="12" t="n">
        <x:f>Q103*'Когорты'!T5*(1+'Воздействие'!H29*N103)</x:f>
        <x:v>608543.0076067876</x:v>
      </x:c>
      <x:c r="X103" s="12" t="n">
        <x:f>R103*'Когорты'!T5*(1+'Воздействие'!H29*N103)</x:f>
        <x:v>18256.290228203627</x:v>
      </x:c>
      <x:c r="Y103" s="12" t="n">
        <x:f>W103+X103*S103</x:f>
        <x:v>618812.1708601521</x:v>
      </x:c>
      <x:c r="Z103" s="12" t="n">
        <x:f>F103*N103</x:f>
        <x:v>624</x:v>
      </x:c>
      <x:c r="AA103" s="12" t="n">
        <x:f>J103*D103</x:f>
        <x:v>608.5430076067876</x:v>
      </x:c>
      <x:c r="AB103" s="12" t="n">
        <x:f>Q103*D103</x:f>
        <x:v>608.5430076067876</x:v>
      </x:c>
      <x:c r="AC103" s="12" t="n">
        <x:f>R103*D103</x:f>
        <x:v>18.25629022820363</x:v>
      </x:c>
      <x:c r="AD103" s="12" t="n">
        <x:f>J103*E103</x:f>
        <x:v>608.5430076067876</x:v>
      </x:c>
      <x:c r="AE103" s="12" t="n">
        <x:f>Q103*E103</x:f>
        <x:v>608.5430076067876</x:v>
      </x:c>
      <x:c r="AF103" s="12" t="n">
        <x:f>R103*E103</x:f>
        <x:v>18.25629022820363</x:v>
      </x:c>
      <x:c r="AG103" s="1" t="n">
        <x:f>IF(AND(I103&gt;=0,I103&lt;=1,Q103+R103&lt;=F103+0.00000001,N103&gt;=0,N103&lt;=1),1,0)</x:f>
        <x:v>1</x:v>
      </x:c>
      <x:c r="AH103" s="1"/>
      <x:c r="AI103" s="1"/>
    </x:row>
    <x:row r="104" ht="24" customHeight="1">
      <x:c r="A104" s="1" t="str">
        <x:v>H6.2</x:v>
      </x:c>
      <x:c r="B104" s="1" t="str">
        <x:v>S1</x:v>
      </x:c>
      <x:c r="C104" s="1" t="str">
        <x:v>Ни один</x:v>
      </x:c>
      <x:c r="D104" s="1" t="n">
        <x:v>0</x:v>
      </x:c>
      <x:c r="E104" s="1" t="n">
        <x:v>0</x:v>
      </x:c>
      <x:c r="F104" s="12" t="n">
        <x:f>'Когорты'!D5*'Когорты'!N5</x:f>
        <x:v>6479.999999999999</x:v>
      </x:c>
      <x:c r="G104" s="8" t="n">
        <x:f>'Когорты'!F5</x:f>
        <x:v>0.3</x:v>
      </x:c>
      <x:c r="H104" s="1" t="n">
        <x:f>'Когорты'!R5</x:f>
        <x:v>0.3</x:v>
      </x:c>
      <x:c r="I104" s="8" t="n">
        <x:f>IF('Когорты'!S5&gt;0,G104*H104/'Когорты'!S5,0)</x:f>
        <x:v>0.08777062609713282</x:v>
      </x:c>
      <x:c r="J104" s="1" t="n">
        <x:f>F104*I104</x:f>
        <x:v>568.7536571094206</x:v>
      </x:c>
      <x:c r="K104" s="8" t="n">
        <x:f>'Воздействие'!C29*D104</x:f>
        <x:v>0</x:v>
      </x:c>
      <x:c r="L104" s="8" t="n">
        <x:f>'Воздействие'!D29*E104</x:f>
        <x:v>0</x:v>
      </x:c>
      <x:c r="M104" s="8" t="n">
        <x:f>'Воздействие'!E29*D104*E104</x:f>
        <x:v>0</x:v>
      </x:c>
      <x:c r="N104" s="8" t="n">
        <x:f>K104+L104-M104</x:f>
        <x:v>0</x:v>
      </x:c>
      <x:c r="O104" s="1" t="n">
        <x:f>J104*'Параметры'!$B$10*N104</x:f>
        <x:v>0</x:v>
      </x:c>
      <x:c r="P104" s="8" t="n">
        <x:f>(1-'Воздействие'!F29*D104)*(1-'Воздействие'!G29*E104)</x:f>
        <x:v>1</x:v>
      </x:c>
      <x:c r="Q104" s="1" t="n">
        <x:f>J104*P104</x:f>
        <x:v>568.7536571094206</x:v>
      </x:c>
      <x:c r="R104" s="1" t="n">
        <x:f>O104*P104</x:f>
        <x:v>0</x:v>
      </x:c>
      <x:c r="S104" s="8" t="n">
        <x:f>(1-'Гипотезы'!D11)*(1-'Гипотезы'!E11)</x:f>
        <x:v>0.5625</x:v>
      </x:c>
      <x:c r="T104" s="12" t="n">
        <x:f>Q104+R104*S104</x:f>
        <x:v>568.7536571094206</x:v>
      </x:c>
      <x:c r="U104" s="12" t="n">
        <x:f>T104-J104</x:f>
        <x:v>0</x:v>
      </x:c>
      <x:c r="V104" s="12" t="n">
        <x:f>J104*'Когорты'!T5</x:f>
        <x:v>568753.6571094206</x:v>
      </x:c>
      <x:c r="W104" s="12" t="n">
        <x:f>Q104*'Когорты'!T5*(1+'Воздействие'!H29*N104)</x:f>
        <x:v>568753.6571094206</x:v>
      </x:c>
      <x:c r="X104" s="12" t="n">
        <x:f>R104*'Когорты'!T5*(1+'Воздействие'!H29*N104)</x:f>
        <x:v>0</x:v>
      </x:c>
      <x:c r="Y104" s="12" t="n">
        <x:f>W104+X104*S104</x:f>
        <x:v>568753.6571094206</x:v>
      </x:c>
      <x:c r="Z104" s="12" t="n">
        <x:f>F104*N104</x:f>
        <x:v>0</x:v>
      </x:c>
      <x:c r="AA104" s="12" t="n">
        <x:f>J104*D104</x:f>
        <x:v>0</x:v>
      </x:c>
      <x:c r="AB104" s="12" t="n">
        <x:f>Q104*D104</x:f>
        <x:v>0</x:v>
      </x:c>
      <x:c r="AC104" s="12" t="n">
        <x:f>R104*D104</x:f>
        <x:v>0</x:v>
      </x:c>
      <x:c r="AD104" s="12" t="n">
        <x:f>J104*E104</x:f>
        <x:v>0</x:v>
      </x:c>
      <x:c r="AE104" s="12" t="n">
        <x:f>Q104*E104</x:f>
        <x:v>0</x:v>
      </x:c>
      <x:c r="AF104" s="12" t="n">
        <x:f>R104*E104</x:f>
        <x:v>0</x:v>
      </x:c>
      <x:c r="AG104" s="1" t="n">
        <x:f>IF(AND(I104&gt;=0,I104&lt;=1,Q104+R104&lt;=F104+0.00000001,N104&gt;=0,N104&lt;=1),1,0)</x:f>
        <x:v>1</x:v>
      </x:c>
      <x:c r="AH104" s="1"/>
      <x:c r="AI104" s="1"/>
    </x:row>
    <x:row r="105" ht="24" customHeight="1">
      <x:c r="A105" s="1" t="str">
        <x:v>H6.2</x:v>
      </x:c>
      <x:c r="B105" s="1" t="str">
        <x:v>S2</x:v>
      </x:c>
      <x:c r="C105" s="1" t="str">
        <x:v>Только C</x:v>
      </x:c>
      <x:c r="D105" s="1" t="n">
        <x:v>1</x:v>
      </x:c>
      <x:c r="E105" s="1" t="n">
        <x:v>0</x:v>
      </x:c>
      <x:c r="F105" s="12" t="n">
        <x:f>'Когорты'!D6*'Когорты'!L6</x:f>
        <x:v>10920</x:v>
      </x:c>
      <x:c r="G105" s="8" t="n">
        <x:f>'Когорты'!F6</x:f>
        <x:v>0.21</x:v>
      </x:c>
      <x:c r="H105" s="1" t="n">
        <x:f>'Когорты'!O6</x:f>
        <x:v>1.5</x:v>
      </x:c>
      <x:c r="I105" s="8" t="n">
        <x:f>IF('Когорты'!S6&gt;0,G105*H105/'Когорты'!S6,0)</x:f>
        <x:v>0.30719719133996487</x:v>
      </x:c>
      <x:c r="J105" s="1" t="n">
        <x:f>F105*I105</x:f>
        <x:v>3354.5933294324163</x:v>
      </x:c>
      <x:c r="K105" s="8" t="n">
        <x:f>'Воздействие'!C30*D105</x:f>
        <x:v>0</x:v>
      </x:c>
      <x:c r="L105" s="8" t="n">
        <x:f>'Воздействие'!D30*E105</x:f>
        <x:v>0</x:v>
      </x:c>
      <x:c r="M105" s="8" t="n">
        <x:f>'Воздействие'!E30*D105*E105</x:f>
        <x:v>0</x:v>
      </x:c>
      <x:c r="N105" s="8" t="n">
        <x:f>K105+L105-M105</x:f>
        <x:v>0</x:v>
      </x:c>
      <x:c r="O105" s="1" t="n">
        <x:f>J105*'Параметры'!$B$10*N105</x:f>
        <x:v>0</x:v>
      </x:c>
      <x:c r="P105" s="8" t="n">
        <x:f>(1-'Воздействие'!F30*D105)*(1-'Воздействие'!G30*E105)</x:f>
        <x:v>1</x:v>
      </x:c>
      <x:c r="Q105" s="1" t="n">
        <x:f>J105*P105</x:f>
        <x:v>3354.5933294324163</x:v>
      </x:c>
      <x:c r="R105" s="1" t="n">
        <x:f>O105*P105</x:f>
        <x:v>0</x:v>
      </x:c>
      <x:c r="S105" s="8" t="n">
        <x:f>(1-'Гипотезы'!D11)*(1-'Гипотезы'!E11)</x:f>
        <x:v>0.5625</x:v>
      </x:c>
      <x:c r="T105" s="12" t="n">
        <x:f>Q105+R105*S105</x:f>
        <x:v>3354.5933294324163</x:v>
      </x:c>
      <x:c r="U105" s="12" t="n">
        <x:f>T105-J105</x:f>
        <x:v>0</x:v>
      </x:c>
      <x:c r="V105" s="12" t="n">
        <x:f>J105*'Когорты'!T6</x:f>
        <x:v>3354593.3294324162</x:v>
      </x:c>
      <x:c r="W105" s="12" t="n">
        <x:f>Q105*'Когорты'!T6*(1+'Воздействие'!H30*N105)</x:f>
        <x:v>3354593.3294324162</x:v>
      </x:c>
      <x:c r="X105" s="12" t="n">
        <x:f>R105*'Когорты'!T6*(1+'Воздействие'!H30*N105)</x:f>
        <x:v>0</x:v>
      </x:c>
      <x:c r="Y105" s="12" t="n">
        <x:f>W105+X105*S105</x:f>
        <x:v>3354593.3294324162</x:v>
      </x:c>
      <x:c r="Z105" s="12" t="n">
        <x:f>F105*N105</x:f>
        <x:v>0</x:v>
      </x:c>
      <x:c r="AA105" s="12" t="n">
        <x:f>J105*D105</x:f>
        <x:v>3354.5933294324163</x:v>
      </x:c>
      <x:c r="AB105" s="12" t="n">
        <x:f>Q105*D105</x:f>
        <x:v>3354.5933294324163</x:v>
      </x:c>
      <x:c r="AC105" s="12" t="n">
        <x:f>R105*D105</x:f>
        <x:v>0</x:v>
      </x:c>
      <x:c r="AD105" s="12" t="n">
        <x:f>J105*E105</x:f>
        <x:v>0</x:v>
      </x:c>
      <x:c r="AE105" s="12" t="n">
        <x:f>Q105*E105</x:f>
        <x:v>0</x:v>
      </x:c>
      <x:c r="AF105" s="12" t="n">
        <x:f>R105*E105</x:f>
        <x:v>0</x:v>
      </x:c>
      <x:c r="AG105" s="1" t="n">
        <x:f>IF(AND(I105&gt;=0,I105&lt;=1,Q105+R105&lt;=F105+0.00000001,N105&gt;=0,N105&lt;=1),1,0)</x:f>
        <x:v>1</x:v>
      </x:c>
      <x:c r="AH105" s="1"/>
      <x:c r="AI105" s="1"/>
    </x:row>
    <x:row r="106" ht="24" customHeight="1">
      <x:c r="A106" s="1" t="str">
        <x:v>H6.2</x:v>
      </x:c>
      <x:c r="B106" s="1" t="str">
        <x:v>S2</x:v>
      </x:c>
      <x:c r="C106" s="1" t="str">
        <x:v>Только F</x:v>
      </x:c>
      <x:c r="D106" s="1" t="n">
        <x:v>0</x:v>
      </x:c>
      <x:c r="E106" s="1" t="n">
        <x:v>1</x:v>
      </x:c>
      <x:c r="F106" s="12" t="n">
        <x:f>'Когорты'!D6*'Когорты'!M6</x:f>
        <x:v>519.9999999999999</x:v>
      </x:c>
      <x:c r="G106" s="8" t="n">
        <x:f>'Когорты'!F6</x:f>
        <x:v>0.21</x:v>
      </x:c>
      <x:c r="H106" s="1" t="n">
        <x:f>'Когорты'!P6</x:f>
        <x:v>0.2</x:v>
      </x:c>
      <x:c r="I106" s="8" t="n">
        <x:f>IF('Когорты'!S6&gt;0,G106*H106/'Когорты'!S6,0)</x:f>
        <x:v>0.04095962551199532</x:v>
      </x:c>
      <x:c r="J106" s="1" t="n">
        <x:f>F106*I106</x:f>
        <x:v>21.29900526623756</x:v>
      </x:c>
      <x:c r="K106" s="8" t="n">
        <x:f>'Воздействие'!C30*D106</x:f>
        <x:v>0</x:v>
      </x:c>
      <x:c r="L106" s="8" t="n">
        <x:f>'Воздействие'!D30*E106</x:f>
        <x:v>0.3</x:v>
      </x:c>
      <x:c r="M106" s="8" t="n">
        <x:f>'Воздействие'!E30*D106*E106</x:f>
        <x:v>0</x:v>
      </x:c>
      <x:c r="N106" s="8" t="n">
        <x:f>K106+L106-M106</x:f>
        <x:v>0.3</x:v>
      </x:c>
      <x:c r="O106" s="1" t="n">
        <x:f>J106*'Параметры'!$B$10*N106</x:f>
        <x:v>0.6389701579871269</x:v>
      </x:c>
      <x:c r="P106" s="8" t="n">
        <x:f>(1-'Воздействие'!F30*D106)*(1-'Воздействие'!G30*E106)</x:f>
        <x:v>1</x:v>
      </x:c>
      <x:c r="Q106" s="1" t="n">
        <x:f>J106*P106</x:f>
        <x:v>21.29900526623756</x:v>
      </x:c>
      <x:c r="R106" s="1" t="n">
        <x:f>O106*P106</x:f>
        <x:v>0.6389701579871269</x:v>
      </x:c>
      <x:c r="S106" s="8" t="n">
        <x:f>(1-'Гипотезы'!D11)*(1-'Гипотезы'!E11)</x:f>
        <x:v>0.5625</x:v>
      </x:c>
      <x:c r="T106" s="12" t="n">
        <x:f>Q106+R106*S106</x:f>
        <x:v>21.65842598010532</x:v>
      </x:c>
      <x:c r="U106" s="12" t="n">
        <x:f>T106-J106</x:f>
        <x:v>0.35942071386775964</x:v>
      </x:c>
      <x:c r="V106" s="12" t="n">
        <x:f>J106*'Когорты'!T6</x:f>
        <x:v>21299.00526623756</x:v>
      </x:c>
      <x:c r="W106" s="12" t="n">
        <x:f>Q106*'Когорты'!T6*(1+'Воздействие'!H30*N106)</x:f>
        <x:v>21299.00526623756</x:v>
      </x:c>
      <x:c r="X106" s="12" t="n">
        <x:f>R106*'Когорты'!T6*(1+'Воздействие'!H30*N106)</x:f>
        <x:v>638.9701579871269</x:v>
      </x:c>
      <x:c r="Y106" s="12" t="n">
        <x:f>W106+X106*S106</x:f>
        <x:v>21658.42598010532</x:v>
      </x:c>
      <x:c r="Z106" s="12" t="n">
        <x:f>F106*N106</x:f>
        <x:v>155.99999999999997</x:v>
      </x:c>
      <x:c r="AA106" s="12" t="n">
        <x:f>J106*D106</x:f>
        <x:v>0</x:v>
      </x:c>
      <x:c r="AB106" s="12" t="n">
        <x:f>Q106*D106</x:f>
        <x:v>0</x:v>
      </x:c>
      <x:c r="AC106" s="12" t="n">
        <x:f>R106*D106</x:f>
        <x:v>0</x:v>
      </x:c>
      <x:c r="AD106" s="12" t="n">
        <x:f>J106*E106</x:f>
        <x:v>21.29900526623756</x:v>
      </x:c>
      <x:c r="AE106" s="12" t="n">
        <x:f>Q106*E106</x:f>
        <x:v>21.29900526623756</x:v>
      </x:c>
      <x:c r="AF106" s="12" t="n">
        <x:f>R106*E106</x:f>
        <x:v>0.6389701579871269</x:v>
      </x:c>
      <x:c r="AG106" s="1" t="n">
        <x:f>IF(AND(I106&gt;=0,I106&lt;=1,Q106+R106&lt;=F106+0.00000001,N106&gt;=0,N106&lt;=1),1,0)</x:f>
        <x:v>1</x:v>
      </x:c>
      <x:c r="AH106" s="1"/>
      <x:c r="AI106" s="1"/>
    </x:row>
    <x:row r="107" ht="24" customHeight="1">
      <x:c r="A107" s="1" t="str">
        <x:v>H6.2</x:v>
      </x:c>
      <x:c r="B107" s="1" t="str">
        <x:v>S2</x:v>
      </x:c>
      <x:c r="C107" s="1" t="str">
        <x:v>Оба</x:v>
      </x:c>
      <x:c r="D107" s="1" t="n">
        <x:v>1</x:v>
      </x:c>
      <x:c r="E107" s="1" t="n">
        <x:v>1</x:v>
      </x:c>
      <x:c r="F107" s="12" t="n">
        <x:f>'Когорты'!D6*'Когорты'!K6</x:f>
        <x:v>2080</x:v>
      </x:c>
      <x:c r="G107" s="8" t="n">
        <x:f>'Когорты'!F6</x:f>
        <x:v>0.21</x:v>
      </x:c>
      <x:c r="H107" s="1" t="n">
        <x:f>'Когорты'!Q6</x:f>
        <x:v>1</x:v>
      </x:c>
      <x:c r="I107" s="8" t="n">
        <x:f>IF('Когорты'!S6&gt;0,G107*H107/'Когорты'!S6,0)</x:f>
        <x:v>0.20479812755997656</x:v>
      </x:c>
      <x:c r="J107" s="1" t="n">
        <x:f>F107*I107</x:f>
        <x:v>425.98010532475126</x:v>
      </x:c>
      <x:c r="K107" s="8" t="n">
        <x:f>'Воздействие'!C30*D107</x:f>
        <x:v>0</x:v>
      </x:c>
      <x:c r="L107" s="8" t="n">
        <x:f>'Воздействие'!D30*E107</x:f>
        <x:v>0.3</x:v>
      </x:c>
      <x:c r="M107" s="8" t="n">
        <x:f>'Воздействие'!E30*D107*E107</x:f>
        <x:v>0</x:v>
      </x:c>
      <x:c r="N107" s="8" t="n">
        <x:f>K107+L107-M107</x:f>
        <x:v>0.3</x:v>
      </x:c>
      <x:c r="O107" s="1" t="n">
        <x:f>J107*'Параметры'!$B$10*N107</x:f>
        <x:v>12.779403159742538</x:v>
      </x:c>
      <x:c r="P107" s="8" t="n">
        <x:f>(1-'Воздействие'!F30*D107)*(1-'Воздействие'!G30*E107)</x:f>
        <x:v>1</x:v>
      </x:c>
      <x:c r="Q107" s="1" t="n">
        <x:f>J107*P107</x:f>
        <x:v>425.98010532475126</x:v>
      </x:c>
      <x:c r="R107" s="1" t="n">
        <x:f>O107*P107</x:f>
        <x:v>12.779403159742538</x:v>
      </x:c>
      <x:c r="S107" s="8" t="n">
        <x:f>(1-'Гипотезы'!D11)*(1-'Гипотезы'!E11)</x:f>
        <x:v>0.5625</x:v>
      </x:c>
      <x:c r="T107" s="12" t="n">
        <x:f>Q107+R107*S107</x:f>
        <x:v>433.1685196021064</x:v>
      </x:c>
      <x:c r="U107" s="12" t="n">
        <x:f>T107-J107</x:f>
        <x:v>7.18841427735515</x:v>
      </x:c>
      <x:c r="V107" s="12" t="n">
        <x:f>J107*'Когорты'!T6</x:f>
        <x:v>425980.1053247513</x:v>
      </x:c>
      <x:c r="W107" s="12" t="n">
        <x:f>Q107*'Когорты'!T6*(1+'Воздействие'!H30*N107)</x:f>
        <x:v>425980.1053247513</x:v>
      </x:c>
      <x:c r="X107" s="12" t="n">
        <x:f>R107*'Когорты'!T6*(1+'Воздействие'!H30*N107)</x:f>
        <x:v>12779.403159742538</x:v>
      </x:c>
      <x:c r="Y107" s="12" t="n">
        <x:f>W107+X107*S107</x:f>
        <x:v>433168.5196021065</x:v>
      </x:c>
      <x:c r="Z107" s="12" t="n">
        <x:f>F107*N107</x:f>
        <x:v>624</x:v>
      </x:c>
      <x:c r="AA107" s="12" t="n">
        <x:f>J107*D107</x:f>
        <x:v>425.98010532475126</x:v>
      </x:c>
      <x:c r="AB107" s="12" t="n">
        <x:f>Q107*D107</x:f>
        <x:v>425.98010532475126</x:v>
      </x:c>
      <x:c r="AC107" s="12" t="n">
        <x:f>R107*D107</x:f>
        <x:v>12.779403159742538</x:v>
      </x:c>
      <x:c r="AD107" s="12" t="n">
        <x:f>J107*E107</x:f>
        <x:v>425.98010532475126</x:v>
      </x:c>
      <x:c r="AE107" s="12" t="n">
        <x:f>Q107*E107</x:f>
        <x:v>425.98010532475126</x:v>
      </x:c>
      <x:c r="AF107" s="12" t="n">
        <x:f>R107*E107</x:f>
        <x:v>12.779403159742538</x:v>
      </x:c>
      <x:c r="AG107" s="1" t="n">
        <x:f>IF(AND(I107&gt;=0,I107&lt;=1,Q107+R107&lt;=F107+0.00000001,N107&gt;=0,N107&lt;=1),1,0)</x:f>
        <x:v>1</x:v>
      </x:c>
      <x:c r="AH107" s="1"/>
      <x:c r="AI107" s="1"/>
    </x:row>
    <x:row r="108" ht="24" customHeight="1">
      <x:c r="A108" s="1" t="str">
        <x:v>H6.2</x:v>
      </x:c>
      <x:c r="B108" s="1" t="str">
        <x:v>S2</x:v>
      </x:c>
      <x:c r="C108" s="1" t="str">
        <x:v>Ни один</x:v>
      </x:c>
      <x:c r="D108" s="1" t="n">
        <x:v>0</x:v>
      </x:c>
      <x:c r="E108" s="1" t="n">
        <x:v>0</x:v>
      </x:c>
      <x:c r="F108" s="12" t="n">
        <x:f>'Когорты'!D6*'Когорты'!N6</x:f>
        <x:v>6479.999999999999</x:v>
      </x:c>
      <x:c r="G108" s="8" t="n">
        <x:f>'Когорты'!F6</x:f>
        <x:v>0.21</x:v>
      </x:c>
      <x:c r="H108" s="1" t="n">
        <x:f>'Когорты'!R6</x:f>
        <x:v>0.3</x:v>
      </x:c>
      <x:c r="I108" s="8" t="n">
        <x:f>IF('Когорты'!S6&gt;0,G108*H108/'Когорты'!S6,0)</x:f>
        <x:v>0.061439438267992974</x:v>
      </x:c>
      <x:c r="J108" s="1" t="n">
        <x:f>F108*I108</x:f>
        <x:v>398.1275599765944</x:v>
      </x:c>
      <x:c r="K108" s="8" t="n">
        <x:f>'Воздействие'!C30*D108</x:f>
        <x:v>0</x:v>
      </x:c>
      <x:c r="L108" s="8" t="n">
        <x:f>'Воздействие'!D30*E108</x:f>
        <x:v>0</x:v>
      </x:c>
      <x:c r="M108" s="8" t="n">
        <x:f>'Воздействие'!E30*D108*E108</x:f>
        <x:v>0</x:v>
      </x:c>
      <x:c r="N108" s="8" t="n">
        <x:f>K108+L108-M108</x:f>
        <x:v>0</x:v>
      </x:c>
      <x:c r="O108" s="1" t="n">
        <x:f>J108*'Параметры'!$B$10*N108</x:f>
        <x:v>0</x:v>
      </x:c>
      <x:c r="P108" s="8" t="n">
        <x:f>(1-'Воздействие'!F30*D108)*(1-'Воздействие'!G30*E108)</x:f>
        <x:v>1</x:v>
      </x:c>
      <x:c r="Q108" s="1" t="n">
        <x:f>J108*P108</x:f>
        <x:v>398.1275599765944</x:v>
      </x:c>
      <x:c r="R108" s="1" t="n">
        <x:f>O108*P108</x:f>
        <x:v>0</x:v>
      </x:c>
      <x:c r="S108" s="8" t="n">
        <x:f>(1-'Гипотезы'!D11)*(1-'Гипотезы'!E11)</x:f>
        <x:v>0.5625</x:v>
      </x:c>
      <x:c r="T108" s="12" t="n">
        <x:f>Q108+R108*S108</x:f>
        <x:v>398.1275599765944</x:v>
      </x:c>
      <x:c r="U108" s="12" t="n">
        <x:f>T108-J108</x:f>
        <x:v>0</x:v>
      </x:c>
      <x:c r="V108" s="12" t="n">
        <x:f>J108*'Когорты'!T6</x:f>
        <x:v>398127.5599765944</x:v>
      </x:c>
      <x:c r="W108" s="12" t="n">
        <x:f>Q108*'Когорты'!T6*(1+'Воздействие'!H30*N108)</x:f>
        <x:v>398127.5599765944</x:v>
      </x:c>
      <x:c r="X108" s="12" t="n">
        <x:f>R108*'Когорты'!T6*(1+'Воздействие'!H30*N108)</x:f>
        <x:v>0</x:v>
      </x:c>
      <x:c r="Y108" s="12" t="n">
        <x:f>W108+X108*S108</x:f>
        <x:v>398127.5599765944</x:v>
      </x:c>
      <x:c r="Z108" s="12" t="n">
        <x:f>F108*N108</x:f>
        <x:v>0</x:v>
      </x:c>
      <x:c r="AA108" s="12" t="n">
        <x:f>J108*D108</x:f>
        <x:v>0</x:v>
      </x:c>
      <x:c r="AB108" s="12" t="n">
        <x:f>Q108*D108</x:f>
        <x:v>0</x:v>
      </x:c>
      <x:c r="AC108" s="12" t="n">
        <x:f>R108*D108</x:f>
        <x:v>0</x:v>
      </x:c>
      <x:c r="AD108" s="12" t="n">
        <x:f>J108*E108</x:f>
        <x:v>0</x:v>
      </x:c>
      <x:c r="AE108" s="12" t="n">
        <x:f>Q108*E108</x:f>
        <x:v>0</x:v>
      </x:c>
      <x:c r="AF108" s="12" t="n">
        <x:f>R108*E108</x:f>
        <x:v>0</x:v>
      </x:c>
      <x:c r="AG108" s="1" t="n">
        <x:f>IF(AND(I108&gt;=0,I108&lt;=1,Q108+R108&lt;=F108+0.00000001,N108&gt;=0,N108&lt;=1),1,0)</x:f>
        <x:v>1</x:v>
      </x:c>
      <x:c r="AH108" s="1"/>
      <x:c r="AI108" s="1"/>
    </x:row>
    <x:row r="109" ht="24" customHeight="1">
      <x:c r="A109" s="1" t="str">
        <x:v>H6.2</x:v>
      </x:c>
      <x:c r="B109" s="1" t="str">
        <x:v>S3</x:v>
      </x:c>
      <x:c r="C109" s="1" t="str">
        <x:v>Только C</x:v>
      </x:c>
      <x:c r="D109" s="1" t="n">
        <x:v>1</x:v>
      </x:c>
      <x:c r="E109" s="1" t="n">
        <x:v>0</x:v>
      </x:c>
      <x:c r="F109" s="12" t="n">
        <x:f>'Когорты'!D7*'Когорты'!L7</x:f>
        <x:v>16380.000000000002</x:v>
      </x:c>
      <x:c r="G109" s="8" t="n">
        <x:f>'Когорты'!F7</x:f>
        <x:v>0.12</x:v>
      </x:c>
      <x:c r="H109" s="1" t="n">
        <x:f>'Когорты'!O7</x:f>
        <x:v>1.5</x:v>
      </x:c>
      <x:c r="I109" s="8" t="n">
        <x:f>IF('Когорты'!S7&gt;0,G109*H109/'Когорты'!S7,0)</x:f>
        <x:v>0.17554125219426564</x:v>
      </x:c>
      <x:c r="J109" s="1" t="n">
        <x:f>F109*I109</x:f>
        <x:v>2875.3657109420715</x:v>
      </x:c>
      <x:c r="K109" s="8" t="n">
        <x:f>'Воздействие'!C31*D109</x:f>
        <x:v>0</x:v>
      </x:c>
      <x:c r="L109" s="8" t="n">
        <x:f>'Воздействие'!D31*E109</x:f>
        <x:v>0</x:v>
      </x:c>
      <x:c r="M109" s="8" t="n">
        <x:f>'Воздействие'!E31*D109*E109</x:f>
        <x:v>0</x:v>
      </x:c>
      <x:c r="N109" s="8" t="n">
        <x:f>K109+L109-M109</x:f>
        <x:v>0</x:v>
      </x:c>
      <x:c r="O109" s="1" t="n">
        <x:f>J109*'Параметры'!$B$10*N109</x:f>
        <x:v>0</x:v>
      </x:c>
      <x:c r="P109" s="8" t="n">
        <x:f>(1-'Воздействие'!F31*D109)*(1-'Воздействие'!G31*E109)</x:f>
        <x:v>1</x:v>
      </x:c>
      <x:c r="Q109" s="1" t="n">
        <x:f>J109*P109</x:f>
        <x:v>2875.3657109420715</x:v>
      </x:c>
      <x:c r="R109" s="1" t="n">
        <x:f>O109*P109</x:f>
        <x:v>0</x:v>
      </x:c>
      <x:c r="S109" s="8" t="n">
        <x:f>(1-'Гипотезы'!D11)*(1-'Гипотезы'!E11)</x:f>
        <x:v>0.5625</x:v>
      </x:c>
      <x:c r="T109" s="12" t="n">
        <x:f>Q109+R109*S109</x:f>
        <x:v>2875.3657109420715</x:v>
      </x:c>
      <x:c r="U109" s="12" t="n">
        <x:f>T109-J109</x:f>
        <x:v>0</x:v>
      </x:c>
      <x:c r="V109" s="12" t="n">
        <x:f>J109*'Когорты'!T7</x:f>
        <x:v>2875365.7109420714</x:v>
      </x:c>
      <x:c r="W109" s="12" t="n">
        <x:f>Q109*'Когорты'!T7*(1+'Воздействие'!H31*N109)</x:f>
        <x:v>2875365.7109420714</x:v>
      </x:c>
      <x:c r="X109" s="12" t="n">
        <x:f>R109*'Когорты'!T7*(1+'Воздействие'!H31*N109)</x:f>
        <x:v>0</x:v>
      </x:c>
      <x:c r="Y109" s="12" t="n">
        <x:f>W109+X109*S109</x:f>
        <x:v>2875365.7109420714</x:v>
      </x:c>
      <x:c r="Z109" s="12" t="n">
        <x:f>F109*N109</x:f>
        <x:v>0</x:v>
      </x:c>
      <x:c r="AA109" s="12" t="n">
        <x:f>J109*D109</x:f>
        <x:v>2875.3657109420715</x:v>
      </x:c>
      <x:c r="AB109" s="12" t="n">
        <x:f>Q109*D109</x:f>
        <x:v>2875.3657109420715</x:v>
      </x:c>
      <x:c r="AC109" s="12" t="n">
        <x:f>R109*D109</x:f>
        <x:v>0</x:v>
      </x:c>
      <x:c r="AD109" s="12" t="n">
        <x:f>J109*E109</x:f>
        <x:v>0</x:v>
      </x:c>
      <x:c r="AE109" s="12" t="n">
        <x:f>Q109*E109</x:f>
        <x:v>0</x:v>
      </x:c>
      <x:c r="AF109" s="12" t="n">
        <x:f>R109*E109</x:f>
        <x:v>0</x:v>
      </x:c>
      <x:c r="AG109" s="1" t="n">
        <x:f>IF(AND(I109&gt;=0,I109&lt;=1,Q109+R109&lt;=F109+0.00000001,N109&gt;=0,N109&lt;=1),1,0)</x:f>
        <x:v>1</x:v>
      </x:c>
      <x:c r="AH109" s="1"/>
      <x:c r="AI109" s="1"/>
    </x:row>
    <x:row r="110" ht="24" customHeight="1">
      <x:c r="A110" s="1" t="str">
        <x:v>H6.2</x:v>
      </x:c>
      <x:c r="B110" s="1" t="str">
        <x:v>S3</x:v>
      </x:c>
      <x:c r="C110" s="1" t="str">
        <x:v>Только F</x:v>
      </x:c>
      <x:c r="D110" s="1" t="n">
        <x:v>0</x:v>
      </x:c>
      <x:c r="E110" s="1" t="n">
        <x:v>1</x:v>
      </x:c>
      <x:c r="F110" s="12" t="n">
        <x:f>'Когорты'!D7*'Когорты'!M7</x:f>
        <x:v>779.9999999999999</x:v>
      </x:c>
      <x:c r="G110" s="8" t="n">
        <x:f>'Когорты'!F7</x:f>
        <x:v>0.12</x:v>
      </x:c>
      <x:c r="H110" s="1" t="n">
        <x:f>'Когорты'!P7</x:f>
        <x:v>0.2</x:v>
      </x:c>
      <x:c r="I110" s="8" t="n">
        <x:f>IF('Когорты'!S7&gt;0,G110*H110/'Когорты'!S7,0)</x:f>
        <x:v>0.023405500292568753</x:v>
      </x:c>
      <x:c r="J110" s="1" t="n">
        <x:f>F110*I110</x:f>
        <x:v>18.256290228203625</x:v>
      </x:c>
      <x:c r="K110" s="8" t="n">
        <x:f>'Воздействие'!C31*D110</x:f>
        <x:v>0</x:v>
      </x:c>
      <x:c r="L110" s="8" t="n">
        <x:f>'Воздействие'!D31*E110</x:f>
        <x:v>0.1</x:v>
      </x:c>
      <x:c r="M110" s="8" t="n">
        <x:f>'Воздействие'!E31*D110*E110</x:f>
        <x:v>0</x:v>
      </x:c>
      <x:c r="N110" s="8" t="n">
        <x:f>K110+L110-M110</x:f>
        <x:v>0.1</x:v>
      </x:c>
      <x:c r="O110" s="1" t="n">
        <x:f>J110*'Параметры'!$B$10*N110</x:f>
        <x:v>0.18256290228203628</x:v>
      </x:c>
      <x:c r="P110" s="8" t="n">
        <x:f>(1-'Воздействие'!F31*D110)*(1-'Воздействие'!G31*E110)</x:f>
        <x:v>1</x:v>
      </x:c>
      <x:c r="Q110" s="1" t="n">
        <x:f>J110*P110</x:f>
        <x:v>18.256290228203625</x:v>
      </x:c>
      <x:c r="R110" s="1" t="n">
        <x:f>O110*P110</x:f>
        <x:v>0.18256290228203628</x:v>
      </x:c>
      <x:c r="S110" s="8" t="n">
        <x:f>(1-'Гипотезы'!D11)*(1-'Гипотезы'!E11)</x:f>
        <x:v>0.5625</x:v>
      </x:c>
      <x:c r="T110" s="12" t="n">
        <x:f>Q110+R110*S110</x:f>
        <x:v>18.35898186073727</x:v>
      </x:c>
      <x:c r="U110" s="12" t="n">
        <x:f>T110-J110</x:f>
        <x:v>0.1026916325336451</x:v>
      </x:c>
      <x:c r="V110" s="12" t="n">
        <x:f>J110*'Когорты'!T7</x:f>
        <x:v>18256.290228203623</x:v>
      </x:c>
      <x:c r="W110" s="12" t="n">
        <x:f>Q110*'Когорты'!T7*(1+'Воздействие'!H31*N110)</x:f>
        <x:v>18256.290228203623</x:v>
      </x:c>
      <x:c r="X110" s="12" t="n">
        <x:f>R110*'Когорты'!T7*(1+'Воздействие'!H31*N110)</x:f>
        <x:v>182.56290228203628</x:v>
      </x:c>
      <x:c r="Y110" s="12" t="n">
        <x:f>W110+X110*S110</x:f>
        <x:v>18358.98186073727</x:v>
      </x:c>
      <x:c r="Z110" s="12" t="n">
        <x:f>F110*N110</x:f>
        <x:v>78</x:v>
      </x:c>
      <x:c r="AA110" s="12" t="n">
        <x:f>J110*D110</x:f>
        <x:v>0</x:v>
      </x:c>
      <x:c r="AB110" s="12" t="n">
        <x:f>Q110*D110</x:f>
        <x:v>0</x:v>
      </x:c>
      <x:c r="AC110" s="12" t="n">
        <x:f>R110*D110</x:f>
        <x:v>0</x:v>
      </x:c>
      <x:c r="AD110" s="12" t="n">
        <x:f>J110*E110</x:f>
        <x:v>18.256290228203625</x:v>
      </x:c>
      <x:c r="AE110" s="12" t="n">
        <x:f>Q110*E110</x:f>
        <x:v>18.256290228203625</x:v>
      </x:c>
      <x:c r="AF110" s="12" t="n">
        <x:f>R110*E110</x:f>
        <x:v>0.18256290228203628</x:v>
      </x:c>
      <x:c r="AG110" s="1" t="n">
        <x:f>IF(AND(I110&gt;=0,I110&lt;=1,Q110+R110&lt;=F110+0.00000001,N110&gt;=0,N110&lt;=1),1,0)</x:f>
        <x:v>1</x:v>
      </x:c>
      <x:c r="AH110" s="1"/>
      <x:c r="AI110" s="1"/>
    </x:row>
    <x:row r="111" ht="24" customHeight="1">
      <x:c r="A111" s="1" t="str">
        <x:v>H6.2</x:v>
      </x:c>
      <x:c r="B111" s="1" t="str">
        <x:v>S3</x:v>
      </x:c>
      <x:c r="C111" s="1" t="str">
        <x:v>Оба</x:v>
      </x:c>
      <x:c r="D111" s="1" t="n">
        <x:v>1</x:v>
      </x:c>
      <x:c r="E111" s="1" t="n">
        <x:v>1</x:v>
      </x:c>
      <x:c r="F111" s="12" t="n">
        <x:f>'Когорты'!D7*'Когорты'!K7</x:f>
        <x:v>3120.0000000000005</x:v>
      </x:c>
      <x:c r="G111" s="8" t="n">
        <x:f>'Когорты'!F7</x:f>
        <x:v>0.12</x:v>
      </x:c>
      <x:c r="H111" s="1" t="n">
        <x:f>'Когорты'!Q7</x:f>
        <x:v>1</x:v>
      </x:c>
      <x:c r="I111" s="8" t="n">
        <x:f>IF('Когорты'!S7&gt;0,G111*H111/'Когорты'!S7,0)</x:f>
        <x:v>0.11702750146284376</x:v>
      </x:c>
      <x:c r="J111" s="1" t="n">
        <x:f>F111*I111</x:f>
        <x:v>365.12580456407255</x:v>
      </x:c>
      <x:c r="K111" s="8" t="n">
        <x:f>'Воздействие'!C31*D111</x:f>
        <x:v>0</x:v>
      </x:c>
      <x:c r="L111" s="8" t="n">
        <x:f>'Воздействие'!D31*E111</x:f>
        <x:v>0.1</x:v>
      </x:c>
      <x:c r="M111" s="8" t="n">
        <x:f>'Воздействие'!E31*D111*E111</x:f>
        <x:v>0</x:v>
      </x:c>
      <x:c r="N111" s="8" t="n">
        <x:f>K111+L111-M111</x:f>
        <x:v>0.1</x:v>
      </x:c>
      <x:c r="O111" s="1" t="n">
        <x:f>J111*'Параметры'!$B$10*N111</x:f>
        <x:v>3.6512580456407258</x:v>
      </x:c>
      <x:c r="P111" s="8" t="n">
        <x:f>(1-'Воздействие'!F31*D111)*(1-'Воздействие'!G31*E111)</x:f>
        <x:v>1</x:v>
      </x:c>
      <x:c r="Q111" s="1" t="n">
        <x:f>J111*P111</x:f>
        <x:v>365.12580456407255</x:v>
      </x:c>
      <x:c r="R111" s="1" t="n">
        <x:f>O111*P111</x:f>
        <x:v>3.6512580456407258</x:v>
      </x:c>
      <x:c r="S111" s="8" t="n">
        <x:f>(1-'Гипотезы'!D11)*(1-'Гипотезы'!E11)</x:f>
        <x:v>0.5625</x:v>
      </x:c>
      <x:c r="T111" s="12" t="n">
        <x:f>Q111+R111*S111</x:f>
        <x:v>367.17963721474547</x:v>
      </x:c>
      <x:c r="U111" s="12" t="n">
        <x:f>T111-J111</x:f>
        <x:v>2.0538326506729163</x:v>
      </x:c>
      <x:c r="V111" s="12" t="n">
        <x:f>J111*'Когорты'!T7</x:f>
        <x:v>365125.8045640726</x:v>
      </x:c>
      <x:c r="W111" s="12" t="n">
        <x:f>Q111*'Когорты'!T7*(1+'Воздействие'!H31*N111)</x:f>
        <x:v>365125.8045640726</x:v>
      </x:c>
      <x:c r="X111" s="12" t="n">
        <x:f>R111*'Когорты'!T7*(1+'Воздействие'!H31*N111)</x:f>
        <x:v>3651.258045640726</x:v>
      </x:c>
      <x:c r="Y111" s="12" t="n">
        <x:f>W111+X111*S111</x:f>
        <x:v>367179.6372147455</x:v>
      </x:c>
      <x:c r="Z111" s="12" t="n">
        <x:f>F111*N111</x:f>
        <x:v>312.00000000000006</x:v>
      </x:c>
      <x:c r="AA111" s="12" t="n">
        <x:f>J111*D111</x:f>
        <x:v>365.12580456407255</x:v>
      </x:c>
      <x:c r="AB111" s="12" t="n">
        <x:f>Q111*D111</x:f>
        <x:v>365.12580456407255</x:v>
      </x:c>
      <x:c r="AC111" s="12" t="n">
        <x:f>R111*D111</x:f>
        <x:v>3.6512580456407258</x:v>
      </x:c>
      <x:c r="AD111" s="12" t="n">
        <x:f>J111*E111</x:f>
        <x:v>365.12580456407255</x:v>
      </x:c>
      <x:c r="AE111" s="12" t="n">
        <x:f>Q111*E111</x:f>
        <x:v>365.12580456407255</x:v>
      </x:c>
      <x:c r="AF111" s="12" t="n">
        <x:f>R111*E111</x:f>
        <x:v>3.6512580456407258</x:v>
      </x:c>
      <x:c r="AG111" s="1" t="n">
        <x:f>IF(AND(I111&gt;=0,I111&lt;=1,Q111+R111&lt;=F111+0.00000001,N111&gt;=0,N111&lt;=1),1,0)</x:f>
        <x:v>1</x:v>
      </x:c>
      <x:c r="AH111" s="1"/>
      <x:c r="AI111" s="1"/>
    </x:row>
    <x:row r="112" ht="24" customHeight="1">
      <x:c r="A112" s="1" t="str">
        <x:v>H6.2</x:v>
      </x:c>
      <x:c r="B112" s="1" t="str">
        <x:v>S3</x:v>
      </x:c>
      <x:c r="C112" s="1" t="str">
        <x:v>Ни один</x:v>
      </x:c>
      <x:c r="D112" s="1" t="n">
        <x:v>0</x:v>
      </x:c>
      <x:c r="E112" s="1" t="n">
        <x:v>0</x:v>
      </x:c>
      <x:c r="F112" s="12" t="n">
        <x:f>'Когорты'!D7*'Когорты'!N7</x:f>
        <x:v>9719.999999999998</x:v>
      </x:c>
      <x:c r="G112" s="8" t="n">
        <x:f>'Когорты'!F7</x:f>
        <x:v>0.12</x:v>
      </x:c>
      <x:c r="H112" s="1" t="n">
        <x:f>'Когорты'!R7</x:f>
        <x:v>0.3</x:v>
      </x:c>
      <x:c r="I112" s="8" t="n">
        <x:f>IF('Когорты'!S7&gt;0,G112*H112/'Когорты'!S7,0)</x:f>
        <x:v>0.03510825043885313</x:v>
      </x:c>
      <x:c r="J112" s="1" t="n">
        <x:f>F112*I112</x:f>
        <x:v>341.25219426565235</x:v>
      </x:c>
      <x:c r="K112" s="8" t="n">
        <x:f>'Воздействие'!C31*D112</x:f>
        <x:v>0</x:v>
      </x:c>
      <x:c r="L112" s="8" t="n">
        <x:f>'Воздействие'!D31*E112</x:f>
        <x:v>0</x:v>
      </x:c>
      <x:c r="M112" s="8" t="n">
        <x:f>'Воздействие'!E31*D112*E112</x:f>
        <x:v>0</x:v>
      </x:c>
      <x:c r="N112" s="8" t="n">
        <x:f>K112+L112-M112</x:f>
        <x:v>0</x:v>
      </x:c>
      <x:c r="O112" s="1" t="n">
        <x:f>J112*'Параметры'!$B$10*N112</x:f>
        <x:v>0</x:v>
      </x:c>
      <x:c r="P112" s="8" t="n">
        <x:f>(1-'Воздействие'!F31*D112)*(1-'Воздействие'!G31*E112)</x:f>
        <x:v>1</x:v>
      </x:c>
      <x:c r="Q112" s="1" t="n">
        <x:f>J112*P112</x:f>
        <x:v>341.25219426565235</x:v>
      </x:c>
      <x:c r="R112" s="1" t="n">
        <x:f>O112*P112</x:f>
        <x:v>0</x:v>
      </x:c>
      <x:c r="S112" s="8" t="n">
        <x:f>(1-'Гипотезы'!D11)*(1-'Гипотезы'!E11)</x:f>
        <x:v>0.5625</x:v>
      </x:c>
      <x:c r="T112" s="12" t="n">
        <x:f>Q112+R112*S112</x:f>
        <x:v>341.25219426565235</x:v>
      </x:c>
      <x:c r="U112" s="12" t="n">
        <x:f>T112-J112</x:f>
        <x:v>0</x:v>
      </x:c>
      <x:c r="V112" s="12" t="n">
        <x:f>J112*'Когорты'!T7</x:f>
        <x:v>341252.19426565233</x:v>
      </x:c>
      <x:c r="W112" s="12" t="n">
        <x:f>Q112*'Когорты'!T7*(1+'Воздействие'!H31*N112)</x:f>
        <x:v>341252.19426565233</x:v>
      </x:c>
      <x:c r="X112" s="12" t="n">
        <x:f>R112*'Когорты'!T7*(1+'Воздействие'!H31*N112)</x:f>
        <x:v>0</x:v>
      </x:c>
      <x:c r="Y112" s="12" t="n">
        <x:f>W112+X112*S112</x:f>
        <x:v>341252.19426565233</x:v>
      </x:c>
      <x:c r="Z112" s="12" t="n">
        <x:f>F112*N112</x:f>
        <x:v>0</x:v>
      </x:c>
      <x:c r="AA112" s="12" t="n">
        <x:f>J112*D112</x:f>
        <x:v>0</x:v>
      </x:c>
      <x:c r="AB112" s="12" t="n">
        <x:f>Q112*D112</x:f>
        <x:v>0</x:v>
      </x:c>
      <x:c r="AC112" s="12" t="n">
        <x:f>R112*D112</x:f>
        <x:v>0</x:v>
      </x:c>
      <x:c r="AD112" s="12" t="n">
        <x:f>J112*E112</x:f>
        <x:v>0</x:v>
      </x:c>
      <x:c r="AE112" s="12" t="n">
        <x:f>Q112*E112</x:f>
        <x:v>0</x:v>
      </x:c>
      <x:c r="AF112" s="12" t="n">
        <x:f>R112*E112</x:f>
        <x:v>0</x:v>
      </x:c>
      <x:c r="AG112" s="1" t="n">
        <x:f>IF(AND(I112&gt;=0,I112&lt;=1,Q112+R112&lt;=F112+0.00000001,N112&gt;=0,N112&lt;=1),1,0)</x:f>
        <x:v>1</x:v>
      </x:c>
      <x:c r="AH112" s="1"/>
      <x:c r="AI112" s="1"/>
    </x:row>
    <x:row r="113" ht="24" customHeight="1">
      <x:c r="A113" s="1" t="str">
        <x:v>H6.2</x:v>
      </x:c>
      <x:c r="B113" s="1" t="str">
        <x:v>S4</x:v>
      </x:c>
      <x:c r="C113" s="1" t="str">
        <x:v>Только C</x:v>
      </x:c>
      <x:c r="D113" s="1" t="n">
        <x:v>1</x:v>
      </x:c>
      <x:c r="E113" s="1" t="n">
        <x:v>0</x:v>
      </x:c>
      <x:c r="F113" s="12" t="n">
        <x:f>'Когорты'!D8*'Когорты'!L8</x:f>
        <x:v>16380.000000000002</x:v>
      </x:c>
      <x:c r="G113" s="8" t="n">
        <x:f>'Когорты'!F8</x:f>
        <x:v>0.21</x:v>
      </x:c>
      <x:c r="H113" s="1" t="n">
        <x:f>'Когорты'!O8</x:f>
        <x:v>1.5</x:v>
      </x:c>
      <x:c r="I113" s="8" t="n">
        <x:f>IF('Когорты'!S8&gt;0,G113*H113/'Когорты'!S8,0)</x:f>
        <x:v>0.30719719133996487</x:v>
      </x:c>
      <x:c r="J113" s="1" t="n">
        <x:f>F113*I113</x:f>
        <x:v>5031.889994148625</x:v>
      </x:c>
      <x:c r="K113" s="8" t="n">
        <x:f>'Воздействие'!C32*D113</x:f>
        <x:v>0</x:v>
      </x:c>
      <x:c r="L113" s="8" t="n">
        <x:f>'Воздействие'!D32*E113</x:f>
        <x:v>0</x:v>
      </x:c>
      <x:c r="M113" s="8" t="n">
        <x:f>'Воздействие'!E32*D113*E113</x:f>
        <x:v>0</x:v>
      </x:c>
      <x:c r="N113" s="8" t="n">
        <x:f>K113+L113-M113</x:f>
        <x:v>0</x:v>
      </x:c>
      <x:c r="O113" s="1" t="n">
        <x:f>J113*'Параметры'!$B$10*N113</x:f>
        <x:v>0</x:v>
      </x:c>
      <x:c r="P113" s="8" t="n">
        <x:f>(1-'Воздействие'!F32*D113)*(1-'Воздействие'!G32*E113)</x:f>
        <x:v>1</x:v>
      </x:c>
      <x:c r="Q113" s="1" t="n">
        <x:f>J113*P113</x:f>
        <x:v>5031.889994148625</x:v>
      </x:c>
      <x:c r="R113" s="1" t="n">
        <x:f>O113*P113</x:f>
        <x:v>0</x:v>
      </x:c>
      <x:c r="S113" s="8" t="n">
        <x:f>(1-'Гипотезы'!D11)*(1-'Гипотезы'!E11)</x:f>
        <x:v>0.5625</x:v>
      </x:c>
      <x:c r="T113" s="12" t="n">
        <x:f>Q113+R113*S113</x:f>
        <x:v>5031.889994148625</x:v>
      </x:c>
      <x:c r="U113" s="12" t="n">
        <x:f>T113-J113</x:f>
        <x:v>0</x:v>
      </x:c>
      <x:c r="V113" s="12" t="n">
        <x:f>J113*'Когорты'!T8</x:f>
        <x:v>5031889.994148625</x:v>
      </x:c>
      <x:c r="W113" s="12" t="n">
        <x:f>Q113*'Когорты'!T8*(1+'Воздействие'!H32*N113)</x:f>
        <x:v>5031889.994148625</x:v>
      </x:c>
      <x:c r="X113" s="12" t="n">
        <x:f>R113*'Когорты'!T8*(1+'Воздействие'!H32*N113)</x:f>
        <x:v>0</x:v>
      </x:c>
      <x:c r="Y113" s="12" t="n">
        <x:f>W113+X113*S113</x:f>
        <x:v>5031889.994148625</x:v>
      </x:c>
      <x:c r="Z113" s="12" t="n">
        <x:f>F113*N113</x:f>
        <x:v>0</x:v>
      </x:c>
      <x:c r="AA113" s="12" t="n">
        <x:f>J113*D113</x:f>
        <x:v>5031.889994148625</x:v>
      </x:c>
      <x:c r="AB113" s="12" t="n">
        <x:f>Q113*D113</x:f>
        <x:v>5031.889994148625</x:v>
      </x:c>
      <x:c r="AC113" s="12" t="n">
        <x:f>R113*D113</x:f>
        <x:v>0</x:v>
      </x:c>
      <x:c r="AD113" s="12" t="n">
        <x:f>J113*E113</x:f>
        <x:v>0</x:v>
      </x:c>
      <x:c r="AE113" s="12" t="n">
        <x:f>Q113*E113</x:f>
        <x:v>0</x:v>
      </x:c>
      <x:c r="AF113" s="12" t="n">
        <x:f>R113*E113</x:f>
        <x:v>0</x:v>
      </x:c>
      <x:c r="AG113" s="1" t="n">
        <x:f>IF(AND(I113&gt;=0,I113&lt;=1,Q113+R113&lt;=F113+0.00000001,N113&gt;=0,N113&lt;=1),1,0)</x:f>
        <x:v>1</x:v>
      </x:c>
      <x:c r="AH113" s="1"/>
      <x:c r="AI113" s="1"/>
    </x:row>
    <x:row r="114" ht="24" customHeight="1">
      <x:c r="A114" s="1" t="str">
        <x:v>H6.2</x:v>
      </x:c>
      <x:c r="B114" s="1" t="str">
        <x:v>S4</x:v>
      </x:c>
      <x:c r="C114" s="1" t="str">
        <x:v>Только F</x:v>
      </x:c>
      <x:c r="D114" s="1" t="n">
        <x:v>0</x:v>
      </x:c>
      <x:c r="E114" s="1" t="n">
        <x:v>1</x:v>
      </x:c>
      <x:c r="F114" s="12" t="n">
        <x:f>'Когорты'!D8*'Когорты'!M8</x:f>
        <x:v>779.9999999999999</x:v>
      </x:c>
      <x:c r="G114" s="8" t="n">
        <x:f>'Когорты'!F8</x:f>
        <x:v>0.21</x:v>
      </x:c>
      <x:c r="H114" s="1" t="n">
        <x:f>'Когорты'!P8</x:f>
        <x:v>0.2</x:v>
      </x:c>
      <x:c r="I114" s="8" t="n">
        <x:f>IF('Когорты'!S8&gt;0,G114*H114/'Когорты'!S8,0)</x:f>
        <x:v>0.04095962551199532</x:v>
      </x:c>
      <x:c r="J114" s="1" t="n">
        <x:f>F114*I114</x:f>
        <x:v>31.948507899356347</x:v>
      </x:c>
      <x:c r="K114" s="8" t="n">
        <x:f>'Воздействие'!C32*D114</x:f>
        <x:v>0</x:v>
      </x:c>
      <x:c r="L114" s="8" t="n">
        <x:f>'Воздействие'!D32*E114</x:f>
        <x:v>0.1</x:v>
      </x:c>
      <x:c r="M114" s="8" t="n">
        <x:f>'Воздействие'!E32*D114*E114</x:f>
        <x:v>0</x:v>
      </x:c>
      <x:c r="N114" s="8" t="n">
        <x:f>K114+L114-M114</x:f>
        <x:v>0.1</x:v>
      </x:c>
      <x:c r="O114" s="1" t="n">
        <x:f>J114*'Параметры'!$B$10*N114</x:f>
        <x:v>0.3194850789935635</x:v>
      </x:c>
      <x:c r="P114" s="8" t="n">
        <x:f>(1-'Воздействие'!F32*D114)*(1-'Воздействие'!G32*E114)</x:f>
        <x:v>1</x:v>
      </x:c>
      <x:c r="Q114" s="1" t="n">
        <x:f>J114*P114</x:f>
        <x:v>31.948507899356347</x:v>
      </x:c>
      <x:c r="R114" s="1" t="n">
        <x:f>O114*P114</x:f>
        <x:v>0.3194850789935635</x:v>
      </x:c>
      <x:c r="S114" s="8" t="n">
        <x:f>(1-'Гипотезы'!D11)*(1-'Гипотезы'!E11)</x:f>
        <x:v>0.5625</x:v>
      </x:c>
      <x:c r="T114" s="12" t="n">
        <x:f>Q114+R114*S114</x:f>
        <x:v>32.128218256290225</x:v>
      </x:c>
      <x:c r="U114" s="12" t="n">
        <x:f>T114-J114</x:f>
        <x:v>0.17971035693387805</x:v>
      </x:c>
      <x:c r="V114" s="12" t="n">
        <x:f>J114*'Когорты'!T8</x:f>
        <x:v>31948.507899356347</x:v>
      </x:c>
      <x:c r="W114" s="12" t="n">
        <x:f>Q114*'Когорты'!T8*(1+'Воздействие'!H32*N114)</x:f>
        <x:v>31948.507899356347</x:v>
      </x:c>
      <x:c r="X114" s="12" t="n">
        <x:f>R114*'Когорты'!T8*(1+'Воздействие'!H32*N114)</x:f>
        <x:v>319.4850789935635</x:v>
      </x:c>
      <x:c r="Y114" s="12" t="n">
        <x:f>W114+X114*S114</x:f>
        <x:v>32128.218256290227</x:v>
      </x:c>
      <x:c r="Z114" s="12" t="n">
        <x:f>F114*N114</x:f>
        <x:v>78</x:v>
      </x:c>
      <x:c r="AA114" s="12" t="n">
        <x:f>J114*D114</x:f>
        <x:v>0</x:v>
      </x:c>
      <x:c r="AB114" s="12" t="n">
        <x:f>Q114*D114</x:f>
        <x:v>0</x:v>
      </x:c>
      <x:c r="AC114" s="12" t="n">
        <x:f>R114*D114</x:f>
        <x:v>0</x:v>
      </x:c>
      <x:c r="AD114" s="12" t="n">
        <x:f>J114*E114</x:f>
        <x:v>31.948507899356347</x:v>
      </x:c>
      <x:c r="AE114" s="12" t="n">
        <x:f>Q114*E114</x:f>
        <x:v>31.948507899356347</x:v>
      </x:c>
      <x:c r="AF114" s="12" t="n">
        <x:f>R114*E114</x:f>
        <x:v>0.3194850789935635</x:v>
      </x:c>
      <x:c r="AG114" s="1" t="n">
        <x:f>IF(AND(I114&gt;=0,I114&lt;=1,Q114+R114&lt;=F114+0.00000001,N114&gt;=0,N114&lt;=1),1,0)</x:f>
        <x:v>1</x:v>
      </x:c>
      <x:c r="AH114" s="1"/>
      <x:c r="AI114" s="1"/>
    </x:row>
    <x:row r="115" ht="24" customHeight="1">
      <x:c r="A115" s="1" t="str">
        <x:v>H6.2</x:v>
      </x:c>
      <x:c r="B115" s="1" t="str">
        <x:v>S4</x:v>
      </x:c>
      <x:c r="C115" s="1" t="str">
        <x:v>Оба</x:v>
      </x:c>
      <x:c r="D115" s="1" t="n">
        <x:v>1</x:v>
      </x:c>
      <x:c r="E115" s="1" t="n">
        <x:v>1</x:v>
      </x:c>
      <x:c r="F115" s="12" t="n">
        <x:f>'Когорты'!D8*'Когорты'!K8</x:f>
        <x:v>3120.0000000000005</x:v>
      </x:c>
      <x:c r="G115" s="8" t="n">
        <x:f>'Когорты'!F8</x:f>
        <x:v>0.21</x:v>
      </x:c>
      <x:c r="H115" s="1" t="n">
        <x:f>'Когорты'!Q8</x:f>
        <x:v>1</x:v>
      </x:c>
      <x:c r="I115" s="8" t="n">
        <x:f>IF('Когорты'!S8&gt;0,G115*H115/'Когорты'!S8,0)</x:f>
        <x:v>0.20479812755997656</x:v>
      </x:c>
      <x:c r="J115" s="1" t="n">
        <x:f>F115*I115</x:f>
        <x:v>638.970157987127</x:v>
      </x:c>
      <x:c r="K115" s="8" t="n">
        <x:f>'Воздействие'!C32*D115</x:f>
        <x:v>0</x:v>
      </x:c>
      <x:c r="L115" s="8" t="n">
        <x:f>'Воздействие'!D32*E115</x:f>
        <x:v>0.1</x:v>
      </x:c>
      <x:c r="M115" s="8" t="n">
        <x:f>'Воздействие'!E32*D115*E115</x:f>
        <x:v>0</x:v>
      </x:c>
      <x:c r="N115" s="8" t="n">
        <x:f>K115+L115-M115</x:f>
        <x:v>0.1</x:v>
      </x:c>
      <x:c r="O115" s="1" t="n">
        <x:f>J115*'Параметры'!$B$10*N115</x:f>
        <x:v>6.389701579871271</x:v>
      </x:c>
      <x:c r="P115" s="8" t="n">
        <x:f>(1-'Воздействие'!F32*D115)*(1-'Воздействие'!G32*E115)</x:f>
        <x:v>1</x:v>
      </x:c>
      <x:c r="Q115" s="1" t="n">
        <x:f>J115*P115</x:f>
        <x:v>638.970157987127</x:v>
      </x:c>
      <x:c r="R115" s="1" t="n">
        <x:f>O115*P115</x:f>
        <x:v>6.389701579871271</x:v>
      </x:c>
      <x:c r="S115" s="8" t="n">
        <x:f>(1-'Гипотезы'!D11)*(1-'Гипотезы'!E11)</x:f>
        <x:v>0.5625</x:v>
      </x:c>
      <x:c r="T115" s="12" t="n">
        <x:f>Q115+R115*S115</x:f>
        <x:v>642.5643651258046</x:v>
      </x:c>
      <x:c r="U115" s="12" t="n">
        <x:f>T115-J115</x:f>
        <x:v>3.594207138677575</x:v>
      </x:c>
      <x:c r="V115" s="12" t="n">
        <x:f>J115*'Когорты'!T8</x:f>
        <x:v>638970.157987127</x:v>
      </x:c>
      <x:c r="W115" s="12" t="n">
        <x:f>Q115*'Когорты'!T8*(1+'Воздействие'!H32*N115)</x:f>
        <x:v>638970.157987127</x:v>
      </x:c>
      <x:c r="X115" s="12" t="n">
        <x:f>R115*'Когорты'!T8*(1+'Воздействие'!H32*N115)</x:f>
        <x:v>6389.701579871271</x:v>
      </x:c>
      <x:c r="Y115" s="12" t="n">
        <x:f>W115+X115*S115</x:f>
        <x:v>642564.3651258046</x:v>
      </x:c>
      <x:c r="Z115" s="12" t="n">
        <x:f>F115*N115</x:f>
        <x:v>312.00000000000006</x:v>
      </x:c>
      <x:c r="AA115" s="12" t="n">
        <x:f>J115*D115</x:f>
        <x:v>638.970157987127</x:v>
      </x:c>
      <x:c r="AB115" s="12" t="n">
        <x:f>Q115*D115</x:f>
        <x:v>638.970157987127</x:v>
      </x:c>
      <x:c r="AC115" s="12" t="n">
        <x:f>R115*D115</x:f>
        <x:v>6.389701579871271</x:v>
      </x:c>
      <x:c r="AD115" s="12" t="n">
        <x:f>J115*E115</x:f>
        <x:v>638.970157987127</x:v>
      </x:c>
      <x:c r="AE115" s="12" t="n">
        <x:f>Q115*E115</x:f>
        <x:v>638.970157987127</x:v>
      </x:c>
      <x:c r="AF115" s="12" t="n">
        <x:f>R115*E115</x:f>
        <x:v>6.389701579871271</x:v>
      </x:c>
      <x:c r="AG115" s="1" t="n">
        <x:f>IF(AND(I115&gt;=0,I115&lt;=1,Q115+R115&lt;=F115+0.00000001,N115&gt;=0,N115&lt;=1),1,0)</x:f>
        <x:v>1</x:v>
      </x:c>
      <x:c r="AH115" s="1"/>
      <x:c r="AI115" s="1"/>
    </x:row>
    <x:row r="116" ht="24" customHeight="1">
      <x:c r="A116" s="1" t="str">
        <x:v>H6.2</x:v>
      </x:c>
      <x:c r="B116" s="1" t="str">
        <x:v>S4</x:v>
      </x:c>
      <x:c r="C116" s="1" t="str">
        <x:v>Ни один</x:v>
      </x:c>
      <x:c r="D116" s="1" t="n">
        <x:v>0</x:v>
      </x:c>
      <x:c r="E116" s="1" t="n">
        <x:v>0</x:v>
      </x:c>
      <x:c r="F116" s="12" t="n">
        <x:f>'Когорты'!D8*'Когорты'!N8</x:f>
        <x:v>9719.999999999998</x:v>
      </x:c>
      <x:c r="G116" s="8" t="n">
        <x:f>'Когорты'!F8</x:f>
        <x:v>0.21</x:v>
      </x:c>
      <x:c r="H116" s="1" t="n">
        <x:f>'Когорты'!R8</x:f>
        <x:v>0.3</x:v>
      </x:c>
      <x:c r="I116" s="8" t="n">
        <x:f>IF('Когорты'!S8&gt;0,G116*H116/'Когорты'!S8,0)</x:f>
        <x:v>0.061439438267992974</x:v>
      </x:c>
      <x:c r="J116" s="1" t="n">
        <x:f>F116*I116</x:f>
        <x:v>597.1913399648915</x:v>
      </x:c>
      <x:c r="K116" s="8" t="n">
        <x:f>'Воздействие'!C32*D116</x:f>
        <x:v>0</x:v>
      </x:c>
      <x:c r="L116" s="8" t="n">
        <x:f>'Воздействие'!D32*E116</x:f>
        <x:v>0</x:v>
      </x:c>
      <x:c r="M116" s="8" t="n">
        <x:f>'Воздействие'!E32*D116*E116</x:f>
        <x:v>0</x:v>
      </x:c>
      <x:c r="N116" s="8" t="n">
        <x:f>K116+L116-M116</x:f>
        <x:v>0</x:v>
      </x:c>
      <x:c r="O116" s="1" t="n">
        <x:f>J116*'Параметры'!$B$10*N116</x:f>
        <x:v>0</x:v>
      </x:c>
      <x:c r="P116" s="8" t="n">
        <x:f>(1-'Воздействие'!F32*D116)*(1-'Воздействие'!G32*E116)</x:f>
        <x:v>1</x:v>
      </x:c>
      <x:c r="Q116" s="1" t="n">
        <x:f>J116*P116</x:f>
        <x:v>597.1913399648915</x:v>
      </x:c>
      <x:c r="R116" s="1" t="n">
        <x:f>O116*P116</x:f>
        <x:v>0</x:v>
      </x:c>
      <x:c r="S116" s="8" t="n">
        <x:f>(1-'Гипотезы'!D11)*(1-'Гипотезы'!E11)</x:f>
        <x:v>0.5625</x:v>
      </x:c>
      <x:c r="T116" s="12" t="n">
        <x:f>Q116+R116*S116</x:f>
        <x:v>597.1913399648915</x:v>
      </x:c>
      <x:c r="U116" s="12" t="n">
        <x:f>T116-J116</x:f>
        <x:v>0</x:v>
      </x:c>
      <x:c r="V116" s="12" t="n">
        <x:f>J116*'Когорты'!T8</x:f>
        <x:v>597191.3399648916</x:v>
      </x:c>
      <x:c r="W116" s="12" t="n">
        <x:f>Q116*'Когорты'!T8*(1+'Воздействие'!H32*N116)</x:f>
        <x:v>597191.3399648916</x:v>
      </x:c>
      <x:c r="X116" s="12" t="n">
        <x:f>R116*'Когорты'!T8*(1+'Воздействие'!H32*N116)</x:f>
        <x:v>0</x:v>
      </x:c>
      <x:c r="Y116" s="12" t="n">
        <x:f>W116+X116*S116</x:f>
        <x:v>597191.3399648916</x:v>
      </x:c>
      <x:c r="Z116" s="12" t="n">
        <x:f>F116*N116</x:f>
        <x:v>0</x:v>
      </x:c>
      <x:c r="AA116" s="12" t="n">
        <x:f>J116*D116</x:f>
        <x:v>0</x:v>
      </x:c>
      <x:c r="AB116" s="12" t="n">
        <x:f>Q116*D116</x:f>
        <x:v>0</x:v>
      </x:c>
      <x:c r="AC116" s="12" t="n">
        <x:f>R116*D116</x:f>
        <x:v>0</x:v>
      </x:c>
      <x:c r="AD116" s="12" t="n">
        <x:f>J116*E116</x:f>
        <x:v>0</x:v>
      </x:c>
      <x:c r="AE116" s="12" t="n">
        <x:f>Q116*E116</x:f>
        <x:v>0</x:v>
      </x:c>
      <x:c r="AF116" s="12" t="n">
        <x:f>R116*E116</x:f>
        <x:v>0</x:v>
      </x:c>
      <x:c r="AG116" s="1" t="n">
        <x:f>IF(AND(I116&gt;=0,I116&lt;=1,Q116+R116&lt;=F116+0.00000001,N116&gt;=0,N116&lt;=1),1,0)</x:f>
        <x:v>1</x:v>
      </x:c>
      <x:c r="AH116" s="1"/>
      <x:c r="AI116" s="1"/>
    </x:row>
    <x:row r="117" ht="24" customHeight="1">
      <x:c r="A117" s="1" t="str">
        <x:v>H6.3</x:v>
      </x:c>
      <x:c r="B117" s="1" t="str">
        <x:v>S1</x:v>
      </x:c>
      <x:c r="C117" s="1" t="str">
        <x:v>Только C</x:v>
      </x:c>
      <x:c r="D117" s="1" t="n">
        <x:v>1</x:v>
      </x:c>
      <x:c r="E117" s="1" t="n">
        <x:v>0</x:v>
      </x:c>
      <x:c r="F117" s="12" t="n">
        <x:f>'Когорты'!D5*'Когорты'!L5</x:f>
        <x:v>10920</x:v>
      </x:c>
      <x:c r="G117" s="8" t="n">
        <x:f>'Когорты'!F5</x:f>
        <x:v>0.3</x:v>
      </x:c>
      <x:c r="H117" s="1" t="n">
        <x:f>'Когорты'!O5</x:f>
        <x:v>1.5</x:v>
      </x:c>
      <x:c r="I117" s="8" t="n">
        <x:f>IF('Когорты'!S5&gt;0,G117*H117/'Когорты'!S5,0)</x:f>
        <x:v>0.43885313048566404</x:v>
      </x:c>
      <x:c r="J117" s="1" t="n">
        <x:f>F117*I117</x:f>
        <x:v>4792.276184903451</x:v>
      </x:c>
      <x:c r="K117" s="8" t="n">
        <x:f>'Воздействие'!C33*D117</x:f>
        <x:v>0</x:v>
      </x:c>
      <x:c r="L117" s="8" t="n">
        <x:f>'Воздействие'!D33*E117</x:f>
        <x:v>0</x:v>
      </x:c>
      <x:c r="M117" s="8" t="n">
        <x:f>'Воздействие'!E33*D117*E117</x:f>
        <x:v>0</x:v>
      </x:c>
      <x:c r="N117" s="8" t="n">
        <x:f>K117+L117-M117</x:f>
        <x:v>0</x:v>
      </x:c>
      <x:c r="O117" s="1" t="n">
        <x:f>J117*'Параметры'!$B$10*N117</x:f>
        <x:v>0</x:v>
      </x:c>
      <x:c r="P117" s="8" t="n">
        <x:f>(1-'Воздействие'!F33*D117)*(1-'Воздействие'!G33*E117)</x:f>
        <x:v>1</x:v>
      </x:c>
      <x:c r="Q117" s="1" t="n">
        <x:f>J117*P117</x:f>
        <x:v>4792.276184903451</x:v>
      </x:c>
      <x:c r="R117" s="1" t="n">
        <x:f>O117*P117</x:f>
        <x:v>0</x:v>
      </x:c>
      <x:c r="S117" s="8" t="n">
        <x:f>(1-'Гипотезы'!D12)*(1-'Гипотезы'!E12)</x:f>
        <x:v>0.5625</x:v>
      </x:c>
      <x:c r="T117" s="12" t="n">
        <x:f>Q117+R117*S117</x:f>
        <x:v>4792.276184903451</x:v>
      </x:c>
      <x:c r="U117" s="12" t="n">
        <x:f>T117-J117</x:f>
        <x:v>0</x:v>
      </x:c>
      <x:c r="V117" s="12" t="n">
        <x:f>J117*'Когорты'!T5</x:f>
        <x:v>4792276.184903451</x:v>
      </x:c>
      <x:c r="W117" s="12" t="n">
        <x:f>Q117*'Когорты'!T5*(1+'Воздействие'!H33*N117)</x:f>
        <x:v>4792276.184903451</x:v>
      </x:c>
      <x:c r="X117" s="12" t="n">
        <x:f>R117*'Когорты'!T5*(1+'Воздействие'!H33*N117)</x:f>
        <x:v>0</x:v>
      </x:c>
      <x:c r="Y117" s="12" t="n">
        <x:f>W117+X117*S117</x:f>
        <x:v>4792276.184903451</x:v>
      </x:c>
      <x:c r="Z117" s="12" t="n">
        <x:f>F117*N117</x:f>
        <x:v>0</x:v>
      </x:c>
      <x:c r="AA117" s="12" t="n">
        <x:f>J117*D117</x:f>
        <x:v>4792.276184903451</x:v>
      </x:c>
      <x:c r="AB117" s="12" t="n">
        <x:f>Q117*D117</x:f>
        <x:v>4792.276184903451</x:v>
      </x:c>
      <x:c r="AC117" s="12" t="n">
        <x:f>R117*D117</x:f>
        <x:v>0</x:v>
      </x:c>
      <x:c r="AD117" s="12" t="n">
        <x:f>J117*E117</x:f>
        <x:v>0</x:v>
      </x:c>
      <x:c r="AE117" s="12" t="n">
        <x:f>Q117*E117</x:f>
        <x:v>0</x:v>
      </x:c>
      <x:c r="AF117" s="12" t="n">
        <x:f>R117*E117</x:f>
        <x:v>0</x:v>
      </x:c>
      <x:c r="AG117" s="1" t="n">
        <x:f>IF(AND(I117&gt;=0,I117&lt;=1,Q117+R117&lt;=F117+0.00000001,N117&gt;=0,N117&lt;=1),1,0)</x:f>
        <x:v>1</x:v>
      </x:c>
      <x:c r="AH117" s="1"/>
      <x:c r="AI117" s="1"/>
    </x:row>
    <x:row r="118" ht="24" customHeight="1">
      <x:c r="A118" s="1" t="str">
        <x:v>H6.3</x:v>
      </x:c>
      <x:c r="B118" s="1" t="str">
        <x:v>S1</x:v>
      </x:c>
      <x:c r="C118" s="1" t="str">
        <x:v>Только F</x:v>
      </x:c>
      <x:c r="D118" s="1" t="n">
        <x:v>0</x:v>
      </x:c>
      <x:c r="E118" s="1" t="n">
        <x:v>1</x:v>
      </x:c>
      <x:c r="F118" s="12" t="n">
        <x:f>'Когорты'!D5*'Когорты'!M5</x:f>
        <x:v>519.9999999999999</x:v>
      </x:c>
      <x:c r="G118" s="8" t="n">
        <x:f>'Когорты'!F5</x:f>
        <x:v>0.3</x:v>
      </x:c>
      <x:c r="H118" s="1" t="n">
        <x:f>'Когорты'!P5</x:f>
        <x:v>0.2</x:v>
      </x:c>
      <x:c r="I118" s="8" t="n">
        <x:f>IF('Когорты'!S5&gt;0,G118*H118/'Когорты'!S5,0)</x:f>
        <x:v>0.05851375073142188</x:v>
      </x:c>
      <x:c r="J118" s="1" t="n">
        <x:f>F118*I118</x:f>
        <x:v>30.42715038033937</x:v>
      </x:c>
      <x:c r="K118" s="8" t="n">
        <x:f>'Воздействие'!C33*D118</x:f>
        <x:v>0</x:v>
      </x:c>
      <x:c r="L118" s="8" t="n">
        <x:f>'Воздействие'!D33*E118</x:f>
        <x:v>0.3</x:v>
      </x:c>
      <x:c r="M118" s="8" t="n">
        <x:f>'Воздействие'!E33*D118*E118</x:f>
        <x:v>0</x:v>
      </x:c>
      <x:c r="N118" s="8" t="n">
        <x:f>K118+L118-M118</x:f>
        <x:v>0.3</x:v>
      </x:c>
      <x:c r="O118" s="1" t="n">
        <x:f>J118*'Параметры'!$B$10*N118</x:f>
        <x:v>0.9128145114101811</x:v>
      </x:c>
      <x:c r="P118" s="8" t="n">
        <x:f>(1-'Воздействие'!F33*D118)*(1-'Воздействие'!G33*E118)</x:f>
        <x:v>1</x:v>
      </x:c>
      <x:c r="Q118" s="1" t="n">
        <x:f>J118*P118</x:f>
        <x:v>30.42715038033937</x:v>
      </x:c>
      <x:c r="R118" s="1" t="n">
        <x:f>O118*P118</x:f>
        <x:v>0.9128145114101811</x:v>
      </x:c>
      <x:c r="S118" s="8" t="n">
        <x:f>(1-'Гипотезы'!D12)*(1-'Гипотезы'!E12)</x:f>
        <x:v>0.5625</x:v>
      </x:c>
      <x:c r="T118" s="12" t="n">
        <x:f>Q118+R118*S118</x:f>
        <x:v>30.940608543007595</x:v>
      </x:c>
      <x:c r="U118" s="12" t="n">
        <x:f>T118-J118</x:f>
        <x:v>0.5134581626682255</x:v>
      </x:c>
      <x:c r="V118" s="12" t="n">
        <x:f>J118*'Когорты'!T5</x:f>
        <x:v>30427.15038033937</x:v>
      </x:c>
      <x:c r="W118" s="12" t="n">
        <x:f>Q118*'Когорты'!T5*(1+'Воздействие'!H33*N118)</x:f>
        <x:v>30427.15038033937</x:v>
      </x:c>
      <x:c r="X118" s="12" t="n">
        <x:f>R118*'Когорты'!T5*(1+'Воздействие'!H33*N118)</x:f>
        <x:v>912.8145114101811</x:v>
      </x:c>
      <x:c r="Y118" s="12" t="n">
        <x:f>W118+X118*S118</x:f>
        <x:v>30940.6085430076</x:v>
      </x:c>
      <x:c r="Z118" s="12" t="n">
        <x:f>F118*N118</x:f>
        <x:v>155.99999999999997</x:v>
      </x:c>
      <x:c r="AA118" s="12" t="n">
        <x:f>J118*D118</x:f>
        <x:v>0</x:v>
      </x:c>
      <x:c r="AB118" s="12" t="n">
        <x:f>Q118*D118</x:f>
        <x:v>0</x:v>
      </x:c>
      <x:c r="AC118" s="12" t="n">
        <x:f>R118*D118</x:f>
        <x:v>0</x:v>
      </x:c>
      <x:c r="AD118" s="12" t="n">
        <x:f>J118*E118</x:f>
        <x:v>30.42715038033937</x:v>
      </x:c>
      <x:c r="AE118" s="12" t="n">
        <x:f>Q118*E118</x:f>
        <x:v>30.42715038033937</x:v>
      </x:c>
      <x:c r="AF118" s="12" t="n">
        <x:f>R118*E118</x:f>
        <x:v>0.9128145114101811</x:v>
      </x:c>
      <x:c r="AG118" s="1" t="n">
        <x:f>IF(AND(I118&gt;=0,I118&lt;=1,Q118+R118&lt;=F118+0.00000001,N118&gt;=0,N118&lt;=1),1,0)</x:f>
        <x:v>1</x:v>
      </x:c>
      <x:c r="AH118" s="1"/>
      <x:c r="AI118" s="1"/>
    </x:row>
    <x:row r="119" ht="24" customHeight="1">
      <x:c r="A119" s="1" t="str">
        <x:v>H6.3</x:v>
      </x:c>
      <x:c r="B119" s="1" t="str">
        <x:v>S1</x:v>
      </x:c>
      <x:c r="C119" s="1" t="str">
        <x:v>Оба</x:v>
      </x:c>
      <x:c r="D119" s="1" t="n">
        <x:v>1</x:v>
      </x:c>
      <x:c r="E119" s="1" t="n">
        <x:v>1</x:v>
      </x:c>
      <x:c r="F119" s="12" t="n">
        <x:f>'Когорты'!D5*'Когорты'!K5</x:f>
        <x:v>2080</x:v>
      </x:c>
      <x:c r="G119" s="8" t="n">
        <x:f>'Когорты'!F5</x:f>
        <x:v>0.3</x:v>
      </x:c>
      <x:c r="H119" s="1" t="n">
        <x:f>'Когорты'!Q5</x:f>
        <x:v>1</x:v>
      </x:c>
      <x:c r="I119" s="8" t="n">
        <x:f>IF('Когорты'!S5&gt;0,G119*H119/'Когорты'!S5,0)</x:f>
        <x:v>0.2925687536571094</x:v>
      </x:c>
      <x:c r="J119" s="1" t="n">
        <x:f>F119*I119</x:f>
        <x:v>608.5430076067876</x:v>
      </x:c>
      <x:c r="K119" s="8" t="n">
        <x:f>'Воздействие'!C33*D119</x:f>
        <x:v>0</x:v>
      </x:c>
      <x:c r="L119" s="8" t="n">
        <x:f>'Воздействие'!D33*E119</x:f>
        <x:v>0.3</x:v>
      </x:c>
      <x:c r="M119" s="8" t="n">
        <x:f>'Воздействие'!E33*D119*E119</x:f>
        <x:v>0</x:v>
      </x:c>
      <x:c r="N119" s="8" t="n">
        <x:f>K119+L119-M119</x:f>
        <x:v>0.3</x:v>
      </x:c>
      <x:c r="O119" s="1" t="n">
        <x:f>J119*'Параметры'!$B$10*N119</x:f>
        <x:v>18.25629022820363</x:v>
      </x:c>
      <x:c r="P119" s="8" t="n">
        <x:f>(1-'Воздействие'!F33*D119)*(1-'Воздействие'!G33*E119)</x:f>
        <x:v>1</x:v>
      </x:c>
      <x:c r="Q119" s="1" t="n">
        <x:f>J119*P119</x:f>
        <x:v>608.5430076067876</x:v>
      </x:c>
      <x:c r="R119" s="1" t="n">
        <x:f>O119*P119</x:f>
        <x:v>18.25629022820363</x:v>
      </x:c>
      <x:c r="S119" s="8" t="n">
        <x:f>(1-'Гипотезы'!D12)*(1-'Гипотезы'!E12)</x:f>
        <x:v>0.5625</x:v>
      </x:c>
      <x:c r="T119" s="12" t="n">
        <x:f>Q119+R119*S119</x:f>
        <x:v>618.8121708601522</x:v>
      </x:c>
      <x:c r="U119" s="12" t="n">
        <x:f>T119-J119</x:f>
        <x:v>10.269163253364582</x:v>
      </x:c>
      <x:c r="V119" s="12" t="n">
        <x:f>J119*'Когорты'!T5</x:f>
        <x:v>608543.0076067876</x:v>
      </x:c>
      <x:c r="W119" s="12" t="n">
        <x:f>Q119*'Когорты'!T5*(1+'Воздействие'!H33*N119)</x:f>
        <x:v>608543.0076067876</x:v>
      </x:c>
      <x:c r="X119" s="12" t="n">
        <x:f>R119*'Когорты'!T5*(1+'Воздействие'!H33*N119)</x:f>
        <x:v>18256.290228203627</x:v>
      </x:c>
      <x:c r="Y119" s="12" t="n">
        <x:f>W119+X119*S119</x:f>
        <x:v>618812.1708601521</x:v>
      </x:c>
      <x:c r="Z119" s="12" t="n">
        <x:f>F119*N119</x:f>
        <x:v>624</x:v>
      </x:c>
      <x:c r="AA119" s="12" t="n">
        <x:f>J119*D119</x:f>
        <x:v>608.5430076067876</x:v>
      </x:c>
      <x:c r="AB119" s="12" t="n">
        <x:f>Q119*D119</x:f>
        <x:v>608.5430076067876</x:v>
      </x:c>
      <x:c r="AC119" s="12" t="n">
        <x:f>R119*D119</x:f>
        <x:v>18.25629022820363</x:v>
      </x:c>
      <x:c r="AD119" s="12" t="n">
        <x:f>J119*E119</x:f>
        <x:v>608.5430076067876</x:v>
      </x:c>
      <x:c r="AE119" s="12" t="n">
        <x:f>Q119*E119</x:f>
        <x:v>608.5430076067876</x:v>
      </x:c>
      <x:c r="AF119" s="12" t="n">
        <x:f>R119*E119</x:f>
        <x:v>18.25629022820363</x:v>
      </x:c>
      <x:c r="AG119" s="1" t="n">
        <x:f>IF(AND(I119&gt;=0,I119&lt;=1,Q119+R119&lt;=F119+0.00000001,N119&gt;=0,N119&lt;=1),1,0)</x:f>
        <x:v>1</x:v>
      </x:c>
      <x:c r="AH119" s="1"/>
      <x:c r="AI119" s="1"/>
    </x:row>
    <x:row r="120" ht="24" customHeight="1">
      <x:c r="A120" s="1" t="str">
        <x:v>H6.3</x:v>
      </x:c>
      <x:c r="B120" s="1" t="str">
        <x:v>S1</x:v>
      </x:c>
      <x:c r="C120" s="1" t="str">
        <x:v>Ни один</x:v>
      </x:c>
      <x:c r="D120" s="1" t="n">
        <x:v>0</x:v>
      </x:c>
      <x:c r="E120" s="1" t="n">
        <x:v>0</x:v>
      </x:c>
      <x:c r="F120" s="12" t="n">
        <x:f>'Когорты'!D5*'Когорты'!N5</x:f>
        <x:v>6479.999999999999</x:v>
      </x:c>
      <x:c r="G120" s="8" t="n">
        <x:f>'Когорты'!F5</x:f>
        <x:v>0.3</x:v>
      </x:c>
      <x:c r="H120" s="1" t="n">
        <x:f>'Когорты'!R5</x:f>
        <x:v>0.3</x:v>
      </x:c>
      <x:c r="I120" s="8" t="n">
        <x:f>IF('Когорты'!S5&gt;0,G120*H120/'Когорты'!S5,0)</x:f>
        <x:v>0.08777062609713282</x:v>
      </x:c>
      <x:c r="J120" s="1" t="n">
        <x:f>F120*I120</x:f>
        <x:v>568.7536571094206</x:v>
      </x:c>
      <x:c r="K120" s="8" t="n">
        <x:f>'Воздействие'!C33*D120</x:f>
        <x:v>0</x:v>
      </x:c>
      <x:c r="L120" s="8" t="n">
        <x:f>'Воздействие'!D33*E120</x:f>
        <x:v>0</x:v>
      </x:c>
      <x:c r="M120" s="8" t="n">
        <x:f>'Воздействие'!E33*D120*E120</x:f>
        <x:v>0</x:v>
      </x:c>
      <x:c r="N120" s="8" t="n">
        <x:f>K120+L120-M120</x:f>
        <x:v>0</x:v>
      </x:c>
      <x:c r="O120" s="1" t="n">
        <x:f>J120*'Параметры'!$B$10*N120</x:f>
        <x:v>0</x:v>
      </x:c>
      <x:c r="P120" s="8" t="n">
        <x:f>(1-'Воздействие'!F33*D120)*(1-'Воздействие'!G33*E120)</x:f>
        <x:v>1</x:v>
      </x:c>
      <x:c r="Q120" s="1" t="n">
        <x:f>J120*P120</x:f>
        <x:v>568.7536571094206</x:v>
      </x:c>
      <x:c r="R120" s="1" t="n">
        <x:f>O120*P120</x:f>
        <x:v>0</x:v>
      </x:c>
      <x:c r="S120" s="8" t="n">
        <x:f>(1-'Гипотезы'!D12)*(1-'Гипотезы'!E12)</x:f>
        <x:v>0.5625</x:v>
      </x:c>
      <x:c r="T120" s="12" t="n">
        <x:f>Q120+R120*S120</x:f>
        <x:v>568.7536571094206</x:v>
      </x:c>
      <x:c r="U120" s="12" t="n">
        <x:f>T120-J120</x:f>
        <x:v>0</x:v>
      </x:c>
      <x:c r="V120" s="12" t="n">
        <x:f>J120*'Когорты'!T5</x:f>
        <x:v>568753.6571094206</x:v>
      </x:c>
      <x:c r="W120" s="12" t="n">
        <x:f>Q120*'Когорты'!T5*(1+'Воздействие'!H33*N120)</x:f>
        <x:v>568753.6571094206</x:v>
      </x:c>
      <x:c r="X120" s="12" t="n">
        <x:f>R120*'Когорты'!T5*(1+'Воздействие'!H33*N120)</x:f>
        <x:v>0</x:v>
      </x:c>
      <x:c r="Y120" s="12" t="n">
        <x:f>W120+X120*S120</x:f>
        <x:v>568753.6571094206</x:v>
      </x:c>
      <x:c r="Z120" s="12" t="n">
        <x:f>F120*N120</x:f>
        <x:v>0</x:v>
      </x:c>
      <x:c r="AA120" s="12" t="n">
        <x:f>J120*D120</x:f>
        <x:v>0</x:v>
      </x:c>
      <x:c r="AB120" s="12" t="n">
        <x:f>Q120*D120</x:f>
        <x:v>0</x:v>
      </x:c>
      <x:c r="AC120" s="12" t="n">
        <x:f>R120*D120</x:f>
        <x:v>0</x:v>
      </x:c>
      <x:c r="AD120" s="12" t="n">
        <x:f>J120*E120</x:f>
        <x:v>0</x:v>
      </x:c>
      <x:c r="AE120" s="12" t="n">
        <x:f>Q120*E120</x:f>
        <x:v>0</x:v>
      </x:c>
      <x:c r="AF120" s="12" t="n">
        <x:f>R120*E120</x:f>
        <x:v>0</x:v>
      </x:c>
      <x:c r="AG120" s="1" t="n">
        <x:f>IF(AND(I120&gt;=0,I120&lt;=1,Q120+R120&lt;=F120+0.00000001,N120&gt;=0,N120&lt;=1),1,0)</x:f>
        <x:v>1</x:v>
      </x:c>
      <x:c r="AH120" s="1"/>
      <x:c r="AI120" s="1"/>
    </x:row>
    <x:row r="121" ht="24" customHeight="1">
      <x:c r="A121" s="1" t="str">
        <x:v>H6.3</x:v>
      </x:c>
      <x:c r="B121" s="1" t="str">
        <x:v>S2</x:v>
      </x:c>
      <x:c r="C121" s="1" t="str">
        <x:v>Только C</x:v>
      </x:c>
      <x:c r="D121" s="1" t="n">
        <x:v>1</x:v>
      </x:c>
      <x:c r="E121" s="1" t="n">
        <x:v>0</x:v>
      </x:c>
      <x:c r="F121" s="12" t="n">
        <x:f>'Когорты'!D6*'Когорты'!L6</x:f>
        <x:v>10920</x:v>
      </x:c>
      <x:c r="G121" s="8" t="n">
        <x:f>'Когорты'!F6</x:f>
        <x:v>0.21</x:v>
      </x:c>
      <x:c r="H121" s="1" t="n">
        <x:f>'Когорты'!O6</x:f>
        <x:v>1.5</x:v>
      </x:c>
      <x:c r="I121" s="8" t="n">
        <x:f>IF('Когорты'!S6&gt;0,G121*H121/'Когорты'!S6,0)</x:f>
        <x:v>0.30719719133996487</x:v>
      </x:c>
      <x:c r="J121" s="1" t="n">
        <x:f>F121*I121</x:f>
        <x:v>3354.5933294324163</x:v>
      </x:c>
      <x:c r="K121" s="8" t="n">
        <x:f>'Воздействие'!C34*D121</x:f>
        <x:v>0</x:v>
      </x:c>
      <x:c r="L121" s="8" t="n">
        <x:f>'Воздействие'!D34*E121</x:f>
        <x:v>0</x:v>
      </x:c>
      <x:c r="M121" s="8" t="n">
        <x:f>'Воздействие'!E34*D121*E121</x:f>
        <x:v>0</x:v>
      </x:c>
      <x:c r="N121" s="8" t="n">
        <x:f>K121+L121-M121</x:f>
        <x:v>0</x:v>
      </x:c>
      <x:c r="O121" s="1" t="n">
        <x:f>J121*'Параметры'!$B$10*N121</x:f>
        <x:v>0</x:v>
      </x:c>
      <x:c r="P121" s="8" t="n">
        <x:f>(1-'Воздействие'!F34*D121)*(1-'Воздействие'!G34*E121)</x:f>
        <x:v>1</x:v>
      </x:c>
      <x:c r="Q121" s="1" t="n">
        <x:f>J121*P121</x:f>
        <x:v>3354.5933294324163</x:v>
      </x:c>
      <x:c r="R121" s="1" t="n">
        <x:f>O121*P121</x:f>
        <x:v>0</x:v>
      </x:c>
      <x:c r="S121" s="8" t="n">
        <x:f>(1-'Гипотезы'!D12)*(1-'Гипотезы'!E12)</x:f>
        <x:v>0.5625</x:v>
      </x:c>
      <x:c r="T121" s="12" t="n">
        <x:f>Q121+R121*S121</x:f>
        <x:v>3354.5933294324163</x:v>
      </x:c>
      <x:c r="U121" s="12" t="n">
        <x:f>T121-J121</x:f>
        <x:v>0</x:v>
      </x:c>
      <x:c r="V121" s="12" t="n">
        <x:f>J121*'Когорты'!T6</x:f>
        <x:v>3354593.3294324162</x:v>
      </x:c>
      <x:c r="W121" s="12" t="n">
        <x:f>Q121*'Когорты'!T6*(1+'Воздействие'!H34*N121)</x:f>
        <x:v>3354593.3294324162</x:v>
      </x:c>
      <x:c r="X121" s="12" t="n">
        <x:f>R121*'Когорты'!T6*(1+'Воздействие'!H34*N121)</x:f>
        <x:v>0</x:v>
      </x:c>
      <x:c r="Y121" s="12" t="n">
        <x:f>W121+X121*S121</x:f>
        <x:v>3354593.3294324162</x:v>
      </x:c>
      <x:c r="Z121" s="12" t="n">
        <x:f>F121*N121</x:f>
        <x:v>0</x:v>
      </x:c>
      <x:c r="AA121" s="12" t="n">
        <x:f>J121*D121</x:f>
        <x:v>3354.5933294324163</x:v>
      </x:c>
      <x:c r="AB121" s="12" t="n">
        <x:f>Q121*D121</x:f>
        <x:v>3354.5933294324163</x:v>
      </x:c>
      <x:c r="AC121" s="12" t="n">
        <x:f>R121*D121</x:f>
        <x:v>0</x:v>
      </x:c>
      <x:c r="AD121" s="12" t="n">
        <x:f>J121*E121</x:f>
        <x:v>0</x:v>
      </x:c>
      <x:c r="AE121" s="12" t="n">
        <x:f>Q121*E121</x:f>
        <x:v>0</x:v>
      </x:c>
      <x:c r="AF121" s="12" t="n">
        <x:f>R121*E121</x:f>
        <x:v>0</x:v>
      </x:c>
      <x:c r="AG121" s="1" t="n">
        <x:f>IF(AND(I121&gt;=0,I121&lt;=1,Q121+R121&lt;=F121+0.00000001,N121&gt;=0,N121&lt;=1),1,0)</x:f>
        <x:v>1</x:v>
      </x:c>
      <x:c r="AH121" s="1"/>
      <x:c r="AI121" s="1"/>
    </x:row>
    <x:row r="122" ht="24" customHeight="1">
      <x:c r="A122" s="1" t="str">
        <x:v>H6.3</x:v>
      </x:c>
      <x:c r="B122" s="1" t="str">
        <x:v>S2</x:v>
      </x:c>
      <x:c r="C122" s="1" t="str">
        <x:v>Только F</x:v>
      </x:c>
      <x:c r="D122" s="1" t="n">
        <x:v>0</x:v>
      </x:c>
      <x:c r="E122" s="1" t="n">
        <x:v>1</x:v>
      </x:c>
      <x:c r="F122" s="12" t="n">
        <x:f>'Когорты'!D6*'Когорты'!M6</x:f>
        <x:v>519.9999999999999</x:v>
      </x:c>
      <x:c r="G122" s="8" t="n">
        <x:f>'Когорты'!F6</x:f>
        <x:v>0.21</x:v>
      </x:c>
      <x:c r="H122" s="1" t="n">
        <x:f>'Когорты'!P6</x:f>
        <x:v>0.2</x:v>
      </x:c>
      <x:c r="I122" s="8" t="n">
        <x:f>IF('Когорты'!S6&gt;0,G122*H122/'Когорты'!S6,0)</x:f>
        <x:v>0.04095962551199532</x:v>
      </x:c>
      <x:c r="J122" s="1" t="n">
        <x:f>F122*I122</x:f>
        <x:v>21.29900526623756</x:v>
      </x:c>
      <x:c r="K122" s="8" t="n">
        <x:f>'Воздействие'!C34*D122</x:f>
        <x:v>0</x:v>
      </x:c>
      <x:c r="L122" s="8" t="n">
        <x:f>'Воздействие'!D34*E122</x:f>
        <x:v>0.3</x:v>
      </x:c>
      <x:c r="M122" s="8" t="n">
        <x:f>'Воздействие'!E34*D122*E122</x:f>
        <x:v>0</x:v>
      </x:c>
      <x:c r="N122" s="8" t="n">
        <x:f>K122+L122-M122</x:f>
        <x:v>0.3</x:v>
      </x:c>
      <x:c r="O122" s="1" t="n">
        <x:f>J122*'Параметры'!$B$10*N122</x:f>
        <x:v>0.6389701579871269</x:v>
      </x:c>
      <x:c r="P122" s="8" t="n">
        <x:f>(1-'Воздействие'!F34*D122)*(1-'Воздействие'!G34*E122)</x:f>
        <x:v>1</x:v>
      </x:c>
      <x:c r="Q122" s="1" t="n">
        <x:f>J122*P122</x:f>
        <x:v>21.29900526623756</x:v>
      </x:c>
      <x:c r="R122" s="1" t="n">
        <x:f>O122*P122</x:f>
        <x:v>0.6389701579871269</x:v>
      </x:c>
      <x:c r="S122" s="8" t="n">
        <x:f>(1-'Гипотезы'!D12)*(1-'Гипотезы'!E12)</x:f>
        <x:v>0.5625</x:v>
      </x:c>
      <x:c r="T122" s="12" t="n">
        <x:f>Q122+R122*S122</x:f>
        <x:v>21.65842598010532</x:v>
      </x:c>
      <x:c r="U122" s="12" t="n">
        <x:f>T122-J122</x:f>
        <x:v>0.35942071386775964</x:v>
      </x:c>
      <x:c r="V122" s="12" t="n">
        <x:f>J122*'Когорты'!T6</x:f>
        <x:v>21299.00526623756</x:v>
      </x:c>
      <x:c r="W122" s="12" t="n">
        <x:f>Q122*'Когорты'!T6*(1+'Воздействие'!H34*N122)</x:f>
        <x:v>21299.00526623756</x:v>
      </x:c>
      <x:c r="X122" s="12" t="n">
        <x:f>R122*'Когорты'!T6*(1+'Воздействие'!H34*N122)</x:f>
        <x:v>638.9701579871269</x:v>
      </x:c>
      <x:c r="Y122" s="12" t="n">
        <x:f>W122+X122*S122</x:f>
        <x:v>21658.42598010532</x:v>
      </x:c>
      <x:c r="Z122" s="12" t="n">
        <x:f>F122*N122</x:f>
        <x:v>155.99999999999997</x:v>
      </x:c>
      <x:c r="AA122" s="12" t="n">
        <x:f>J122*D122</x:f>
        <x:v>0</x:v>
      </x:c>
      <x:c r="AB122" s="12" t="n">
        <x:f>Q122*D122</x:f>
        <x:v>0</x:v>
      </x:c>
      <x:c r="AC122" s="12" t="n">
        <x:f>R122*D122</x:f>
        <x:v>0</x:v>
      </x:c>
      <x:c r="AD122" s="12" t="n">
        <x:f>J122*E122</x:f>
        <x:v>21.29900526623756</x:v>
      </x:c>
      <x:c r="AE122" s="12" t="n">
        <x:f>Q122*E122</x:f>
        <x:v>21.29900526623756</x:v>
      </x:c>
      <x:c r="AF122" s="12" t="n">
        <x:f>R122*E122</x:f>
        <x:v>0.6389701579871269</x:v>
      </x:c>
      <x:c r="AG122" s="1" t="n">
        <x:f>IF(AND(I122&gt;=0,I122&lt;=1,Q122+R122&lt;=F122+0.00000001,N122&gt;=0,N122&lt;=1),1,0)</x:f>
        <x:v>1</x:v>
      </x:c>
      <x:c r="AH122" s="1"/>
      <x:c r="AI122" s="1"/>
    </x:row>
    <x:row r="123" ht="24" customHeight="1">
      <x:c r="A123" s="1" t="str">
        <x:v>H6.3</x:v>
      </x:c>
      <x:c r="B123" s="1" t="str">
        <x:v>S2</x:v>
      </x:c>
      <x:c r="C123" s="1" t="str">
        <x:v>Оба</x:v>
      </x:c>
      <x:c r="D123" s="1" t="n">
        <x:v>1</x:v>
      </x:c>
      <x:c r="E123" s="1" t="n">
        <x:v>1</x:v>
      </x:c>
      <x:c r="F123" s="12" t="n">
        <x:f>'Когорты'!D6*'Когорты'!K6</x:f>
        <x:v>2080</x:v>
      </x:c>
      <x:c r="G123" s="8" t="n">
        <x:f>'Когорты'!F6</x:f>
        <x:v>0.21</x:v>
      </x:c>
      <x:c r="H123" s="1" t="n">
        <x:f>'Когорты'!Q6</x:f>
        <x:v>1</x:v>
      </x:c>
      <x:c r="I123" s="8" t="n">
        <x:f>IF('Когорты'!S6&gt;0,G123*H123/'Когорты'!S6,0)</x:f>
        <x:v>0.20479812755997656</x:v>
      </x:c>
      <x:c r="J123" s="1" t="n">
        <x:f>F123*I123</x:f>
        <x:v>425.98010532475126</x:v>
      </x:c>
      <x:c r="K123" s="8" t="n">
        <x:f>'Воздействие'!C34*D123</x:f>
        <x:v>0</x:v>
      </x:c>
      <x:c r="L123" s="8" t="n">
        <x:f>'Воздействие'!D34*E123</x:f>
        <x:v>0.3</x:v>
      </x:c>
      <x:c r="M123" s="8" t="n">
        <x:f>'Воздействие'!E34*D123*E123</x:f>
        <x:v>0</x:v>
      </x:c>
      <x:c r="N123" s="8" t="n">
        <x:f>K123+L123-M123</x:f>
        <x:v>0.3</x:v>
      </x:c>
      <x:c r="O123" s="1" t="n">
        <x:f>J123*'Параметры'!$B$10*N123</x:f>
        <x:v>12.779403159742538</x:v>
      </x:c>
      <x:c r="P123" s="8" t="n">
        <x:f>(1-'Воздействие'!F34*D123)*(1-'Воздействие'!G34*E123)</x:f>
        <x:v>1</x:v>
      </x:c>
      <x:c r="Q123" s="1" t="n">
        <x:f>J123*P123</x:f>
        <x:v>425.98010532475126</x:v>
      </x:c>
      <x:c r="R123" s="1" t="n">
        <x:f>O123*P123</x:f>
        <x:v>12.779403159742538</x:v>
      </x:c>
      <x:c r="S123" s="8" t="n">
        <x:f>(1-'Гипотезы'!D12)*(1-'Гипотезы'!E12)</x:f>
        <x:v>0.5625</x:v>
      </x:c>
      <x:c r="T123" s="12" t="n">
        <x:f>Q123+R123*S123</x:f>
        <x:v>433.1685196021064</x:v>
      </x:c>
      <x:c r="U123" s="12" t="n">
        <x:f>T123-J123</x:f>
        <x:v>7.18841427735515</x:v>
      </x:c>
      <x:c r="V123" s="12" t="n">
        <x:f>J123*'Когорты'!T6</x:f>
        <x:v>425980.1053247513</x:v>
      </x:c>
      <x:c r="W123" s="12" t="n">
        <x:f>Q123*'Когорты'!T6*(1+'Воздействие'!H34*N123)</x:f>
        <x:v>425980.1053247513</x:v>
      </x:c>
      <x:c r="X123" s="12" t="n">
        <x:f>R123*'Когорты'!T6*(1+'Воздействие'!H34*N123)</x:f>
        <x:v>12779.403159742538</x:v>
      </x:c>
      <x:c r="Y123" s="12" t="n">
        <x:f>W123+X123*S123</x:f>
        <x:v>433168.5196021065</x:v>
      </x:c>
      <x:c r="Z123" s="12" t="n">
        <x:f>F123*N123</x:f>
        <x:v>624</x:v>
      </x:c>
      <x:c r="AA123" s="12" t="n">
        <x:f>J123*D123</x:f>
        <x:v>425.98010532475126</x:v>
      </x:c>
      <x:c r="AB123" s="12" t="n">
        <x:f>Q123*D123</x:f>
        <x:v>425.98010532475126</x:v>
      </x:c>
      <x:c r="AC123" s="12" t="n">
        <x:f>R123*D123</x:f>
        <x:v>12.779403159742538</x:v>
      </x:c>
      <x:c r="AD123" s="12" t="n">
        <x:f>J123*E123</x:f>
        <x:v>425.98010532475126</x:v>
      </x:c>
      <x:c r="AE123" s="12" t="n">
        <x:f>Q123*E123</x:f>
        <x:v>425.98010532475126</x:v>
      </x:c>
      <x:c r="AF123" s="12" t="n">
        <x:f>R123*E123</x:f>
        <x:v>12.779403159742538</x:v>
      </x:c>
      <x:c r="AG123" s="1" t="n">
        <x:f>IF(AND(I123&gt;=0,I123&lt;=1,Q123+R123&lt;=F123+0.00000001,N123&gt;=0,N123&lt;=1),1,0)</x:f>
        <x:v>1</x:v>
      </x:c>
      <x:c r="AH123" s="1"/>
      <x:c r="AI123" s="1"/>
    </x:row>
    <x:row r="124" ht="24" customHeight="1">
      <x:c r="A124" s="1" t="str">
        <x:v>H6.3</x:v>
      </x:c>
      <x:c r="B124" s="1" t="str">
        <x:v>S2</x:v>
      </x:c>
      <x:c r="C124" s="1" t="str">
        <x:v>Ни один</x:v>
      </x:c>
      <x:c r="D124" s="1" t="n">
        <x:v>0</x:v>
      </x:c>
      <x:c r="E124" s="1" t="n">
        <x:v>0</x:v>
      </x:c>
      <x:c r="F124" s="12" t="n">
        <x:f>'Когорты'!D6*'Когорты'!N6</x:f>
        <x:v>6479.999999999999</x:v>
      </x:c>
      <x:c r="G124" s="8" t="n">
        <x:f>'Когорты'!F6</x:f>
        <x:v>0.21</x:v>
      </x:c>
      <x:c r="H124" s="1" t="n">
        <x:f>'Когорты'!R6</x:f>
        <x:v>0.3</x:v>
      </x:c>
      <x:c r="I124" s="8" t="n">
        <x:f>IF('Когорты'!S6&gt;0,G124*H124/'Когорты'!S6,0)</x:f>
        <x:v>0.061439438267992974</x:v>
      </x:c>
      <x:c r="J124" s="1" t="n">
        <x:f>F124*I124</x:f>
        <x:v>398.1275599765944</x:v>
      </x:c>
      <x:c r="K124" s="8" t="n">
        <x:f>'Воздействие'!C34*D124</x:f>
        <x:v>0</x:v>
      </x:c>
      <x:c r="L124" s="8" t="n">
        <x:f>'Воздействие'!D34*E124</x:f>
        <x:v>0</x:v>
      </x:c>
      <x:c r="M124" s="8" t="n">
        <x:f>'Воздействие'!E34*D124*E124</x:f>
        <x:v>0</x:v>
      </x:c>
      <x:c r="N124" s="8" t="n">
        <x:f>K124+L124-M124</x:f>
        <x:v>0</x:v>
      </x:c>
      <x:c r="O124" s="1" t="n">
        <x:f>J124*'Параметры'!$B$10*N124</x:f>
        <x:v>0</x:v>
      </x:c>
      <x:c r="P124" s="8" t="n">
        <x:f>(1-'Воздействие'!F34*D124)*(1-'Воздействие'!G34*E124)</x:f>
        <x:v>1</x:v>
      </x:c>
      <x:c r="Q124" s="1" t="n">
        <x:f>J124*P124</x:f>
        <x:v>398.1275599765944</x:v>
      </x:c>
      <x:c r="R124" s="1" t="n">
        <x:f>O124*P124</x:f>
        <x:v>0</x:v>
      </x:c>
      <x:c r="S124" s="8" t="n">
        <x:f>(1-'Гипотезы'!D12)*(1-'Гипотезы'!E12)</x:f>
        <x:v>0.5625</x:v>
      </x:c>
      <x:c r="T124" s="12" t="n">
        <x:f>Q124+R124*S124</x:f>
        <x:v>398.1275599765944</x:v>
      </x:c>
      <x:c r="U124" s="12" t="n">
        <x:f>T124-J124</x:f>
        <x:v>0</x:v>
      </x:c>
      <x:c r="V124" s="12" t="n">
        <x:f>J124*'Когорты'!T6</x:f>
        <x:v>398127.5599765944</x:v>
      </x:c>
      <x:c r="W124" s="12" t="n">
        <x:f>Q124*'Когорты'!T6*(1+'Воздействие'!H34*N124)</x:f>
        <x:v>398127.5599765944</x:v>
      </x:c>
      <x:c r="X124" s="12" t="n">
        <x:f>R124*'Когорты'!T6*(1+'Воздействие'!H34*N124)</x:f>
        <x:v>0</x:v>
      </x:c>
      <x:c r="Y124" s="12" t="n">
        <x:f>W124+X124*S124</x:f>
        <x:v>398127.5599765944</x:v>
      </x:c>
      <x:c r="Z124" s="12" t="n">
        <x:f>F124*N124</x:f>
        <x:v>0</x:v>
      </x:c>
      <x:c r="AA124" s="12" t="n">
        <x:f>J124*D124</x:f>
        <x:v>0</x:v>
      </x:c>
      <x:c r="AB124" s="12" t="n">
        <x:f>Q124*D124</x:f>
        <x:v>0</x:v>
      </x:c>
      <x:c r="AC124" s="12" t="n">
        <x:f>R124*D124</x:f>
        <x:v>0</x:v>
      </x:c>
      <x:c r="AD124" s="12" t="n">
        <x:f>J124*E124</x:f>
        <x:v>0</x:v>
      </x:c>
      <x:c r="AE124" s="12" t="n">
        <x:f>Q124*E124</x:f>
        <x:v>0</x:v>
      </x:c>
      <x:c r="AF124" s="12" t="n">
        <x:f>R124*E124</x:f>
        <x:v>0</x:v>
      </x:c>
      <x:c r="AG124" s="1" t="n">
        <x:f>IF(AND(I124&gt;=0,I124&lt;=1,Q124+R124&lt;=F124+0.00000001,N124&gt;=0,N124&lt;=1),1,0)</x:f>
        <x:v>1</x:v>
      </x:c>
      <x:c r="AH124" s="1"/>
      <x:c r="AI124" s="1"/>
    </x:row>
    <x:row r="125" ht="24" customHeight="1">
      <x:c r="A125" s="1" t="str">
        <x:v>H6.3</x:v>
      </x:c>
      <x:c r="B125" s="1" t="str">
        <x:v>S3</x:v>
      </x:c>
      <x:c r="C125" s="1" t="str">
        <x:v>Только C</x:v>
      </x:c>
      <x:c r="D125" s="1" t="n">
        <x:v>1</x:v>
      </x:c>
      <x:c r="E125" s="1" t="n">
        <x:v>0</x:v>
      </x:c>
      <x:c r="F125" s="12" t="n">
        <x:f>'Когорты'!D7*'Когорты'!L7</x:f>
        <x:v>16380.000000000002</x:v>
      </x:c>
      <x:c r="G125" s="8" t="n">
        <x:f>'Когорты'!F7</x:f>
        <x:v>0.12</x:v>
      </x:c>
      <x:c r="H125" s="1" t="n">
        <x:f>'Когорты'!O7</x:f>
        <x:v>1.5</x:v>
      </x:c>
      <x:c r="I125" s="8" t="n">
        <x:f>IF('Когорты'!S7&gt;0,G125*H125/'Когорты'!S7,0)</x:f>
        <x:v>0.17554125219426564</x:v>
      </x:c>
      <x:c r="J125" s="1" t="n">
        <x:f>F125*I125</x:f>
        <x:v>2875.3657109420715</x:v>
      </x:c>
      <x:c r="K125" s="8" t="n">
        <x:f>'Воздействие'!C35*D125</x:f>
        <x:v>0</x:v>
      </x:c>
      <x:c r="L125" s="8" t="n">
        <x:f>'Воздействие'!D35*E125</x:f>
        <x:v>0</x:v>
      </x:c>
      <x:c r="M125" s="8" t="n">
        <x:f>'Воздействие'!E35*D125*E125</x:f>
        <x:v>0</x:v>
      </x:c>
      <x:c r="N125" s="8" t="n">
        <x:f>K125+L125-M125</x:f>
        <x:v>0</x:v>
      </x:c>
      <x:c r="O125" s="1" t="n">
        <x:f>J125*'Параметры'!$B$10*N125</x:f>
        <x:v>0</x:v>
      </x:c>
      <x:c r="P125" s="8" t="n">
        <x:f>(1-'Воздействие'!F35*D125)*(1-'Воздействие'!G35*E125)</x:f>
        <x:v>1</x:v>
      </x:c>
      <x:c r="Q125" s="1" t="n">
        <x:f>J125*P125</x:f>
        <x:v>2875.3657109420715</x:v>
      </x:c>
      <x:c r="R125" s="1" t="n">
        <x:f>O125*P125</x:f>
        <x:v>0</x:v>
      </x:c>
      <x:c r="S125" s="8" t="n">
        <x:f>(1-'Гипотезы'!D12)*(1-'Гипотезы'!E12)</x:f>
        <x:v>0.5625</x:v>
      </x:c>
      <x:c r="T125" s="12" t="n">
        <x:f>Q125+R125*S125</x:f>
        <x:v>2875.3657109420715</x:v>
      </x:c>
      <x:c r="U125" s="12" t="n">
        <x:f>T125-J125</x:f>
        <x:v>0</x:v>
      </x:c>
      <x:c r="V125" s="12" t="n">
        <x:f>J125*'Когорты'!T7</x:f>
        <x:v>2875365.7109420714</x:v>
      </x:c>
      <x:c r="W125" s="12" t="n">
        <x:f>Q125*'Когорты'!T7*(1+'Воздействие'!H35*N125)</x:f>
        <x:v>2875365.7109420714</x:v>
      </x:c>
      <x:c r="X125" s="12" t="n">
        <x:f>R125*'Когорты'!T7*(1+'Воздействие'!H35*N125)</x:f>
        <x:v>0</x:v>
      </x:c>
      <x:c r="Y125" s="12" t="n">
        <x:f>W125+X125*S125</x:f>
        <x:v>2875365.7109420714</x:v>
      </x:c>
      <x:c r="Z125" s="12" t="n">
        <x:f>F125*N125</x:f>
        <x:v>0</x:v>
      </x:c>
      <x:c r="AA125" s="12" t="n">
        <x:f>J125*D125</x:f>
        <x:v>2875.3657109420715</x:v>
      </x:c>
      <x:c r="AB125" s="12" t="n">
        <x:f>Q125*D125</x:f>
        <x:v>2875.3657109420715</x:v>
      </x:c>
      <x:c r="AC125" s="12" t="n">
        <x:f>R125*D125</x:f>
        <x:v>0</x:v>
      </x:c>
      <x:c r="AD125" s="12" t="n">
        <x:f>J125*E125</x:f>
        <x:v>0</x:v>
      </x:c>
      <x:c r="AE125" s="12" t="n">
        <x:f>Q125*E125</x:f>
        <x:v>0</x:v>
      </x:c>
      <x:c r="AF125" s="12" t="n">
        <x:f>R125*E125</x:f>
        <x:v>0</x:v>
      </x:c>
      <x:c r="AG125" s="1" t="n">
        <x:f>IF(AND(I125&gt;=0,I125&lt;=1,Q125+R125&lt;=F125+0.00000001,N125&gt;=0,N125&lt;=1),1,0)</x:f>
        <x:v>1</x:v>
      </x:c>
      <x:c r="AH125" s="1"/>
      <x:c r="AI125" s="1"/>
    </x:row>
    <x:row r="126" ht="24" customHeight="1">
      <x:c r="A126" s="1" t="str">
        <x:v>H6.3</x:v>
      </x:c>
      <x:c r="B126" s="1" t="str">
        <x:v>S3</x:v>
      </x:c>
      <x:c r="C126" s="1" t="str">
        <x:v>Только F</x:v>
      </x:c>
      <x:c r="D126" s="1" t="n">
        <x:v>0</x:v>
      </x:c>
      <x:c r="E126" s="1" t="n">
        <x:v>1</x:v>
      </x:c>
      <x:c r="F126" s="12" t="n">
        <x:f>'Когорты'!D7*'Когорты'!M7</x:f>
        <x:v>779.9999999999999</x:v>
      </x:c>
      <x:c r="G126" s="8" t="n">
        <x:f>'Когорты'!F7</x:f>
        <x:v>0.12</x:v>
      </x:c>
      <x:c r="H126" s="1" t="n">
        <x:f>'Когорты'!P7</x:f>
        <x:v>0.2</x:v>
      </x:c>
      <x:c r="I126" s="8" t="n">
        <x:f>IF('Когорты'!S7&gt;0,G126*H126/'Когорты'!S7,0)</x:f>
        <x:v>0.023405500292568753</x:v>
      </x:c>
      <x:c r="J126" s="1" t="n">
        <x:f>F126*I126</x:f>
        <x:v>18.256290228203625</x:v>
      </x:c>
      <x:c r="K126" s="8" t="n">
        <x:f>'Воздействие'!C35*D126</x:f>
        <x:v>0</x:v>
      </x:c>
      <x:c r="L126" s="8" t="n">
        <x:f>'Воздействие'!D35*E126</x:f>
        <x:v>0.1</x:v>
      </x:c>
      <x:c r="M126" s="8" t="n">
        <x:f>'Воздействие'!E35*D126*E126</x:f>
        <x:v>0</x:v>
      </x:c>
      <x:c r="N126" s="8" t="n">
        <x:f>K126+L126-M126</x:f>
        <x:v>0.1</x:v>
      </x:c>
      <x:c r="O126" s="1" t="n">
        <x:f>J126*'Параметры'!$B$10*N126</x:f>
        <x:v>0.18256290228203628</x:v>
      </x:c>
      <x:c r="P126" s="8" t="n">
        <x:f>(1-'Воздействие'!F35*D126)*(1-'Воздействие'!G35*E126)</x:f>
        <x:v>1</x:v>
      </x:c>
      <x:c r="Q126" s="1" t="n">
        <x:f>J126*P126</x:f>
        <x:v>18.256290228203625</x:v>
      </x:c>
      <x:c r="R126" s="1" t="n">
        <x:f>O126*P126</x:f>
        <x:v>0.18256290228203628</x:v>
      </x:c>
      <x:c r="S126" s="8" t="n">
        <x:f>(1-'Гипотезы'!D12)*(1-'Гипотезы'!E12)</x:f>
        <x:v>0.5625</x:v>
      </x:c>
      <x:c r="T126" s="12" t="n">
        <x:f>Q126+R126*S126</x:f>
        <x:v>18.35898186073727</x:v>
      </x:c>
      <x:c r="U126" s="12" t="n">
        <x:f>T126-J126</x:f>
        <x:v>0.1026916325336451</x:v>
      </x:c>
      <x:c r="V126" s="12" t="n">
        <x:f>J126*'Когорты'!T7</x:f>
        <x:v>18256.290228203623</x:v>
      </x:c>
      <x:c r="W126" s="12" t="n">
        <x:f>Q126*'Когорты'!T7*(1+'Воздействие'!H35*N126)</x:f>
        <x:v>18256.290228203623</x:v>
      </x:c>
      <x:c r="X126" s="12" t="n">
        <x:f>R126*'Когорты'!T7*(1+'Воздействие'!H35*N126)</x:f>
        <x:v>182.56290228203628</x:v>
      </x:c>
      <x:c r="Y126" s="12" t="n">
        <x:f>W126+X126*S126</x:f>
        <x:v>18358.98186073727</x:v>
      </x:c>
      <x:c r="Z126" s="12" t="n">
        <x:f>F126*N126</x:f>
        <x:v>78</x:v>
      </x:c>
      <x:c r="AA126" s="12" t="n">
        <x:f>J126*D126</x:f>
        <x:v>0</x:v>
      </x:c>
      <x:c r="AB126" s="12" t="n">
        <x:f>Q126*D126</x:f>
        <x:v>0</x:v>
      </x:c>
      <x:c r="AC126" s="12" t="n">
        <x:f>R126*D126</x:f>
        <x:v>0</x:v>
      </x:c>
      <x:c r="AD126" s="12" t="n">
        <x:f>J126*E126</x:f>
        <x:v>18.256290228203625</x:v>
      </x:c>
      <x:c r="AE126" s="12" t="n">
        <x:f>Q126*E126</x:f>
        <x:v>18.256290228203625</x:v>
      </x:c>
      <x:c r="AF126" s="12" t="n">
        <x:f>R126*E126</x:f>
        <x:v>0.18256290228203628</x:v>
      </x:c>
      <x:c r="AG126" s="1" t="n">
        <x:f>IF(AND(I126&gt;=0,I126&lt;=1,Q126+R126&lt;=F126+0.00000001,N126&gt;=0,N126&lt;=1),1,0)</x:f>
        <x:v>1</x:v>
      </x:c>
      <x:c r="AH126" s="1"/>
      <x:c r="AI126" s="1"/>
    </x:row>
    <x:row r="127" ht="24" customHeight="1">
      <x:c r="A127" s="1" t="str">
        <x:v>H6.3</x:v>
      </x:c>
      <x:c r="B127" s="1" t="str">
        <x:v>S3</x:v>
      </x:c>
      <x:c r="C127" s="1" t="str">
        <x:v>Оба</x:v>
      </x:c>
      <x:c r="D127" s="1" t="n">
        <x:v>1</x:v>
      </x:c>
      <x:c r="E127" s="1" t="n">
        <x:v>1</x:v>
      </x:c>
      <x:c r="F127" s="12" t="n">
        <x:f>'Когорты'!D7*'Когорты'!K7</x:f>
        <x:v>3120.0000000000005</x:v>
      </x:c>
      <x:c r="G127" s="8" t="n">
        <x:f>'Когорты'!F7</x:f>
        <x:v>0.12</x:v>
      </x:c>
      <x:c r="H127" s="1" t="n">
        <x:f>'Когорты'!Q7</x:f>
        <x:v>1</x:v>
      </x:c>
      <x:c r="I127" s="8" t="n">
        <x:f>IF('Когорты'!S7&gt;0,G127*H127/'Когорты'!S7,0)</x:f>
        <x:v>0.11702750146284376</x:v>
      </x:c>
      <x:c r="J127" s="1" t="n">
        <x:f>F127*I127</x:f>
        <x:v>365.12580456407255</x:v>
      </x:c>
      <x:c r="K127" s="8" t="n">
        <x:f>'Воздействие'!C35*D127</x:f>
        <x:v>0</x:v>
      </x:c>
      <x:c r="L127" s="8" t="n">
        <x:f>'Воздействие'!D35*E127</x:f>
        <x:v>0.1</x:v>
      </x:c>
      <x:c r="M127" s="8" t="n">
        <x:f>'Воздействие'!E35*D127*E127</x:f>
        <x:v>0</x:v>
      </x:c>
      <x:c r="N127" s="8" t="n">
        <x:f>K127+L127-M127</x:f>
        <x:v>0.1</x:v>
      </x:c>
      <x:c r="O127" s="1" t="n">
        <x:f>J127*'Параметры'!$B$10*N127</x:f>
        <x:v>3.6512580456407258</x:v>
      </x:c>
      <x:c r="P127" s="8" t="n">
        <x:f>(1-'Воздействие'!F35*D127)*(1-'Воздействие'!G35*E127)</x:f>
        <x:v>1</x:v>
      </x:c>
      <x:c r="Q127" s="1" t="n">
        <x:f>J127*P127</x:f>
        <x:v>365.12580456407255</x:v>
      </x:c>
      <x:c r="R127" s="1" t="n">
        <x:f>O127*P127</x:f>
        <x:v>3.6512580456407258</x:v>
      </x:c>
      <x:c r="S127" s="8" t="n">
        <x:f>(1-'Гипотезы'!D12)*(1-'Гипотезы'!E12)</x:f>
        <x:v>0.5625</x:v>
      </x:c>
      <x:c r="T127" s="12" t="n">
        <x:f>Q127+R127*S127</x:f>
        <x:v>367.17963721474547</x:v>
      </x:c>
      <x:c r="U127" s="12" t="n">
        <x:f>T127-J127</x:f>
        <x:v>2.0538326506729163</x:v>
      </x:c>
      <x:c r="V127" s="12" t="n">
        <x:f>J127*'Когорты'!T7</x:f>
        <x:v>365125.8045640726</x:v>
      </x:c>
      <x:c r="W127" s="12" t="n">
        <x:f>Q127*'Когорты'!T7*(1+'Воздействие'!H35*N127)</x:f>
        <x:v>365125.8045640726</x:v>
      </x:c>
      <x:c r="X127" s="12" t="n">
        <x:f>R127*'Когорты'!T7*(1+'Воздействие'!H35*N127)</x:f>
        <x:v>3651.258045640726</x:v>
      </x:c>
      <x:c r="Y127" s="12" t="n">
        <x:f>W127+X127*S127</x:f>
        <x:v>367179.6372147455</x:v>
      </x:c>
      <x:c r="Z127" s="12" t="n">
        <x:f>F127*N127</x:f>
        <x:v>312.00000000000006</x:v>
      </x:c>
      <x:c r="AA127" s="12" t="n">
        <x:f>J127*D127</x:f>
        <x:v>365.12580456407255</x:v>
      </x:c>
      <x:c r="AB127" s="12" t="n">
        <x:f>Q127*D127</x:f>
        <x:v>365.12580456407255</x:v>
      </x:c>
      <x:c r="AC127" s="12" t="n">
        <x:f>R127*D127</x:f>
        <x:v>3.6512580456407258</x:v>
      </x:c>
      <x:c r="AD127" s="12" t="n">
        <x:f>J127*E127</x:f>
        <x:v>365.12580456407255</x:v>
      </x:c>
      <x:c r="AE127" s="12" t="n">
        <x:f>Q127*E127</x:f>
        <x:v>365.12580456407255</x:v>
      </x:c>
      <x:c r="AF127" s="12" t="n">
        <x:f>R127*E127</x:f>
        <x:v>3.6512580456407258</x:v>
      </x:c>
      <x:c r="AG127" s="1" t="n">
        <x:f>IF(AND(I127&gt;=0,I127&lt;=1,Q127+R127&lt;=F127+0.00000001,N127&gt;=0,N127&lt;=1),1,0)</x:f>
        <x:v>1</x:v>
      </x:c>
      <x:c r="AH127" s="1"/>
      <x:c r="AI127" s="1"/>
    </x:row>
    <x:row r="128" ht="24" customHeight="1">
      <x:c r="A128" s="1" t="str">
        <x:v>H6.3</x:v>
      </x:c>
      <x:c r="B128" s="1" t="str">
        <x:v>S3</x:v>
      </x:c>
      <x:c r="C128" s="1" t="str">
        <x:v>Ни один</x:v>
      </x:c>
      <x:c r="D128" s="1" t="n">
        <x:v>0</x:v>
      </x:c>
      <x:c r="E128" s="1" t="n">
        <x:v>0</x:v>
      </x:c>
      <x:c r="F128" s="12" t="n">
        <x:f>'Когорты'!D7*'Когорты'!N7</x:f>
        <x:v>9719.999999999998</x:v>
      </x:c>
      <x:c r="G128" s="8" t="n">
        <x:f>'Когорты'!F7</x:f>
        <x:v>0.12</x:v>
      </x:c>
      <x:c r="H128" s="1" t="n">
        <x:f>'Когорты'!R7</x:f>
        <x:v>0.3</x:v>
      </x:c>
      <x:c r="I128" s="8" t="n">
        <x:f>IF('Когорты'!S7&gt;0,G128*H128/'Когорты'!S7,0)</x:f>
        <x:v>0.03510825043885313</x:v>
      </x:c>
      <x:c r="J128" s="1" t="n">
        <x:f>F128*I128</x:f>
        <x:v>341.25219426565235</x:v>
      </x:c>
      <x:c r="K128" s="8" t="n">
        <x:f>'Воздействие'!C35*D128</x:f>
        <x:v>0</x:v>
      </x:c>
      <x:c r="L128" s="8" t="n">
        <x:f>'Воздействие'!D35*E128</x:f>
        <x:v>0</x:v>
      </x:c>
      <x:c r="M128" s="8" t="n">
        <x:f>'Воздействие'!E35*D128*E128</x:f>
        <x:v>0</x:v>
      </x:c>
      <x:c r="N128" s="8" t="n">
        <x:f>K128+L128-M128</x:f>
        <x:v>0</x:v>
      </x:c>
      <x:c r="O128" s="1" t="n">
        <x:f>J128*'Параметры'!$B$10*N128</x:f>
        <x:v>0</x:v>
      </x:c>
      <x:c r="P128" s="8" t="n">
        <x:f>(1-'Воздействие'!F35*D128)*(1-'Воздействие'!G35*E128)</x:f>
        <x:v>1</x:v>
      </x:c>
      <x:c r="Q128" s="1" t="n">
        <x:f>J128*P128</x:f>
        <x:v>341.25219426565235</x:v>
      </x:c>
      <x:c r="R128" s="1" t="n">
        <x:f>O128*P128</x:f>
        <x:v>0</x:v>
      </x:c>
      <x:c r="S128" s="8" t="n">
        <x:f>(1-'Гипотезы'!D12)*(1-'Гипотезы'!E12)</x:f>
        <x:v>0.5625</x:v>
      </x:c>
      <x:c r="T128" s="12" t="n">
        <x:f>Q128+R128*S128</x:f>
        <x:v>341.25219426565235</x:v>
      </x:c>
      <x:c r="U128" s="12" t="n">
        <x:f>T128-J128</x:f>
        <x:v>0</x:v>
      </x:c>
      <x:c r="V128" s="12" t="n">
        <x:f>J128*'Когорты'!T7</x:f>
        <x:v>341252.19426565233</x:v>
      </x:c>
      <x:c r="W128" s="12" t="n">
        <x:f>Q128*'Когорты'!T7*(1+'Воздействие'!H35*N128)</x:f>
        <x:v>341252.19426565233</x:v>
      </x:c>
      <x:c r="X128" s="12" t="n">
        <x:f>R128*'Когорты'!T7*(1+'Воздействие'!H35*N128)</x:f>
        <x:v>0</x:v>
      </x:c>
      <x:c r="Y128" s="12" t="n">
        <x:f>W128+X128*S128</x:f>
        <x:v>341252.19426565233</x:v>
      </x:c>
      <x:c r="Z128" s="12" t="n">
        <x:f>F128*N128</x:f>
        <x:v>0</x:v>
      </x:c>
      <x:c r="AA128" s="12" t="n">
        <x:f>J128*D128</x:f>
        <x:v>0</x:v>
      </x:c>
      <x:c r="AB128" s="12" t="n">
        <x:f>Q128*D128</x:f>
        <x:v>0</x:v>
      </x:c>
      <x:c r="AC128" s="12" t="n">
        <x:f>R128*D128</x:f>
        <x:v>0</x:v>
      </x:c>
      <x:c r="AD128" s="12" t="n">
        <x:f>J128*E128</x:f>
        <x:v>0</x:v>
      </x:c>
      <x:c r="AE128" s="12" t="n">
        <x:f>Q128*E128</x:f>
        <x:v>0</x:v>
      </x:c>
      <x:c r="AF128" s="12" t="n">
        <x:f>R128*E128</x:f>
        <x:v>0</x:v>
      </x:c>
      <x:c r="AG128" s="1" t="n">
        <x:f>IF(AND(I128&gt;=0,I128&lt;=1,Q128+R128&lt;=F128+0.00000001,N128&gt;=0,N128&lt;=1),1,0)</x:f>
        <x:v>1</x:v>
      </x:c>
      <x:c r="AH128" s="1"/>
      <x:c r="AI128" s="1"/>
    </x:row>
    <x:row r="129" ht="24" customHeight="1">
      <x:c r="A129" s="1" t="str">
        <x:v>H6.3</x:v>
      </x:c>
      <x:c r="B129" s="1" t="str">
        <x:v>S4</x:v>
      </x:c>
      <x:c r="C129" s="1" t="str">
        <x:v>Только C</x:v>
      </x:c>
      <x:c r="D129" s="1" t="n">
        <x:v>1</x:v>
      </x:c>
      <x:c r="E129" s="1" t="n">
        <x:v>0</x:v>
      </x:c>
      <x:c r="F129" s="12" t="n">
        <x:f>'Когорты'!D8*'Когорты'!L8</x:f>
        <x:v>16380.000000000002</x:v>
      </x:c>
      <x:c r="G129" s="8" t="n">
        <x:f>'Когорты'!F8</x:f>
        <x:v>0.21</x:v>
      </x:c>
      <x:c r="H129" s="1" t="n">
        <x:f>'Когорты'!O8</x:f>
        <x:v>1.5</x:v>
      </x:c>
      <x:c r="I129" s="8" t="n">
        <x:f>IF('Когорты'!S8&gt;0,G129*H129/'Когорты'!S8,0)</x:f>
        <x:v>0.30719719133996487</x:v>
      </x:c>
      <x:c r="J129" s="1" t="n">
        <x:f>F129*I129</x:f>
        <x:v>5031.889994148625</x:v>
      </x:c>
      <x:c r="K129" s="8" t="n">
        <x:f>'Воздействие'!C36*D129</x:f>
        <x:v>0</x:v>
      </x:c>
      <x:c r="L129" s="8" t="n">
        <x:f>'Воздействие'!D36*E129</x:f>
        <x:v>0</x:v>
      </x:c>
      <x:c r="M129" s="8" t="n">
        <x:f>'Воздействие'!E36*D129*E129</x:f>
        <x:v>0</x:v>
      </x:c>
      <x:c r="N129" s="8" t="n">
        <x:f>K129+L129-M129</x:f>
        <x:v>0</x:v>
      </x:c>
      <x:c r="O129" s="1" t="n">
        <x:f>J129*'Параметры'!$B$10*N129</x:f>
        <x:v>0</x:v>
      </x:c>
      <x:c r="P129" s="8" t="n">
        <x:f>(1-'Воздействие'!F36*D129)*(1-'Воздействие'!G36*E129)</x:f>
        <x:v>1</x:v>
      </x:c>
      <x:c r="Q129" s="1" t="n">
        <x:f>J129*P129</x:f>
        <x:v>5031.889994148625</x:v>
      </x:c>
      <x:c r="R129" s="1" t="n">
        <x:f>O129*P129</x:f>
        <x:v>0</x:v>
      </x:c>
      <x:c r="S129" s="8" t="n">
        <x:f>(1-'Гипотезы'!D12)*(1-'Гипотезы'!E12)</x:f>
        <x:v>0.5625</x:v>
      </x:c>
      <x:c r="T129" s="12" t="n">
        <x:f>Q129+R129*S129</x:f>
        <x:v>5031.889994148625</x:v>
      </x:c>
      <x:c r="U129" s="12" t="n">
        <x:f>T129-J129</x:f>
        <x:v>0</x:v>
      </x:c>
      <x:c r="V129" s="12" t="n">
        <x:f>J129*'Когорты'!T8</x:f>
        <x:v>5031889.994148625</x:v>
      </x:c>
      <x:c r="W129" s="12" t="n">
        <x:f>Q129*'Когорты'!T8*(1+'Воздействие'!H36*N129)</x:f>
        <x:v>5031889.994148625</x:v>
      </x:c>
      <x:c r="X129" s="12" t="n">
        <x:f>R129*'Когорты'!T8*(1+'Воздействие'!H36*N129)</x:f>
        <x:v>0</x:v>
      </x:c>
      <x:c r="Y129" s="12" t="n">
        <x:f>W129+X129*S129</x:f>
        <x:v>5031889.994148625</x:v>
      </x:c>
      <x:c r="Z129" s="12" t="n">
        <x:f>F129*N129</x:f>
        <x:v>0</x:v>
      </x:c>
      <x:c r="AA129" s="12" t="n">
        <x:f>J129*D129</x:f>
        <x:v>5031.889994148625</x:v>
      </x:c>
      <x:c r="AB129" s="12" t="n">
        <x:f>Q129*D129</x:f>
        <x:v>5031.889994148625</x:v>
      </x:c>
      <x:c r="AC129" s="12" t="n">
        <x:f>R129*D129</x:f>
        <x:v>0</x:v>
      </x:c>
      <x:c r="AD129" s="12" t="n">
        <x:f>J129*E129</x:f>
        <x:v>0</x:v>
      </x:c>
      <x:c r="AE129" s="12" t="n">
        <x:f>Q129*E129</x:f>
        <x:v>0</x:v>
      </x:c>
      <x:c r="AF129" s="12" t="n">
        <x:f>R129*E129</x:f>
        <x:v>0</x:v>
      </x:c>
      <x:c r="AG129" s="1" t="n">
        <x:f>IF(AND(I129&gt;=0,I129&lt;=1,Q129+R129&lt;=F129+0.00000001,N129&gt;=0,N129&lt;=1),1,0)</x:f>
        <x:v>1</x:v>
      </x:c>
      <x:c r="AH129" s="1"/>
      <x:c r="AI129" s="1"/>
    </x:row>
    <x:row r="130" ht="24" customHeight="1">
      <x:c r="A130" s="1" t="str">
        <x:v>H6.3</x:v>
      </x:c>
      <x:c r="B130" s="1" t="str">
        <x:v>S4</x:v>
      </x:c>
      <x:c r="C130" s="1" t="str">
        <x:v>Только F</x:v>
      </x:c>
      <x:c r="D130" s="1" t="n">
        <x:v>0</x:v>
      </x:c>
      <x:c r="E130" s="1" t="n">
        <x:v>1</x:v>
      </x:c>
      <x:c r="F130" s="12" t="n">
        <x:f>'Когорты'!D8*'Когорты'!M8</x:f>
        <x:v>779.9999999999999</x:v>
      </x:c>
      <x:c r="G130" s="8" t="n">
        <x:f>'Когорты'!F8</x:f>
        <x:v>0.21</x:v>
      </x:c>
      <x:c r="H130" s="1" t="n">
        <x:f>'Когорты'!P8</x:f>
        <x:v>0.2</x:v>
      </x:c>
      <x:c r="I130" s="8" t="n">
        <x:f>IF('Когорты'!S8&gt;0,G130*H130/'Когорты'!S8,0)</x:f>
        <x:v>0.04095962551199532</x:v>
      </x:c>
      <x:c r="J130" s="1" t="n">
        <x:f>F130*I130</x:f>
        <x:v>31.948507899356347</x:v>
      </x:c>
      <x:c r="K130" s="8" t="n">
        <x:f>'Воздействие'!C36*D130</x:f>
        <x:v>0</x:v>
      </x:c>
      <x:c r="L130" s="8" t="n">
        <x:f>'Воздействие'!D36*E130</x:f>
        <x:v>0.1</x:v>
      </x:c>
      <x:c r="M130" s="8" t="n">
        <x:f>'Воздействие'!E36*D130*E130</x:f>
        <x:v>0</x:v>
      </x:c>
      <x:c r="N130" s="8" t="n">
        <x:f>K130+L130-M130</x:f>
        <x:v>0.1</x:v>
      </x:c>
      <x:c r="O130" s="1" t="n">
        <x:f>J130*'Параметры'!$B$10*N130</x:f>
        <x:v>0.3194850789935635</x:v>
      </x:c>
      <x:c r="P130" s="8" t="n">
        <x:f>(1-'Воздействие'!F36*D130)*(1-'Воздействие'!G36*E130)</x:f>
        <x:v>1</x:v>
      </x:c>
      <x:c r="Q130" s="1" t="n">
        <x:f>J130*P130</x:f>
        <x:v>31.948507899356347</x:v>
      </x:c>
      <x:c r="R130" s="1" t="n">
        <x:f>O130*P130</x:f>
        <x:v>0.3194850789935635</x:v>
      </x:c>
      <x:c r="S130" s="8" t="n">
        <x:f>(1-'Гипотезы'!D12)*(1-'Гипотезы'!E12)</x:f>
        <x:v>0.5625</x:v>
      </x:c>
      <x:c r="T130" s="12" t="n">
        <x:f>Q130+R130*S130</x:f>
        <x:v>32.128218256290225</x:v>
      </x:c>
      <x:c r="U130" s="12" t="n">
        <x:f>T130-J130</x:f>
        <x:v>0.17971035693387805</x:v>
      </x:c>
      <x:c r="V130" s="12" t="n">
        <x:f>J130*'Когорты'!T8</x:f>
        <x:v>31948.507899356347</x:v>
      </x:c>
      <x:c r="W130" s="12" t="n">
        <x:f>Q130*'Когорты'!T8*(1+'Воздействие'!H36*N130)</x:f>
        <x:v>31948.507899356347</x:v>
      </x:c>
      <x:c r="X130" s="12" t="n">
        <x:f>R130*'Когорты'!T8*(1+'Воздействие'!H36*N130)</x:f>
        <x:v>319.4850789935635</x:v>
      </x:c>
      <x:c r="Y130" s="12" t="n">
        <x:f>W130+X130*S130</x:f>
        <x:v>32128.218256290227</x:v>
      </x:c>
      <x:c r="Z130" s="12" t="n">
        <x:f>F130*N130</x:f>
        <x:v>78</x:v>
      </x:c>
      <x:c r="AA130" s="12" t="n">
        <x:f>J130*D130</x:f>
        <x:v>0</x:v>
      </x:c>
      <x:c r="AB130" s="12" t="n">
        <x:f>Q130*D130</x:f>
        <x:v>0</x:v>
      </x:c>
      <x:c r="AC130" s="12" t="n">
        <x:f>R130*D130</x:f>
        <x:v>0</x:v>
      </x:c>
      <x:c r="AD130" s="12" t="n">
        <x:f>J130*E130</x:f>
        <x:v>31.948507899356347</x:v>
      </x:c>
      <x:c r="AE130" s="12" t="n">
        <x:f>Q130*E130</x:f>
        <x:v>31.948507899356347</x:v>
      </x:c>
      <x:c r="AF130" s="12" t="n">
        <x:f>R130*E130</x:f>
        <x:v>0.3194850789935635</x:v>
      </x:c>
      <x:c r="AG130" s="1" t="n">
        <x:f>IF(AND(I130&gt;=0,I130&lt;=1,Q130+R130&lt;=F130+0.00000001,N130&gt;=0,N130&lt;=1),1,0)</x:f>
        <x:v>1</x:v>
      </x:c>
      <x:c r="AH130" s="1"/>
      <x:c r="AI130" s="1"/>
    </x:row>
    <x:row r="131" ht="24" customHeight="1">
      <x:c r="A131" s="1" t="str">
        <x:v>H6.3</x:v>
      </x:c>
      <x:c r="B131" s="1" t="str">
        <x:v>S4</x:v>
      </x:c>
      <x:c r="C131" s="1" t="str">
        <x:v>Оба</x:v>
      </x:c>
      <x:c r="D131" s="1" t="n">
        <x:v>1</x:v>
      </x:c>
      <x:c r="E131" s="1" t="n">
        <x:v>1</x:v>
      </x:c>
      <x:c r="F131" s="12" t="n">
        <x:f>'Когорты'!D8*'Когорты'!K8</x:f>
        <x:v>3120.0000000000005</x:v>
      </x:c>
      <x:c r="G131" s="8" t="n">
        <x:f>'Когорты'!F8</x:f>
        <x:v>0.21</x:v>
      </x:c>
      <x:c r="H131" s="1" t="n">
        <x:f>'Когорты'!Q8</x:f>
        <x:v>1</x:v>
      </x:c>
      <x:c r="I131" s="8" t="n">
        <x:f>IF('Когорты'!S8&gt;0,G131*H131/'Когорты'!S8,0)</x:f>
        <x:v>0.20479812755997656</x:v>
      </x:c>
      <x:c r="J131" s="1" t="n">
        <x:f>F131*I131</x:f>
        <x:v>638.970157987127</x:v>
      </x:c>
      <x:c r="K131" s="8" t="n">
        <x:f>'Воздействие'!C36*D131</x:f>
        <x:v>0</x:v>
      </x:c>
      <x:c r="L131" s="8" t="n">
        <x:f>'Воздействие'!D36*E131</x:f>
        <x:v>0.1</x:v>
      </x:c>
      <x:c r="M131" s="8" t="n">
        <x:f>'Воздействие'!E36*D131*E131</x:f>
        <x:v>0</x:v>
      </x:c>
      <x:c r="N131" s="8" t="n">
        <x:f>K131+L131-M131</x:f>
        <x:v>0.1</x:v>
      </x:c>
      <x:c r="O131" s="1" t="n">
        <x:f>J131*'Параметры'!$B$10*N131</x:f>
        <x:v>6.389701579871271</x:v>
      </x:c>
      <x:c r="P131" s="8" t="n">
        <x:f>(1-'Воздействие'!F36*D131)*(1-'Воздействие'!G36*E131)</x:f>
        <x:v>1</x:v>
      </x:c>
      <x:c r="Q131" s="1" t="n">
        <x:f>J131*P131</x:f>
        <x:v>638.970157987127</x:v>
      </x:c>
      <x:c r="R131" s="1" t="n">
        <x:f>O131*P131</x:f>
        <x:v>6.389701579871271</x:v>
      </x:c>
      <x:c r="S131" s="8" t="n">
        <x:f>(1-'Гипотезы'!D12)*(1-'Гипотезы'!E12)</x:f>
        <x:v>0.5625</x:v>
      </x:c>
      <x:c r="T131" s="12" t="n">
        <x:f>Q131+R131*S131</x:f>
        <x:v>642.5643651258046</x:v>
      </x:c>
      <x:c r="U131" s="12" t="n">
        <x:f>T131-J131</x:f>
        <x:v>3.594207138677575</x:v>
      </x:c>
      <x:c r="V131" s="12" t="n">
        <x:f>J131*'Когорты'!T8</x:f>
        <x:v>638970.157987127</x:v>
      </x:c>
      <x:c r="W131" s="12" t="n">
        <x:f>Q131*'Когорты'!T8*(1+'Воздействие'!H36*N131)</x:f>
        <x:v>638970.157987127</x:v>
      </x:c>
      <x:c r="X131" s="12" t="n">
        <x:f>R131*'Когорты'!T8*(1+'Воздействие'!H36*N131)</x:f>
        <x:v>6389.701579871271</x:v>
      </x:c>
      <x:c r="Y131" s="12" t="n">
        <x:f>W131+X131*S131</x:f>
        <x:v>642564.3651258046</x:v>
      </x:c>
      <x:c r="Z131" s="12" t="n">
        <x:f>F131*N131</x:f>
        <x:v>312.00000000000006</x:v>
      </x:c>
      <x:c r="AA131" s="12" t="n">
        <x:f>J131*D131</x:f>
        <x:v>638.970157987127</x:v>
      </x:c>
      <x:c r="AB131" s="12" t="n">
        <x:f>Q131*D131</x:f>
        <x:v>638.970157987127</x:v>
      </x:c>
      <x:c r="AC131" s="12" t="n">
        <x:f>R131*D131</x:f>
        <x:v>6.389701579871271</x:v>
      </x:c>
      <x:c r="AD131" s="12" t="n">
        <x:f>J131*E131</x:f>
        <x:v>638.970157987127</x:v>
      </x:c>
      <x:c r="AE131" s="12" t="n">
        <x:f>Q131*E131</x:f>
        <x:v>638.970157987127</x:v>
      </x:c>
      <x:c r="AF131" s="12" t="n">
        <x:f>R131*E131</x:f>
        <x:v>6.389701579871271</x:v>
      </x:c>
      <x:c r="AG131" s="1" t="n">
        <x:f>IF(AND(I131&gt;=0,I131&lt;=1,Q131+R131&lt;=F131+0.00000001,N131&gt;=0,N131&lt;=1),1,0)</x:f>
        <x:v>1</x:v>
      </x:c>
      <x:c r="AH131" s="1"/>
      <x:c r="AI131" s="1"/>
    </x:row>
    <x:row r="132" ht="24" customHeight="1">
      <x:c r="A132" s="1" t="str">
        <x:v>H6.3</x:v>
      </x:c>
      <x:c r="B132" s="1" t="str">
        <x:v>S4</x:v>
      </x:c>
      <x:c r="C132" s="1" t="str">
        <x:v>Ни один</x:v>
      </x:c>
      <x:c r="D132" s="1" t="n">
        <x:v>0</x:v>
      </x:c>
      <x:c r="E132" s="1" t="n">
        <x:v>0</x:v>
      </x:c>
      <x:c r="F132" s="12" t="n">
        <x:f>'Когорты'!D8*'Когорты'!N8</x:f>
        <x:v>9719.999999999998</x:v>
      </x:c>
      <x:c r="G132" s="8" t="n">
        <x:f>'Когорты'!F8</x:f>
        <x:v>0.21</x:v>
      </x:c>
      <x:c r="H132" s="1" t="n">
        <x:f>'Когорты'!R8</x:f>
        <x:v>0.3</x:v>
      </x:c>
      <x:c r="I132" s="8" t="n">
        <x:f>IF('Когорты'!S8&gt;0,G132*H132/'Когорты'!S8,0)</x:f>
        <x:v>0.061439438267992974</x:v>
      </x:c>
      <x:c r="J132" s="1" t="n">
        <x:f>F132*I132</x:f>
        <x:v>597.1913399648915</x:v>
      </x:c>
      <x:c r="K132" s="8" t="n">
        <x:f>'Воздействие'!C36*D132</x:f>
        <x:v>0</x:v>
      </x:c>
      <x:c r="L132" s="8" t="n">
        <x:f>'Воздействие'!D36*E132</x:f>
        <x:v>0</x:v>
      </x:c>
      <x:c r="M132" s="8" t="n">
        <x:f>'Воздействие'!E36*D132*E132</x:f>
        <x:v>0</x:v>
      </x:c>
      <x:c r="N132" s="8" t="n">
        <x:f>K132+L132-M132</x:f>
        <x:v>0</x:v>
      </x:c>
      <x:c r="O132" s="1" t="n">
        <x:f>J132*'Параметры'!$B$10*N132</x:f>
        <x:v>0</x:v>
      </x:c>
      <x:c r="P132" s="8" t="n">
        <x:f>(1-'Воздействие'!F36*D132)*(1-'Воздействие'!G36*E132)</x:f>
        <x:v>1</x:v>
      </x:c>
      <x:c r="Q132" s="1" t="n">
        <x:f>J132*P132</x:f>
        <x:v>597.1913399648915</x:v>
      </x:c>
      <x:c r="R132" s="1" t="n">
        <x:f>O132*P132</x:f>
        <x:v>0</x:v>
      </x:c>
      <x:c r="S132" s="8" t="n">
        <x:f>(1-'Гипотезы'!D12)*(1-'Гипотезы'!E12)</x:f>
        <x:v>0.5625</x:v>
      </x:c>
      <x:c r="T132" s="12" t="n">
        <x:f>Q132+R132*S132</x:f>
        <x:v>597.1913399648915</x:v>
      </x:c>
      <x:c r="U132" s="12" t="n">
        <x:f>T132-J132</x:f>
        <x:v>0</x:v>
      </x:c>
      <x:c r="V132" s="12" t="n">
        <x:f>J132*'Когорты'!T8</x:f>
        <x:v>597191.3399648916</x:v>
      </x:c>
      <x:c r="W132" s="12" t="n">
        <x:f>Q132*'Когорты'!T8*(1+'Воздействие'!H36*N132)</x:f>
        <x:v>597191.3399648916</x:v>
      </x:c>
      <x:c r="X132" s="12" t="n">
        <x:f>R132*'Когорты'!T8*(1+'Воздействие'!H36*N132)</x:f>
        <x:v>0</x:v>
      </x:c>
      <x:c r="Y132" s="12" t="n">
        <x:f>W132+X132*S132</x:f>
        <x:v>597191.3399648916</x:v>
      </x:c>
      <x:c r="Z132" s="12" t="n">
        <x:f>F132*N132</x:f>
        <x:v>0</x:v>
      </x:c>
      <x:c r="AA132" s="12" t="n">
        <x:f>J132*D132</x:f>
        <x:v>0</x:v>
      </x:c>
      <x:c r="AB132" s="12" t="n">
        <x:f>Q132*D132</x:f>
        <x:v>0</x:v>
      </x:c>
      <x:c r="AC132" s="12" t="n">
        <x:f>R132*D132</x:f>
        <x:v>0</x:v>
      </x:c>
      <x:c r="AD132" s="12" t="n">
        <x:f>J132*E132</x:f>
        <x:v>0</x:v>
      </x:c>
      <x:c r="AE132" s="12" t="n">
        <x:f>Q132*E132</x:f>
        <x:v>0</x:v>
      </x:c>
      <x:c r="AF132" s="12" t="n">
        <x:f>R132*E132</x:f>
        <x:v>0</x:v>
      </x:c>
      <x:c r="AG132" s="1" t="n">
        <x:f>IF(AND(I132&gt;=0,I132&lt;=1,Q132+R132&lt;=F132+0.00000001,N132&gt;=0,N132&lt;=1),1,0)</x:f>
        <x:v>1</x:v>
      </x:c>
      <x:c r="AH132" s="1"/>
      <x:c r="AI132" s="1"/>
    </x:row>
    <x:row r="133" ht="24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</x:row>
    <x:row r="134" ht="24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</x:row>
    <x:row r="135" ht="24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</x:row>
    <x:row r="136" ht="24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</x:row>
    <x:row r="137" ht="24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</x:row>
    <x:row r="138" ht="50" customHeight="1">
      <x:c r="A138" s="7" t="str">
        <x:v>H</x:v>
      </x:c>
      <x:c r="B138" s="7" t="str">
        <x:v>Покупатели 0</x:v>
      </x:c>
      <x:c r="C138" s="7" t="str">
        <x:v>Цель, людей</x:v>
      </x:c>
      <x:c r="D138" s="7" t="str">
        <x:v>Грубый прирост</x:v>
      </x:c>
      <x:c r="E138" s="7" t="str">
        <x:v>База после потерь</x:v>
      </x:c>
      <x:c r="F138" s="7" t="str">
        <x:v>Коэф. прироста</x:v>
      </x:c>
      <x:c r="G138" s="7" t="str">
        <x:v>Доход 0</x:v>
      </x:c>
      <x:c r="H138" s="7" t="str">
        <x:v>Доход после потерь</x:v>
      </x:c>
      <x:c r="I138" s="7" t="str">
        <x:v>Коэф. дохода</x:v>
      </x:c>
      <x:c r="J138" s="7" t="str">
        <x:v>Покупатели C0</x:v>
      </x:c>
      <x:c r="K138" s="7" t="str">
        <x:v>C после потерь</x:v>
      </x:c>
      <x:c r="L138" s="7" t="str">
        <x:v>Коэф. C</x:v>
      </x:c>
      <x:c r="M138" s="7" t="str">
        <x:v>Покупатели F0</x:v>
      </x:c>
      <x:c r="N138" s="7" t="str">
        <x:v>F после потерь</x:v>
      </x:c>
      <x:c r="O138" s="7" t="str">
        <x:v>Коэф. F</x:v>
      </x:c>
      <x:c r="P138" s="7" t="str">
        <x:v>Сохр. uplift</x:v>
      </x:c>
      <x:c r="Q138" s="7" t="str">
        <x:v>Покупатели 1</x:v>
      </x:c>
      <x:c r="R138" s="7" t="str">
        <x:v>Доход 1</x:v>
      </x:c>
      <x:c r="S138" s="7" t="str">
        <x:v>Допустимость</x:v>
      </x:c>
      <x:c r="T138" s="7" t="str">
        <x:v>Global CR1</x:v>
      </x:c>
      <x:c r="U138" s="7" t="str">
        <x:v>Δ покупателей</x:v>
      </x:c>
      <x:c r="V138" s="7" t="str">
        <x:v>Δ global CR</x:v>
      </x:c>
      <x:c r="W138" s="7" t="str">
        <x:v>CR C0</x:v>
      </x:c>
      <x:c r="X138" s="7" t="str">
        <x:v>CR C1</x:v>
      </x:c>
      <x:c r="Y138" s="7" t="str">
        <x:v>CR F0</x:v>
      </x:c>
      <x:c r="Z138" s="7" t="str">
        <x:v>CR F1</x:v>
      </x:c>
      <x:c r="AA138" s="7" t="str">
        <x:v>ARPU0</x:v>
      </x:c>
      <x:c r="AB138" s="7" t="str">
        <x:v>ARPU1</x:v>
      </x:c>
      <x:c r="AC138" s="7" t="str">
        <x:v>Guard C</x:v>
      </x:c>
      <x:c r="AD138" s="7" t="str">
        <x:v>Guard F</x:v>
      </x:c>
      <x:c r="AE138" s="7" t="str">
        <x:v>Guard ARPU</x:v>
      </x:c>
      <x:c r="AF138" s="7" t="str">
        <x:v>Δ относит. CR</x:v>
      </x:c>
      <x:c r="AG138" s="7" t="str">
        <x:v>Грубый Δ</x:v>
      </x:c>
      <x:c r="AH138" s="7" t="str">
        <x:v>Чистый uplift, людей</x:v>
      </x:c>
      <x:c r="AI138" s="7" t="str">
        <x:v>Потеря базы, людей</x:v>
      </x:c>
    </x:row>
    <x:row r="139" ht="24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</x:row>
    <x:row r="140" ht="24" customHeight="1">
      <x:c r="A140" s="1" t="str">
        <x:v>H1</x:v>
      </x:c>
      <x:c r="B140" s="12" t="n">
        <x:f>SUM('Расчёт'!J5:J20)</x:f>
        <x:v>20099.999999999996</x:v>
      </x:c>
      <x:c r="C140" s="12" t="n">
        <x:f>SUM('Расчёт'!Z5:Z20)</x:f>
        <x:v>13000</x:v>
      </x:c>
      <x:c r="D140" s="12" t="n">
        <x:f>SUM('Расчёт'!O5:O20)</x:f>
        <x:v>280.84259801053247</x:v>
      </x:c>
      <x:c r="E140" s="12" t="n">
        <x:f>SUM('Расчёт'!Q5:Q20)</x:f>
        <x:v>20099.999999999996</x:v>
      </x:c>
      <x:c r="F140" s="12" t="n">
        <x:f>SUM('Расчёт'!R5:R20)</x:f>
        <x:v>280.84259801053247</x:v>
      </x:c>
      <x:c r="G140" s="12" t="n">
        <x:f>SUM('Расчёт'!V5:V20)</x:f>
        <x:v>20099999.999999993</x:v>
      </x:c>
      <x:c r="H140" s="12" t="n">
        <x:f>SUM('Расчёт'!W5:W20)</x:f>
        <x:v>20099999.999999993</x:v>
      </x:c>
      <x:c r="I140" s="12" t="n">
        <x:f>SUM('Расчёт'!X5:X20)</x:f>
        <x:v>280842.5980105325</x:v>
      </x:c>
      <x:c r="J140" s="12" t="n">
        <x:f>SUM('Расчёт'!AA5:AA20)</x:f>
        <x:v>18092.744294909302</x:v>
      </x:c>
      <x:c r="K140" s="12" t="n">
        <x:f>SUM('Расчёт'!AB5:AB20)</x:f>
        <x:v>18092.744294909302</x:v>
      </x:c>
      <x:c r="L140" s="12" t="n">
        <x:f>SUM('Расчёт'!AC5:AC20)</x:f>
        <x:v>280.84259801053247</x:v>
      </x:c>
      <x:c r="M140" s="12" t="n">
        <x:f>SUM('Расчёт'!AD5:AD20)</x:f>
        <x:v>2140.5500292568754</x:v>
      </x:c>
      <x:c r="N140" s="12" t="n">
        <x:f>SUM('Расчёт'!AE5:AE20)</x:f>
        <x:v>2140.5500292568754</x:v>
      </x:c>
      <x:c r="O140" s="12" t="n">
        <x:f>SUM('Расчёт'!AF5:AF20)</x:f>
        <x:v>31.64423639555296</x:v>
      </x:c>
      <x:c r="P140" s="8" t="n">
        <x:f>(1-'Гипотезы'!D5)*(1-'Гипотезы'!E5)</x:f>
        <x:v>0.5625</x:v>
      </x:c>
      <x:c r="Q140" s="12" t="n">
        <x:f>E140+F140*P140</x:f>
        <x:v>20257.97396138092</x:v>
      </x:c>
      <x:c r="R140" s="12" t="n">
        <x:f>H140+I140*P140</x:f>
        <x:v>20257973.961380918</x:v>
      </x:c>
      <x:c r="S140" s="23" t="n">
        <x:f>IF(AND('Параметры'!B28=1,'Когорты'!X10=1,'Гипотезы'!I5=1,MIN('Воздействие'!K5:K8)=1,MIN(AG5:AG20)=1),1,0)</x:f>
        <x:v>1</x:v>
      </x:c>
      <x:c r="T140" s="8" t="n">
        <x:f>Q140/'Параметры'!$B$8</x:f>
        <x:v>0.2025797396138092</x:v>
      </x:c>
      <x:c r="U140" s="12" t="n">
        <x:f>Q140-B140</x:f>
        <x:v>157.97396138092518</x:v>
      </x:c>
      <x:c r="V140" s="8" t="n">
        <x:f>U140/'Параметры'!$B$8</x:f>
        <x:v>0.0015797396138092518</x:v>
      </x:c>
      <x:c r="W140" s="8" t="n">
        <x:f>J140/'Когорты'!$U$10</x:f>
        <x:v>0.2783499122293739</x:v>
      </x:c>
      <x:c r="X140" s="8" t="n">
        <x:f>(K140+L140*P140)/'Когорты'!$U$10</x:f>
        <x:v>0.2807802808660035</x:v>
      </x:c>
      <x:c r="Y140" s="8" t="n">
        <x:f>M140/'Когорты'!$V$10</x:f>
        <x:v>0.16465769455822118</x:v>
      </x:c>
      <x:c r="Z140" s="8" t="n">
        <x:f>(N140+O140*P140)/'Когорты'!$V$10</x:f>
        <x:v>0.16602691632533645</x:v>
      </x:c>
      <x:c r="AA140" s="22" t="n">
        <x:f>G140/'Параметры'!$B$8</x:f>
        <x:v>200.99999999999991</x:v>
      </x:c>
      <x:c r="AB140" s="22" t="n">
        <x:f>R140/'Параметры'!$B$8</x:f>
        <x:v>202.57973961380918</x:v>
      </x:c>
      <x:c r="AC140" s="23" t="n">
        <x:f>IF(X140+0.000000000001&gt;=W140,1,0)</x:f>
        <x:v>1</x:v>
      </x:c>
      <x:c r="AD140" s="23" t="n">
        <x:f>IF(Z140+0.000000000001&gt;=Y140,1,0)</x:f>
        <x:v>1</x:v>
      </x:c>
      <x:c r="AE140" s="23" t="n">
        <x:f>IF(AB140+0.000000001&gt;=AA140,1,0)</x:f>
        <x:v>1</x:v>
      </x:c>
      <x:c r="AF140" s="8" t="n">
        <x:f>IF(B140=0,"n.a.",U140/B140)</x:f>
        <x:v>0.007859401063727622</x:v>
      </x:c>
      <x:c r="AG140" s="12" t="n">
        <x:f>D140</x:f>
        <x:v>280.84259801053247</x:v>
      </x:c>
      <x:c r="AH140" s="12" t="n">
        <x:f>F140*P140</x:f>
        <x:v>157.97396138092452</x:v>
      </x:c>
      <x:c r="AI140" s="12" t="n">
        <x:f>E140-B140</x:f>
        <x:v>0</x:v>
      </x:c>
    </x:row>
    <x:row r="141" ht="24" customHeight="1">
      <x:c r="A141" s="1" t="str">
        <x:v>H2</x:v>
      </x:c>
      <x:c r="B141" s="12" t="n">
        <x:f>SUM('Расчёт'!J21:J36)</x:f>
        <x:v>20099.999999999996</x:v>
      </x:c>
      <x:c r="C141" s="12" t="n">
        <x:f>SUM('Расчёт'!Z21:Z36)</x:f>
        <x:v>15210</x:v>
      </x:c>
      <x:c r="D141" s="12" t="n">
        <x:f>SUM('Расчёт'!O21:O36)</x:f>
        <x:v>394.98244587478047</x:v>
      </x:c>
      <x:c r="E141" s="12" t="n">
        <x:f>SUM('Расчёт'!Q21:Q36)</x:f>
        <x:v>20099.999999999996</x:v>
      </x:c>
      <x:c r="F141" s="12" t="n">
        <x:f>SUM('Расчёт'!R21:R36)</x:f>
        <x:v>394.98244587478047</x:v>
      </x:c>
      <x:c r="G141" s="12" t="n">
        <x:f>SUM('Расчёт'!V21:V36)</x:f>
        <x:v>20099999.999999993</x:v>
      </x:c>
      <x:c r="H141" s="12" t="n">
        <x:f>SUM('Расчёт'!W21:W36)</x:f>
        <x:v>20099999.999999993</x:v>
      </x:c>
      <x:c r="I141" s="12" t="n">
        <x:f>SUM('Расчёт'!X21:X36)</x:f>
        <x:v>394982.44587478053</x:v>
      </x:c>
      <x:c r="J141" s="12" t="n">
        <x:f>SUM('Расчёт'!AA21:AA36)</x:f>
        <x:v>18092.744294909302</x:v>
      </x:c>
      <x:c r="K141" s="12" t="n">
        <x:f>SUM('Расчёт'!AB21:AB36)</x:f>
        <x:v>18092.744294909302</x:v>
      </x:c>
      <x:c r="L141" s="12" t="n">
        <x:f>SUM('Расчёт'!AC21:AC36)</x:f>
        <x:v>392.43417203042713</x:v>
      </x:c>
      <x:c r="M141" s="12" t="n">
        <x:f>SUM('Расчёт'!AD21:AD36)</x:f>
        <x:v>2140.5500292568754</x:v>
      </x:c>
      <x:c r="N141" s="12" t="n">
        <x:f>SUM('Расчёт'!AE21:AE36)</x:f>
        <x:v>2140.5500292568754</x:v>
      </x:c>
      <x:c r="O141" s="12" t="n">
        <x:f>SUM('Расчёт'!AF21:AF36)</x:f>
        <x:v>73.89994148624926</x:v>
      </x:c>
      <x:c r="P141" s="8" t="n">
        <x:f>(1-'Гипотезы'!D6)*(1-'Гипотезы'!E6)</x:f>
        <x:v>0.5625</x:v>
      </x:c>
      <x:c r="Q141" s="12" t="n">
        <x:f>E141+F141*P141</x:f>
        <x:v>20322.17762580456</x:v>
      </x:c>
      <x:c r="R141" s="12" t="n">
        <x:f>H141+I141*P141</x:f>
        <x:v>20322177.62580456</x:v>
      </x:c>
      <x:c r="S141" s="23" t="n">
        <x:f>IF(AND('Параметры'!B28=1,'Когорты'!X10=1,'Гипотезы'!I6=1,MIN('Воздействие'!K9:K12)=1,MIN(AG21:AG36)=1),1,0)</x:f>
        <x:v>1</x:v>
      </x:c>
      <x:c r="T141" s="8" t="n">
        <x:f>Q141/'Параметры'!$B$8</x:f>
        <x:v>0.2032217762580456</x:v>
      </x:c>
      <x:c r="U141" s="12" t="n">
        <x:f>Q141-B141</x:f>
        <x:v>222.17762580456474</x:v>
      </x:c>
      <x:c r="V141" s="8" t="n">
        <x:f>U141/'Параметры'!$B$8</x:f>
        <x:v>0.0022217762580456473</x:v>
      </x:c>
      <x:c r="W141" s="8" t="n">
        <x:f>J141/'Когорты'!$U$10</x:f>
        <x:v>0.2783499122293739</x:v>
      </x:c>
      <x:c r="X141" s="8" t="n">
        <x:f>(K141+L141*P141)/'Когорты'!$U$10</x:f>
        <x:v>0.2817459771796372</x:v>
      </x:c>
      <x:c r="Y141" s="8" t="n">
        <x:f>M141/'Когорты'!$V$10</x:f>
        <x:v>0.16465769455822118</x:v>
      </x:c>
      <x:c r="Z141" s="8" t="n">
        <x:f>(N141+O141*P141)/'Когорты'!$V$10</x:f>
        <x:v>0.16785528818022236</x:v>
      </x:c>
      <x:c r="AA141" s="22" t="n">
        <x:f>G141/'Параметры'!$B$8</x:f>
        <x:v>200.99999999999991</x:v>
      </x:c>
      <x:c r="AB141" s="22" t="n">
        <x:f>R141/'Параметры'!$B$8</x:f>
        <x:v>203.2217762580456</x:v>
      </x:c>
      <x:c r="AC141" s="23" t="n">
        <x:f>IF(X141+0.000000000001&gt;=W141,1,0)</x:f>
        <x:v>1</x:v>
      </x:c>
      <x:c r="AD141" s="23" t="n">
        <x:f>IF(Z141+0.000000000001&gt;=Y141,1,0)</x:f>
        <x:v>1</x:v>
      </x:c>
      <x:c r="AE141" s="23" t="n">
        <x:f>IF(AB141+0.000000001&gt;=AA141,1,0)</x:f>
        <x:v>1</x:v>
      </x:c>
      <x:c r="AF141" s="8" t="n">
        <x:f>IF(B141=0,"n.a.",U141/B141)</x:f>
        <x:v>0.0110536132241077</x:v>
      </x:c>
      <x:c r="AG141" s="12" t="n">
        <x:f>D141</x:f>
        <x:v>394.98244587478047</x:v>
      </x:c>
      <x:c r="AH141" s="12" t="n">
        <x:f>F141*P141</x:f>
        <x:v>222.177625804564</x:v>
      </x:c>
      <x:c r="AI141" s="12" t="n">
        <x:f>E141-B141</x:f>
        <x:v>0</x:v>
      </x:c>
    </x:row>
    <x:row r="142" ht="24" customHeight="1">
      <x:c r="A142" s="1" t="str">
        <x:v>H3</x:v>
      </x:c>
      <x:c r="B142" s="12" t="n">
        <x:f>SUM('Расчёт'!J37:J52)</x:f>
        <x:v>20099.999999999996</x:v>
      </x:c>
      <x:c r="C142" s="12" t="n">
        <x:f>SUM('Расчёт'!Z37:Z52)</x:f>
        <x:v>16250</x:v>
      </x:c>
      <x:c r="D142" s="12" t="n">
        <x:f>SUM('Расчёт'!O37:O52)</x:f>
        <x:v>391.55939145699244</x:v>
      </x:c>
      <x:c r="E142" s="12" t="n">
        <x:f>SUM('Расчёт'!Q37:Q52)</x:f>
        <x:v>20099.999999999996</x:v>
      </x:c>
      <x:c r="F142" s="12" t="n">
        <x:f>SUM('Расчёт'!R37:R52)</x:f>
        <x:v>391.55939145699244</x:v>
      </x:c>
      <x:c r="G142" s="12" t="n">
        <x:f>SUM('Расчёт'!V37:V52)</x:f>
        <x:v>20099999.999999993</x:v>
      </x:c>
      <x:c r="H142" s="12" t="n">
        <x:f>SUM('Расчёт'!W37:W52)</x:f>
        <x:v>20099999.999999993</x:v>
      </x:c>
      <x:c r="I142" s="12" t="n">
        <x:f>SUM('Расчёт'!X37:X52)</x:f>
        <x:v>391559.3914569924</x:v>
      </x:c>
      <x:c r="J142" s="12" t="n">
        <x:f>SUM('Расчёт'!AA37:AA52)</x:f>
        <x:v>18092.744294909302</x:v>
      </x:c>
      <x:c r="K142" s="12" t="n">
        <x:f>SUM('Расчёт'!AB37:AB52)</x:f>
        <x:v>18092.744294909302</x:v>
      </x:c>
      <x:c r="L142" s="12" t="n">
        <x:f>SUM('Расчёт'!AC37:AC52)</x:f>
        <x:v>391.55939145699244</x:v>
      </x:c>
      <x:c r="M142" s="12" t="n">
        <x:f>SUM('Расчёт'!AD37:AD52)</x:f>
        <x:v>2140.5500292568754</x:v>
      </x:c>
      <x:c r="N142" s="12" t="n">
        <x:f>SUM('Расчёт'!AE37:AE52)</x:f>
        <x:v>2140.5500292568754</x:v>
      </x:c>
      <x:c r="O142" s="12" t="n">
        <x:f>SUM('Расчёт'!AF37:AF52)</x:f>
        <x:v>44.1193680514921</x:v>
      </x:c>
      <x:c r="P142" s="8" t="n">
        <x:f>(1-'Гипотезы'!D7)*(1-'Гипотезы'!E7)</x:f>
        <x:v>0.5625</x:v>
      </x:c>
      <x:c r="Q142" s="12" t="n">
        <x:f>E142+F142*P142</x:f>
        <x:v>20320.252157694555</x:v>
      </x:c>
      <x:c r="R142" s="12" t="n">
        <x:f>H142+I142*P142</x:f>
        <x:v>20320252.157694552</x:v>
      </x:c>
      <x:c r="S142" s="23" t="n">
        <x:f>IF(AND('Параметры'!B28=1,'Когорты'!X10=1,'Гипотезы'!I7=1,MIN('Воздействие'!K13:K16)=1,MIN(AG37:AG52)=1),1,0)</x:f>
        <x:v>1</x:v>
      </x:c>
      <x:c r="T142" s="8" t="n">
        <x:f>Q142/'Параметры'!$B$8</x:f>
        <x:v>0.20320252157694554</x:v>
      </x:c>
      <x:c r="U142" s="12" t="n">
        <x:f>Q142-B142</x:f>
        <x:v>220.25215769455826</x:v>
      </x:c>
      <x:c r="V142" s="8" t="n">
        <x:f>U142/'Параметры'!$B$8</x:f>
        <x:v>0.0022025215769455827</x:v>
      </x:c>
      <x:c r="W142" s="8" t="n">
        <x:f>J142/'Когорты'!$U$10</x:f>
        <x:v>0.2783499122293739</x:v>
      </x:c>
      <x:c r="X142" s="8" t="n">
        <x:f>(K142+L142*P142)/'Когорты'!$U$10</x:f>
        <x:v>0.2817384069631363</x:v>
      </x:c>
      <x:c r="Y142" s="8" t="n">
        <x:f>M142/'Когорты'!$V$10</x:f>
        <x:v>0.16465769455822118</x:v>
      </x:c>
      <x:c r="Z142" s="8" t="n">
        <x:f>(N142+O142*P142)/'Когорты'!$V$10</x:f>
        <x:v>0.16656670567583384</x:v>
      </x:c>
      <x:c r="AA142" s="22" t="n">
        <x:f>G142/'Параметры'!$B$8</x:f>
        <x:v>200.99999999999991</x:v>
      </x:c>
      <x:c r="AB142" s="22" t="n">
        <x:f>R142/'Параметры'!$B$8</x:f>
        <x:v>203.20252157694551</x:v>
      </x:c>
      <x:c r="AC142" s="23" t="n">
        <x:f>IF(X142+0.000000000001&gt;=W142,1,0)</x:f>
        <x:v>1</x:v>
      </x:c>
      <x:c r="AD142" s="23" t="n">
        <x:f>IF(Z142+0.000000000001&gt;=Y142,1,0)</x:f>
        <x:v>1</x:v>
      </x:c>
      <x:c r="AE142" s="23" t="n">
        <x:f>IF(AB142+0.000000001&gt;=AA142,1,0)</x:f>
        <x:v>1</x:v>
      </x:c>
      <x:c r="AF142" s="8" t="n">
        <x:f>IF(B142=0,"n.a.",U142/B142)</x:f>
        <x:v>0.010957818790774045</x:v>
      </x:c>
      <x:c r="AG142" s="12" t="n">
        <x:f>D142</x:f>
        <x:v>391.55939145699244</x:v>
      </x:c>
      <x:c r="AH142" s="12" t="n">
        <x:f>F142*P142</x:f>
        <x:v>220.25215769455826</x:v>
      </x:c>
      <x:c r="AI142" s="12" t="n">
        <x:f>E142-B142</x:f>
        <x:v>0</x:v>
      </x:c>
    </x:row>
    <x:row r="143" ht="24" customHeight="1">
      <x:c r="A143" s="1" t="str">
        <x:v>H4</x:v>
      </x:c>
      <x:c r="B143" s="12" t="n">
        <x:f>SUM('Расчёт'!J53:J68)</x:f>
        <x:v>20099.999999999996</x:v>
      </x:c>
      <x:c r="C143" s="12" t="n">
        <x:f>SUM('Расчёт'!Z53:Z68)</x:f>
        <x:v>18460</x:v>
      </x:c>
      <x:c r="D143" s="12" t="n">
        <x:f>SUM('Расчёт'!O53:O68)</x:f>
        <x:v>462.79695728496193</x:v>
      </x:c>
      <x:c r="E143" s="12" t="n">
        <x:f>SUM('Расчёт'!Q53:Q68)</x:f>
        <x:v>20099.999999999996</x:v>
      </x:c>
      <x:c r="F143" s="12" t="n">
        <x:f>SUM('Расчёт'!R53:R68)</x:f>
        <x:v>462.79695728496193</x:v>
      </x:c>
      <x:c r="G143" s="12" t="n">
        <x:f>SUM('Расчёт'!V53:V68)</x:f>
        <x:v>20099999.999999993</x:v>
      </x:c>
      <x:c r="H143" s="12" t="n">
        <x:f>SUM('Расчёт'!W53:W68)</x:f>
        <x:v>20099999.999999993</x:v>
      </x:c>
      <x:c r="I143" s="12" t="n">
        <x:f>SUM('Расчёт'!X53:X68)</x:f>
        <x:v>462796.95728496194</x:v>
      </x:c>
      <x:c r="J143" s="12" t="n">
        <x:f>SUM('Расчёт'!AA53:AA68)</x:f>
        <x:v>18092.744294909302</x:v>
      </x:c>
      <x:c r="K143" s="12" t="n">
        <x:f>SUM('Расчёт'!AB53:AB68)</x:f>
        <x:v>18092.744294909302</x:v>
      </x:c>
      <x:c r="L143" s="12" t="n">
        <x:f>SUM('Расчёт'!AC53:AC68)</x:f>
        <x:v>460.36278525453486</x:v>
      </x:c>
      <x:c r="M143" s="12" t="n">
        <x:f>SUM('Расчёт'!AD53:AD68)</x:f>
        <x:v>2140.5500292568754</x:v>
      </x:c>
      <x:c r="N143" s="12" t="n">
        <x:f>SUM('Расчёт'!AE53:AE68)</x:f>
        <x:v>2140.5500292568754</x:v>
      </x:c>
      <x:c r="O143" s="12" t="n">
        <x:f>SUM('Расчёт'!AF53:AF68)</x:f>
        <x:v>79.41486249268578</x:v>
      </x:c>
      <x:c r="P143" s="8" t="n">
        <x:f>(1-'Гипотезы'!D8)*(1-'Гипотезы'!E8)</x:f>
        <x:v>0.5625</x:v>
      </x:c>
      <x:c r="Q143" s="12" t="n">
        <x:f>E143+F143*P143</x:f>
        <x:v>20360.323288472788</x:v>
      </x:c>
      <x:c r="R143" s="12" t="n">
        <x:f>H143+I143*P143</x:f>
        <x:v>20360323.288472783</x:v>
      </x:c>
      <x:c r="S143" s="23" t="n">
        <x:f>IF(AND('Параметры'!B28=1,'Когорты'!X10=1,'Гипотезы'!I8=1,MIN('Воздействие'!K17:K20)=1,MIN(AG53:AG68)=1),1,0)</x:f>
        <x:v>1</x:v>
      </x:c>
      <x:c r="T143" s="8" t="n">
        <x:f>Q143/'Параметры'!$B$8</x:f>
        <x:v>0.20360323288472787</x:v>
      </x:c>
      <x:c r="U143" s="12" t="n">
        <x:f>Q143-B143</x:f>
        <x:v>260.3232884727913</x:v>
      </x:c>
      <x:c r="V143" s="8" t="n">
        <x:f>U143/'Параметры'!$B$8</x:f>
        <x:v>0.0026032328847279134</x:v>
      </x:c>
      <x:c r="W143" s="8" t="n">
        <x:f>J143/'Когорты'!$U$10</x:f>
        <x:v>0.2783499122293739</x:v>
      </x:c>
      <x:c r="X143" s="8" t="n">
        <x:f>(K143+L143*P143)/'Когорты'!$U$10</x:f>
        <x:v>0.28233382094792275</x:v>
      </x:c>
      <x:c r="Y143" s="8" t="n">
        <x:f>M143/'Когорты'!$V$10</x:f>
        <x:v>0.16465769455822118</x:v>
      </x:c>
      <x:c r="Z143" s="8" t="n">
        <x:f>(N143+O143*P143)/'Когорты'!$V$10</x:f>
        <x:v>0.16809391456992395</x:v>
      </x:c>
      <x:c r="AA143" s="22" t="n">
        <x:f>G143/'Параметры'!$B$8</x:f>
        <x:v>200.99999999999991</x:v>
      </x:c>
      <x:c r="AB143" s="22" t="n">
        <x:f>R143/'Параметры'!$B$8</x:f>
        <x:v>203.60323288472782</x:v>
      </x:c>
      <x:c r="AC143" s="23" t="n">
        <x:f>IF(X143+0.000000000001&gt;=W143,1,0)</x:f>
        <x:v>1</x:v>
      </x:c>
      <x:c r="AD143" s="23" t="n">
        <x:f>IF(Z143+0.000000000001&gt;=Y143,1,0)</x:f>
        <x:v>1</x:v>
      </x:c>
      <x:c r="AE143" s="23" t="n">
        <x:f>IF(AB143+0.000000001&gt;=AA143,1,0)</x:f>
        <x:v>1</x:v>
      </x:c>
      <x:c r="AF143" s="8" t="n">
        <x:f>IF(B143=0,"n.a.",U143/B143)</x:f>
        <x:v>0.012951407386706039</x:v>
      </x:c>
      <x:c r="AG143" s="12" t="n">
        <x:f>D143</x:f>
        <x:v>462.79695728496193</x:v>
      </x:c>
      <x:c r="AH143" s="12" t="n">
        <x:f>F143*P143</x:f>
        <x:v>260.3232884727911</x:v>
      </x:c>
      <x:c r="AI143" s="12" t="n">
        <x:f>E143-B143</x:f>
        <x:v>0</x:v>
      </x:c>
    </x:row>
    <x:row r="144" ht="24" customHeight="1">
      <x:c r="A144" s="1" t="str">
        <x:v>H5</x:v>
      </x:c>
      <x:c r="B144" s="12" t="n">
        <x:f>SUM('Расчёт'!J69:J84)</x:f>
        <x:v>20099.999999999996</x:v>
      </x:c>
      <x:c r="C144" s="12" t="n">
        <x:f>SUM('Расчёт'!Z69:Z84)</x:f>
        <x:v>4160</x:v>
      </x:c>
      <x:c r="D144" s="12" t="n">
        <x:f>SUM('Расчёт'!O69:O84)</x:f>
        <x:v>75.39847864248098</x:v>
      </x:c>
      <x:c r="E144" s="12" t="n">
        <x:f>SUM('Расчёт'!Q69:Q84)</x:f>
        <x:v>20099.999999999996</x:v>
      </x:c>
      <x:c r="F144" s="12" t="n">
        <x:f>SUM('Расчёт'!R69:R84)</x:f>
        <x:v>75.39847864248098</x:v>
      </x:c>
      <x:c r="G144" s="12" t="n">
        <x:f>SUM('Расчёт'!V69:V84)</x:f>
        <x:v>20099999.999999993</x:v>
      </x:c>
      <x:c r="H144" s="12" t="n">
        <x:f>SUM('Расчёт'!W69:W84)</x:f>
        <x:v>20099999.999999993</x:v>
      </x:c>
      <x:c r="I144" s="12" t="n">
        <x:f>SUM('Расчёт'!X69:X84)</x:f>
        <x:v>75398.47864248097</x:v>
      </x:c>
      <x:c r="J144" s="12" t="n">
        <x:f>SUM('Расчёт'!AA69:AA84)</x:f>
        <x:v>18092.744294909302</x:v>
      </x:c>
      <x:c r="K144" s="12" t="n">
        <x:f>SUM('Расчёт'!AB69:AB84)</x:f>
        <x:v>18092.744294909302</x:v>
      </x:c>
      <x:c r="L144" s="12" t="n">
        <x:f>SUM('Расчёт'!AC69:AC84)</x:f>
        <x:v>71.80807489760093</x:v>
      </x:c>
      <x:c r="M144" s="12" t="n">
        <x:f>SUM('Расчёт'!AD69:AD84)</x:f>
        <x:v>2140.5500292568754</x:v>
      </x:c>
      <x:c r="N144" s="12" t="n">
        <x:f>SUM('Расчёт'!AE69:AE84)</x:f>
        <x:v>2140.5500292568754</x:v>
      </x:c>
      <x:c r="O144" s="12" t="n">
        <x:f>SUM('Расчёт'!AF69:AF84)</x:f>
        <x:v>75.39847864248098</x:v>
      </x:c>
      <x:c r="P144" s="8" t="n">
        <x:f>(1-'Гипотезы'!D9)*(1-'Гипотезы'!E9)</x:f>
        <x:v>0.5625</x:v>
      </x:c>
      <x:c r="Q144" s="12" t="n">
        <x:f>E144+F144*P144</x:f>
        <x:v>20142.411644236392</x:v>
      </x:c>
      <x:c r="R144" s="12" t="n">
        <x:f>H144+I144*P144</x:f>
        <x:v>20142411.64423639</x:v>
      </x:c>
      <x:c r="S144" s="23" t="n">
        <x:f>IF(AND('Параметры'!B28=1,'Когорты'!X10=1,'Гипотезы'!I9=1,MIN('Воздействие'!K21:K24)=1,MIN(AG69:AG84)=1),1,0)</x:f>
        <x:v>1</x:v>
      </x:c>
      <x:c r="T144" s="8" t="n">
        <x:f>Q144/'Параметры'!$B$8</x:f>
        <x:v>0.2014241164423639</x:v>
      </x:c>
      <x:c r="U144" s="12" t="n">
        <x:f>Q144-B144</x:f>
        <x:v>42.41164423639566</x:v>
      </x:c>
      <x:c r="V144" s="8" t="n">
        <x:f>U144/'Параметры'!$B$8</x:f>
        <x:v>0.0004241164423639566</x:v>
      </x:c>
      <x:c r="W144" s="8" t="n">
        <x:f>J144/'Когорты'!$U$10</x:f>
        <x:v>0.2783499122293739</x:v>
      </x:c>
      <x:c r="X144" s="8" t="n">
        <x:f>(K144+L144*P144)/'Когорты'!$U$10</x:f>
        <x:v>0.2789713282621416</x:v>
      </x:c>
      <x:c r="Y144" s="8" t="n">
        <x:f>M144/'Когорты'!$V$10</x:f>
        <x:v>0.16465769455822118</x:v>
      </x:c>
      <x:c r="Z144" s="8" t="n">
        <x:f>(N144+O144*P144)/'Когорты'!$V$10</x:f>
        <x:v>0.1679201287302516</x:v>
      </x:c>
      <x:c r="AA144" s="22" t="n">
        <x:f>G144/'Параметры'!$B$8</x:f>
        <x:v>200.99999999999991</x:v>
      </x:c>
      <x:c r="AB144" s="22" t="n">
        <x:f>R144/'Параметры'!$B$8</x:f>
        <x:v>201.4241164423639</x:v>
      </x:c>
      <x:c r="AC144" s="23" t="n">
        <x:f>IF(X144+0.000000000001&gt;=W144,1,0)</x:f>
        <x:v>1</x:v>
      </x:c>
      <x:c r="AD144" s="23" t="n">
        <x:f>IF(Z144+0.000000000001&gt;=Y144,1,0)</x:f>
        <x:v>1</x:v>
      </x:c>
      <x:c r="AE144" s="23" t="n">
        <x:f>IF(AB144+0.000000001&gt;=AA144,1,0)</x:f>
        <x:v>1</x:v>
      </x:c>
      <x:c r="AF144" s="8" t="n">
        <x:f>IF(B144=0,"n.a.",U144/B144)</x:f>
        <x:v>0.0021100320515619734</x:v>
      </x:c>
      <x:c r="AG144" s="12" t="n">
        <x:f>D144</x:f>
        <x:v>75.39847864248098</x:v>
      </x:c>
      <x:c r="AH144" s="12" t="n">
        <x:f>F144*P144</x:f>
        <x:v>42.41164423639555</x:v>
      </x:c>
      <x:c r="AI144" s="12" t="n">
        <x:f>E144-B144</x:f>
        <x:v>0</x:v>
      </x:c>
    </x:row>
    <x:row r="145" ht="24" customHeight="1">
      <x:c r="A145" s="1" t="str">
        <x:v>H6.1</x:v>
      </x:c>
      <x:c r="B145" s="12" t="n">
        <x:f>SUM('Расчёт'!J85:J100)</x:f>
        <x:v>20099.999999999996</x:v>
      </x:c>
      <x:c r="C145" s="12" t="n">
        <x:f>SUM('Расчёт'!Z85:Z100)</x:f>
        <x:v>2340</x:v>
      </x:c>
      <x:c r="D145" s="12" t="n">
        <x:f>SUM('Расчёт'!O85:O100)</x:f>
        <x:v>43.13048566413107</x:v>
      </x:c>
      <x:c r="E145" s="12" t="n">
        <x:f>SUM('Расчёт'!Q85:Q100)</x:f>
        <x:v>20099.999999999996</x:v>
      </x:c>
      <x:c r="F145" s="12" t="n">
        <x:f>SUM('Расчёт'!R85:R100)</x:f>
        <x:v>43.13048566413107</x:v>
      </x:c>
      <x:c r="G145" s="12" t="n">
        <x:f>SUM('Расчёт'!V85:V100)</x:f>
        <x:v>20099999.999999993</x:v>
      </x:c>
      <x:c r="H145" s="12" t="n">
        <x:f>SUM('Расчёт'!W85:W100)</x:f>
        <x:v>20099999.999999993</x:v>
      </x:c>
      <x:c r="I145" s="12" t="n">
        <x:f>SUM('Расчёт'!X85:X100)</x:f>
        <x:v>43130.485664131076</x:v>
      </x:c>
      <x:c r="J145" s="12" t="n">
        <x:f>SUM('Расчёт'!AA85:AA100)</x:f>
        <x:v>18092.744294909302</x:v>
      </x:c>
      <x:c r="K145" s="12" t="n">
        <x:f>SUM('Расчёт'!AB85:AB100)</x:f>
        <x:v>18092.744294909302</x:v>
      </x:c>
      <x:c r="L145" s="12" t="n">
        <x:f>SUM('Расчёт'!AC85:AC100)</x:f>
        <x:v>41.07665301345816</x:v>
      </x:c>
      <x:c r="M145" s="12" t="n">
        <x:f>SUM('Расчёт'!AD85:AD100)</x:f>
        <x:v>2140.5500292568754</x:v>
      </x:c>
      <x:c r="N145" s="12" t="n">
        <x:f>SUM('Расчёт'!AE85:AE100)</x:f>
        <x:v>2140.5500292568754</x:v>
      </x:c>
      <x:c r="O145" s="12" t="n">
        <x:f>SUM('Расчёт'!AF85:AF100)</x:f>
        <x:v>43.13048566413107</x:v>
      </x:c>
      <x:c r="P145" s="8" t="n">
        <x:f>(1-'Гипотезы'!D10)*(1-'Гипотезы'!E10)</x:f>
        <x:v>0.5625</x:v>
      </x:c>
      <x:c r="Q145" s="12" t="n">
        <x:f>E145+F145*P145</x:f>
        <x:v>20124.26089818607</x:v>
      </x:c>
      <x:c r="R145" s="12" t="n">
        <x:f>H145+I145*P145</x:f>
        <x:v>20124260.898186065</x:v>
      </x:c>
      <x:c r="S145" s="23" t="n">
        <x:f>IF(AND('Параметры'!B28=1,'Когорты'!X10=1,'Гипотезы'!I10=1,MIN('Воздействие'!K25:K28)=1,MIN(AG85:AG100)=1),1,0)</x:f>
        <x:v>1</x:v>
      </x:c>
      <x:c r="T145" s="8" t="n">
        <x:f>Q145/'Параметры'!$B$8</x:f>
        <x:v>0.2012426089818607</x:v>
      </x:c>
      <x:c r="U145" s="12" t="n">
        <x:f>Q145-B145</x:f>
        <x:v>24.260898186072154</x:v>
      </x:c>
      <x:c r="V145" s="8" t="n">
        <x:f>U145/'Параметры'!$B$8</x:f>
        <x:v>0.00024260898186072153</x:v>
      </x:c>
      <x:c r="W145" s="8" t="n">
        <x:f>J145/'Когорты'!$U$10</x:f>
        <x:v>0.2783499122293739</x:v>
      </x:c>
      <x:c r="X145" s="8" t="n">
        <x:f>(K145+L145*P145)/'Когорты'!$U$10</x:f>
        <x:v>0.2787053832650673</x:v>
      </x:c>
      <x:c r="Y145" s="8" t="n">
        <x:f>M145/'Когорты'!$V$10</x:f>
        <x:v>0.16465769455822118</x:v>
      </x:c>
      <x:c r="Z145" s="8" t="n">
        <x:f>(N145+O145*P145)/'Когорты'!$V$10</x:f>
        <x:v>0.16652391749561146</x:v>
      </x:c>
      <x:c r="AA145" s="22" t="n">
        <x:f>G145/'Параметры'!$B$8</x:f>
        <x:v>200.99999999999991</x:v>
      </x:c>
      <x:c r="AB145" s="22" t="n">
        <x:f>R145/'Параметры'!$B$8</x:f>
        <x:v>201.24260898186066</x:v>
      </x:c>
      <x:c r="AC145" s="23" t="n">
        <x:f>IF(X145+0.000000000001&gt;=W145,1,0)</x:f>
        <x:v>1</x:v>
      </x:c>
      <x:c r="AD145" s="23" t="n">
        <x:f>IF(Z145+0.000000000001&gt;=Y145,1,0)</x:f>
        <x:v>1</x:v>
      </x:c>
      <x:c r="AE145" s="23" t="n">
        <x:f>IF(AB145+0.000000001&gt;=AA145,1,0)</x:f>
        <x:v>1</x:v>
      </x:c>
      <x:c r="AF145" s="8" t="n">
        <x:f>IF(B145=0,"n.a.",U145/B145)</x:f>
        <x:v>0.00120700986000359</x:v>
      </x:c>
      <x:c r="AG145" s="12" t="n">
        <x:f>D145</x:f>
        <x:v>43.13048566413107</x:v>
      </x:c>
      <x:c r="AH145" s="12" t="n">
        <x:f>F145*P145</x:f>
        <x:v>24.260898186073728</x:v>
      </x:c>
      <x:c r="AI145" s="12" t="n">
        <x:f>E145-B145</x:f>
        <x:v>0</x:v>
      </x:c>
    </x:row>
    <x:row r="146" ht="24" customHeight="1">
      <x:c r="A146" s="1" t="str">
        <x:v>H6.2</x:v>
      </x:c>
      <x:c r="B146" s="12" t="n">
        <x:f>SUM('Расчёт'!J101:J116)</x:f>
        <x:v>20099.999999999996</x:v>
      </x:c>
      <x:c r="C146" s="12" t="n">
        <x:f>SUM('Расчёт'!Z101:Z116)</x:f>
        <x:v>2340</x:v>
      </x:c>
      <x:c r="D146" s="12" t="n">
        <x:f>SUM('Расчёт'!O101:O116)</x:f>
        <x:v>43.13048566413107</x:v>
      </x:c>
      <x:c r="E146" s="12" t="n">
        <x:f>SUM('Расчёт'!Q101:Q116)</x:f>
        <x:v>20099.999999999996</x:v>
      </x:c>
      <x:c r="F146" s="12" t="n">
        <x:f>SUM('Расчёт'!R101:R116)</x:f>
        <x:v>43.13048566413107</x:v>
      </x:c>
      <x:c r="G146" s="12" t="n">
        <x:f>SUM('Расчёт'!V101:V116)</x:f>
        <x:v>20099999.999999993</x:v>
      </x:c>
      <x:c r="H146" s="12" t="n">
        <x:f>SUM('Расчёт'!W101:W116)</x:f>
        <x:v>20099999.999999993</x:v>
      </x:c>
      <x:c r="I146" s="12" t="n">
        <x:f>SUM('Расчёт'!X101:X116)</x:f>
        <x:v>43130.485664131076</x:v>
      </x:c>
      <x:c r="J146" s="12" t="n">
        <x:f>SUM('Расчёт'!AA101:AA116)</x:f>
        <x:v>18092.744294909302</x:v>
      </x:c>
      <x:c r="K146" s="12" t="n">
        <x:f>SUM('Расчёт'!AB101:AB116)</x:f>
        <x:v>18092.744294909302</x:v>
      </x:c>
      <x:c r="L146" s="12" t="n">
        <x:f>SUM('Расчёт'!AC101:AC116)</x:f>
        <x:v>41.07665301345816</x:v>
      </x:c>
      <x:c r="M146" s="12" t="n">
        <x:f>SUM('Расчёт'!AD101:AD116)</x:f>
        <x:v>2140.5500292568754</x:v>
      </x:c>
      <x:c r="N146" s="12" t="n">
        <x:f>SUM('Расчёт'!AE101:AE116)</x:f>
        <x:v>2140.5500292568754</x:v>
      </x:c>
      <x:c r="O146" s="12" t="n">
        <x:f>SUM('Расчёт'!AF101:AF116)</x:f>
        <x:v>43.13048566413107</x:v>
      </x:c>
      <x:c r="P146" s="8" t="n">
        <x:f>(1-'Гипотезы'!D11)*(1-'Гипотезы'!E11)</x:f>
        <x:v>0.5625</x:v>
      </x:c>
      <x:c r="Q146" s="12" t="n">
        <x:f>E146+F146*P146</x:f>
        <x:v>20124.26089818607</x:v>
      </x:c>
      <x:c r="R146" s="12" t="n">
        <x:f>H146+I146*P146</x:f>
        <x:v>20124260.898186065</x:v>
      </x:c>
      <x:c r="S146" s="23" t="n">
        <x:f>IF(AND('Параметры'!B28=1,'Когорты'!X10=1,'Гипотезы'!I11=1,MIN('Воздействие'!K29:K32)=1,MIN(AG101:AG116)=1),1,0)</x:f>
        <x:v>1</x:v>
      </x:c>
      <x:c r="T146" s="8" t="n">
        <x:f>Q146/'Параметры'!$B$8</x:f>
        <x:v>0.2012426089818607</x:v>
      </x:c>
      <x:c r="U146" s="12" t="n">
        <x:f>Q146-B146</x:f>
        <x:v>24.260898186072154</x:v>
      </x:c>
      <x:c r="V146" s="8" t="n">
        <x:f>U146/'Параметры'!$B$8</x:f>
        <x:v>0.00024260898186072153</x:v>
      </x:c>
      <x:c r="W146" s="8" t="n">
        <x:f>J146/'Когорты'!$U$10</x:f>
        <x:v>0.2783499122293739</x:v>
      </x:c>
      <x:c r="X146" s="8" t="n">
        <x:f>(K146+L146*P146)/'Когорты'!$U$10</x:f>
        <x:v>0.2787053832650673</x:v>
      </x:c>
      <x:c r="Y146" s="8" t="n">
        <x:f>M146/'Когорты'!$V$10</x:f>
        <x:v>0.16465769455822118</x:v>
      </x:c>
      <x:c r="Z146" s="8" t="n">
        <x:f>(N146+O146*P146)/'Когорты'!$V$10</x:f>
        <x:v>0.16652391749561146</x:v>
      </x:c>
      <x:c r="AA146" s="22" t="n">
        <x:f>G146/'Параметры'!$B$8</x:f>
        <x:v>200.99999999999991</x:v>
      </x:c>
      <x:c r="AB146" s="22" t="n">
        <x:f>R146/'Параметры'!$B$8</x:f>
        <x:v>201.24260898186066</x:v>
      </x:c>
      <x:c r="AC146" s="23" t="n">
        <x:f>IF(X146+0.000000000001&gt;=W146,1,0)</x:f>
        <x:v>1</x:v>
      </x:c>
      <x:c r="AD146" s="23" t="n">
        <x:f>IF(Z146+0.000000000001&gt;=Y146,1,0)</x:f>
        <x:v>1</x:v>
      </x:c>
      <x:c r="AE146" s="23" t="n">
        <x:f>IF(AB146+0.000000001&gt;=AA146,1,0)</x:f>
        <x:v>1</x:v>
      </x:c>
      <x:c r="AF146" s="8" t="n">
        <x:f>IF(B146=0,"n.a.",U146/B146)</x:f>
        <x:v>0.00120700986000359</x:v>
      </x:c>
      <x:c r="AG146" s="12" t="n">
        <x:f>D146</x:f>
        <x:v>43.13048566413107</x:v>
      </x:c>
      <x:c r="AH146" s="12" t="n">
        <x:f>F146*P146</x:f>
        <x:v>24.260898186073728</x:v>
      </x:c>
      <x:c r="AI146" s="12" t="n">
        <x:f>E146-B146</x:f>
        <x:v>0</x:v>
      </x:c>
    </x:row>
    <x:row r="147" ht="24" customHeight="1">
      <x:c r="A147" s="1" t="str">
        <x:v>H6.3</x:v>
      </x:c>
      <x:c r="B147" s="12" t="n">
        <x:f>SUM('Расчёт'!J117:J132)</x:f>
        <x:v>20099.999999999996</x:v>
      </x:c>
      <x:c r="C147" s="12" t="n">
        <x:f>SUM('Расчёт'!Z117:Z132)</x:f>
        <x:v>2340</x:v>
      </x:c>
      <x:c r="D147" s="12" t="n">
        <x:f>SUM('Расчёт'!O117:O132)</x:f>
        <x:v>43.13048566413107</x:v>
      </x:c>
      <x:c r="E147" s="12" t="n">
        <x:f>SUM('Расчёт'!Q117:Q132)</x:f>
        <x:v>20099.999999999996</x:v>
      </x:c>
      <x:c r="F147" s="12" t="n">
        <x:f>SUM('Расчёт'!R117:R132)</x:f>
        <x:v>43.13048566413107</x:v>
      </x:c>
      <x:c r="G147" s="12" t="n">
        <x:f>SUM('Расчёт'!V117:V132)</x:f>
        <x:v>20099999.999999993</x:v>
      </x:c>
      <x:c r="H147" s="12" t="n">
        <x:f>SUM('Расчёт'!W117:W132)</x:f>
        <x:v>20099999.999999993</x:v>
      </x:c>
      <x:c r="I147" s="12" t="n">
        <x:f>SUM('Расчёт'!X117:X132)</x:f>
        <x:v>43130.485664131076</x:v>
      </x:c>
      <x:c r="J147" s="12" t="n">
        <x:f>SUM('Расчёт'!AA117:AA132)</x:f>
        <x:v>18092.744294909302</x:v>
      </x:c>
      <x:c r="K147" s="12" t="n">
        <x:f>SUM('Расчёт'!AB117:AB132)</x:f>
        <x:v>18092.744294909302</x:v>
      </x:c>
      <x:c r="L147" s="12" t="n">
        <x:f>SUM('Расчёт'!AC117:AC132)</x:f>
        <x:v>41.07665301345816</x:v>
      </x:c>
      <x:c r="M147" s="12" t="n">
        <x:f>SUM('Расчёт'!AD117:AD132)</x:f>
        <x:v>2140.5500292568754</x:v>
      </x:c>
      <x:c r="N147" s="12" t="n">
        <x:f>SUM('Расчёт'!AE117:AE132)</x:f>
        <x:v>2140.5500292568754</x:v>
      </x:c>
      <x:c r="O147" s="12" t="n">
        <x:f>SUM('Расчёт'!AF117:AF132)</x:f>
        <x:v>43.13048566413107</x:v>
      </x:c>
      <x:c r="P147" s="8" t="n">
        <x:f>(1-'Гипотезы'!D12)*(1-'Гипотезы'!E12)</x:f>
        <x:v>0.5625</x:v>
      </x:c>
      <x:c r="Q147" s="12" t="n">
        <x:f>E147+F147*P147</x:f>
        <x:v>20124.26089818607</x:v>
      </x:c>
      <x:c r="R147" s="12" t="n">
        <x:f>H147+I147*P147</x:f>
        <x:v>20124260.898186065</x:v>
      </x:c>
      <x:c r="S147" s="23" t="n">
        <x:f>IF(AND('Параметры'!B28=1,'Когорты'!X10=1,'Гипотезы'!I12=1,MIN('Воздействие'!K33:K36)=1,MIN(AG117:AG132)=1),1,0)</x:f>
        <x:v>1</x:v>
      </x:c>
      <x:c r="T147" s="8" t="n">
        <x:f>Q147/'Параметры'!$B$8</x:f>
        <x:v>0.2012426089818607</x:v>
      </x:c>
      <x:c r="U147" s="12" t="n">
        <x:f>Q147-B147</x:f>
        <x:v>24.260898186072154</x:v>
      </x:c>
      <x:c r="V147" s="8" t="n">
        <x:f>U147/'Параметры'!$B$8</x:f>
        <x:v>0.00024260898186072153</x:v>
      </x:c>
      <x:c r="W147" s="8" t="n">
        <x:f>J147/'Когорты'!$U$10</x:f>
        <x:v>0.2783499122293739</x:v>
      </x:c>
      <x:c r="X147" s="8" t="n">
        <x:f>(K147+L147*P147)/'Когорты'!$U$10</x:f>
        <x:v>0.2787053832650673</x:v>
      </x:c>
      <x:c r="Y147" s="8" t="n">
        <x:f>M147/'Когорты'!$V$10</x:f>
        <x:v>0.16465769455822118</x:v>
      </x:c>
      <x:c r="Z147" s="8" t="n">
        <x:f>(N147+O147*P147)/'Когорты'!$V$10</x:f>
        <x:v>0.16652391749561146</x:v>
      </x:c>
      <x:c r="AA147" s="22" t="n">
        <x:f>G147/'Параметры'!$B$8</x:f>
        <x:v>200.99999999999991</x:v>
      </x:c>
      <x:c r="AB147" s="22" t="n">
        <x:f>R147/'Параметры'!$B$8</x:f>
        <x:v>201.24260898186066</x:v>
      </x:c>
      <x:c r="AC147" s="23" t="n">
        <x:f>IF(X147+0.000000000001&gt;=W147,1,0)</x:f>
        <x:v>1</x:v>
      </x:c>
      <x:c r="AD147" s="23" t="n">
        <x:f>IF(Z147+0.000000000001&gt;=Y147,1,0)</x:f>
        <x:v>1</x:v>
      </x:c>
      <x:c r="AE147" s="23" t="n">
        <x:f>IF(AB147+0.000000001&gt;=AA147,1,0)</x:f>
        <x:v>1</x:v>
      </x:c>
      <x:c r="AF147" s="8" t="n">
        <x:f>IF(B147=0,"n.a.",U147/B147)</x:f>
        <x:v>0.00120700986000359</x:v>
      </x:c>
      <x:c r="AG147" s="12" t="n">
        <x:f>D147</x:f>
        <x:v>43.13048566413107</x:v>
      </x:c>
      <x:c r="AH147" s="12" t="n">
        <x:f>F147*P147</x:f>
        <x:v>24.260898186073728</x:v>
      </x:c>
      <x:c r="AI147" s="12" t="n">
        <x:f>E147-B147</x:f>
        <x:v>0</x:v>
      </x:c>
    </x:row>
    <x:row r="148" ht="24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</x:row>
    <x:row r="149" ht="24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</x:row>
  </x:sheetData>
  <x:conditionalFormatting sqref="AG5:AG132">
    <x:cfRule type="cellIs" dxfId="4" priority="1" operator="equal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A5A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7" hidden="0" customWidth="1"/>
    <x:col min="2" max="2" width="52" hidden="0" customWidth="1"/>
    <x:col min="3" max="3" width="18" hidden="0" customWidth="1"/>
    <x:col min="4" max="4" width="18" hidden="0" customWidth="1"/>
    <x:col min="5" max="5" width="29" hidden="0" customWidth="1"/>
    <x:col min="6" max="6" width="18" hidden="0" customWidth="1"/>
    <x:col min="7" max="7" width="5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32" customHeight="1">
      <x:c r="A2" s="2" t="str">
        <x:v>Исходные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50" customHeight="1">
      <x:c r="A4" s="7" t="str">
        <x:v>Показатель</x:v>
      </x:c>
      <x:c r="B4" s="7" t="str">
        <x:v>Значение</x:v>
      </x:c>
      <x:c r="C4" s="7" t="str">
        <x:v>Единица</x:v>
      </x:c>
      <x:c r="D4" s="7" t="str">
        <x:v>Тип</x:v>
      </x:c>
      <x:c r="E4" s="7" t="str">
        <x:v>Источник</x:v>
      </x:c>
      <x:c r="F4" s="7" t="str">
        <x:v>Страница / раздел</x:v>
      </x:c>
      <x:c r="G4" s="7" t="str">
        <x:v>Ограничение</x:v>
      </x:c>
    </x:row>
    <x:row r="5" ht="24" customHeight="1">
      <x:c r="A5" s="1" t="str">
        <x:v>DAU Корзины / DAU Ozon</x:v>
      </x:c>
      <x:c r="B5" s="8" t="n">
        <x:v>0.65</x:v>
      </x:c>
      <x:c r="C5" s="1" t="str">
        <x:v>доля</x:v>
      </x:c>
      <x:c r="D5" s="1" t="str">
        <x:v>Факт</x:v>
      </x:c>
      <x:c r="E5" s="1" t="str">
        <x:v>Учебный PDF</x:v>
      </x:c>
      <x:c r="F5" s="1" t="n">
        <x:v>8</x:v>
      </x:c>
      <x:c r="G5" s="1" t="str">
        <x:v>Синтетические данные</x:v>
      </x:c>
    </x:row>
    <x:row r="6" ht="24" customHeight="1">
      <x:c r="A6" s="1" t="str">
        <x:v>DAU Избранного / DAU Ozon</x:v>
      </x:c>
      <x:c r="B6" s="8" t="n">
        <x:v>0.13</x:v>
      </x:c>
      <x:c r="C6" s="1" t="str">
        <x:v>доля</x:v>
      </x:c>
      <x:c r="D6" s="1" t="str">
        <x:v>Факт</x:v>
      </x:c>
      <x:c r="E6" s="1" t="str">
        <x:v>Учебный PDF</x:v>
      </x:c>
      <x:c r="F6" s="1" t="n">
        <x:v>8</x:v>
      </x:c>
      <x:c r="G6" s="1" t="str">
        <x:v>Не все готовы покупать</x:v>
      </x:c>
    </x:row>
    <x:row r="7" ht="24" customHeight="1">
      <x:c r="A7" s="1" t="str">
        <x:v>MAU Корзины / MAU Ozon</x:v>
      </x:c>
      <x:c r="B7" s="8" t="n">
        <x:v>0.91</x:v>
      </x:c>
      <x:c r="C7" s="1" t="str">
        <x:v>доля</x:v>
      </x:c>
      <x:c r="D7" s="1" t="str">
        <x:v>Факт</x:v>
      </x:c>
      <x:c r="E7" s="1" t="str">
        <x:v>Учебный PDF</x:v>
      </x:c>
      <x:c r="F7" s="1" t="n">
        <x:v>8</x:v>
      </x:c>
      <x:c r="G7" s="1" t="str">
        <x:v>Другой знаменатель, чем DAU</x:v>
      </x:c>
    </x:row>
    <x:row r="8" ht="24" customHeight="1">
      <x:c r="A8" s="1" t="str">
        <x:v>MAU Избранного / MAU Ozon</x:v>
      </x:c>
      <x:c r="B8" s="8" t="n">
        <x:v>0.2</x:v>
      </x:c>
      <x:c r="C8" s="1" t="str">
        <x:v>доля</x:v>
      </x:c>
      <x:c r="D8" s="1" t="str">
        <x:v>Факт</x:v>
      </x:c>
      <x:c r="E8" s="1" t="str">
        <x:v>Учебный PDF</x:v>
      </x:c>
      <x:c r="F8" s="1" t="n">
        <x:v>8</x:v>
      </x:c>
      <x:c r="G8" s="1" t="str">
        <x:v>Только месячный охват</x:v>
      </x:c>
    </x:row>
    <x:row r="9" ht="24" customHeight="1">
      <x:c r="A9" s="1" t="str">
        <x:v>Владельцы F среди посетителей C: мин.</x:v>
      </x:c>
      <x:c r="B9" s="8" t="n">
        <x:v>0.6</x:v>
      </x:c>
      <x:c r="C9" s="1" t="str">
        <x:v>доля</x:v>
      </x:c>
      <x:c r="D9" s="1" t="str">
        <x:v>Факт</x:v>
      </x:c>
      <x:c r="E9" s="1" t="str">
        <x:v>Учебный PDF</x:v>
      </x:c>
      <x:c r="F9" s="1" t="n">
        <x:v>8</x:v>
      </x:c>
      <x:c r="G9" s="1" t="str">
        <x:v>Не пересечение дневных визитов</x:v>
      </x:c>
    </x:row>
    <x:row r="10" ht="24" customHeight="1">
      <x:c r="A10" s="1" t="str">
        <x:v>Владельцы F среди посетителей C: макс.</x:v>
      </x:c>
      <x:c r="B10" s="8" t="n">
        <x:v>0.8</x:v>
      </x:c>
      <x:c r="C10" s="1" t="str">
        <x:v>доля</x:v>
      </x:c>
      <x:c r="D10" s="1" t="str">
        <x:v>Факт</x:v>
      </x:c>
      <x:c r="E10" s="1" t="str">
        <x:v>Учебный PDF</x:v>
      </x:c>
      <x:c r="F10" s="1" t="n">
        <x:v>8</x:v>
      </x:c>
      <x:c r="G10" s="1" t="str">
        <x:v>Диапазон по платформам</x:v>
      </x:c>
    </x:row>
    <x:row r="11" ht="24" customHeight="1">
      <x:c r="A11" s="1" t="str">
        <x:v>Среднее SKU в Корзине</x:v>
      </x:c>
      <x:c r="B11" s="1" t="n">
        <x:v>60</x:v>
      </x:c>
      <x:c r="C11" s="1" t="str">
        <x:v>SKU</x:v>
      </x:c>
      <x:c r="D11" s="1" t="str">
        <x:v>Факт</x:v>
      </x:c>
      <x:c r="E11" s="1" t="str">
        <x:v>Учебный PDF</x:v>
      </x:c>
      <x:c r="F11" s="1" t="n">
        <x:v>9</x:v>
      </x:c>
      <x:c r="G11" s="1" t="str">
        <x:v>Не даёт долю 40+</x:v>
      </x:c>
    </x:row>
    <x:row r="12" ht="24" customHeight="1">
      <x:c r="A12" s="1" t="str">
        <x:v>Медиана SKU в Корзине</x:v>
      </x:c>
      <x:c r="B12" s="1" t="n">
        <x:v>24</x:v>
      </x:c>
      <x:c r="C12" s="1" t="str">
        <x:v>SKU</x:v>
      </x:c>
      <x:c r="D12" s="1" t="str">
        <x:v>Факт</x:v>
      </x:c>
      <x:c r="E12" s="1" t="str">
        <x:v>Учебный PDF</x:v>
      </x:c>
      <x:c r="F12" s="1" t="n">
        <x:v>9</x:v>
      </x:c>
      <x:c r="G12" s="1" t="str">
        <x:v>Не задаёт пороги когорт</x:v>
      </x:c>
    </x:row>
    <x:row r="13" ht="24" customHeight="1">
      <x:c r="A13" s="1" t="str">
        <x:v>Максимум SKU в Корзине</x:v>
      </x:c>
      <x:c r="B13" s="1" t="n">
        <x:v>300</x:v>
      </x:c>
      <x:c r="C13" s="1" t="str">
        <x:v>SKU</x:v>
      </x:c>
      <x:c r="D13" s="1" t="str">
        <x:v>Факт</x:v>
      </x:c>
      <x:c r="E13" s="1" t="str">
        <x:v>Учебный PDF</x:v>
      </x:c>
      <x:c r="F13" s="1" t="n">
        <x:v>9</x:v>
      </x:c>
      <x:c r="G13" s="1" t="str">
        <x:v>Лимит</x:v>
      </x:c>
    </x:row>
    <x:row r="14" ht="24" customHeight="1">
      <x:c r="A14" s="1" t="str">
        <x:v>Среднее SKU в Избранном</x:v>
      </x:c>
      <x:c r="B14" s="1" t="n">
        <x:v>420</x:v>
      </x:c>
      <x:c r="C14" s="1" t="str">
        <x:v>SKU</x:v>
      </x:c>
      <x:c r="D14" s="1" t="str">
        <x:v>Факт</x:v>
      </x:c>
      <x:c r="E14" s="1" t="str">
        <x:v>Учебный PDF</x:v>
      </x:c>
      <x:c r="F14" s="1" t="n">
        <x:v>9</x:v>
      </x:c>
      <x:c r="G14" s="1" t="str">
        <x:v>Не размер аудитории H6</x:v>
      </x:c>
    </x:row>
    <x:row r="15" ht="24" customHeight="1">
      <x:c r="A15" s="1" t="str">
        <x:v>Медиана SKU в Избранном</x:v>
      </x:c>
      <x:c r="B15" s="1" t="n">
        <x:v>32</x:v>
      </x:c>
      <x:c r="C15" s="1" t="str">
        <x:v>SKU</x:v>
      </x:c>
      <x:c r="D15" s="1" t="str">
        <x:v>Факт</x:v>
      </x:c>
      <x:c r="E15" s="1" t="str">
        <x:v>Учебный PDF</x:v>
      </x:c>
      <x:c r="F15" s="1" t="n">
        <x:v>9</x:v>
      </x:c>
      <x:c r="G15" s="1" t="str">
        <x:v>Распределение неизвестно</x:v>
      </x:c>
    </x:row>
    <x:row r="16" ht="24" customHeight="1">
      <x:c r="A16" s="1" t="str">
        <x:v>Порог аудитории H1</x:v>
      </x:c>
      <x:c r="B16" s="1" t="n">
        <x:v>40</x:v>
      </x:c>
      <x:c r="C16" s="1" t="str">
        <x:v>SKU, 40+</x:v>
      </x:c>
      <x:c r="D16" s="1" t="str">
        <x:v>Факт</x:v>
      </x:c>
      <x:c r="E16" s="1" t="str">
        <x:v>Артефакты Кейсов.docx</x:v>
      </x:c>
      <x:c r="F16" s="1" t="str">
        <x:v>Этап 4, H1</x:v>
      </x:c>
      <x:c r="G16" s="1" t="str">
        <x:v>Не порог «большой» корзины</x:v>
      </x:c>
    </x:row>
    <x:row r="17" ht="24" customHeight="1">
      <x:c r="A17" s="1" t="str">
        <x:v>Разрыв CR БК/БИ от китов</x:v>
      </x:c>
      <x:c r="B17" s="1" t="n">
        <x:v>-9</x:v>
      </x:c>
      <x:c r="C17" s="1" t="str">
        <x:v>п.п.</x:v>
      </x:c>
      <x:c r="D17" s="1" t="str">
        <x:v>Факт</x:v>
      </x:c>
      <x:c r="E17" s="1" t="str">
        <x:v>Учебный PDF</x:v>
      </x:c>
      <x:c r="F17" s="1" t="n">
        <x:v>10</x:v>
      </x:c>
      <x:c r="G17" s="1" t="str">
        <x:v>Не относительные −9%</x:v>
      </x:c>
    </x:row>
    <x:row r="18" ht="24" customHeight="1">
      <x:c r="A18" s="1" t="str">
        <x:v>Разрыв CR БК/МИ от китов</x:v>
      </x:c>
      <x:c r="B18" s="1" t="n">
        <x:v>-18</x:v>
      </x:c>
      <x:c r="C18" s="1" t="str">
        <x:v>п.п.</x:v>
      </x:c>
      <x:c r="D18" s="1" t="str">
        <x:v>Факт</x:v>
      </x:c>
      <x:c r="E18" s="1" t="str">
        <x:v>Учебный PDF</x:v>
      </x:c>
      <x:c r="F18" s="1" t="n">
        <x:v>10</x:v>
      </x:c>
      <x:c r="G18" s="1" t="str">
        <x:v>Не доступный причинный uplift</x:v>
      </x:c>
    </x:row>
    <x:row r="19" ht="24" customHeight="1">
      <x:c r="A19" s="1" t="str">
        <x:v>Разрыв CR МК/МИ от китов</x:v>
      </x:c>
      <x:c r="B19" s="1" t="n">
        <x:v>-9</x:v>
      </x:c>
      <x:c r="C19" s="1" t="str">
        <x:v>п.п.</x:v>
      </x:c>
      <x:c r="D19" s="1" t="str">
        <x:v>Факт</x:v>
      </x:c>
      <x:c r="E19" s="1" t="str">
        <x:v>Учебный PDF</x:v>
      </x:c>
      <x:c r="F19" s="1" t="n">
        <x:v>10</x:v>
      </x:c>
      <x:c r="G19" s="1" t="str">
        <x:v>Абсолютная CR неизвестна</x:v>
      </x:c>
    </x:row>
    <x:row r="20" ht="24" customHeight="1">
      <x:c r="A20" s="1" t="str">
        <x:v>Срок почти нулевого выкупа товара</x:v>
      </x:c>
      <x:c r="B20" s="1" t="n">
        <x:v>6</x:v>
      </x:c>
      <x:c r="C20" s="1" t="str">
        <x:v>дней</x:v>
      </x:c>
      <x:c r="D20" s="1" t="str">
        <x:v>Факт</x:v>
      </x:c>
      <x:c r="E20" s="1" t="str">
        <x:v>Учебный PDF</x:v>
      </x:c>
      <x:c r="F20" s="1" t="n">
        <x:v>11</x:v>
      </x:c>
      <x:c r="G20" s="1" t="str">
        <x:v>Это товар, не вероятность заказа пользователя</x:v>
      </x:c>
    </x:row>
    <x:row r="21" ht="24" customHeight="1">
      <x:c r="A21" s="1" t="str">
        <x:v>Возраст скрываемых товаров в прошлом тесте</x:v>
      </x:c>
      <x:c r="B21" s="1" t="n">
        <x:v>30</x:v>
      </x:c>
      <x:c r="C21" s="1" t="str">
        <x:v>дней</x:v>
      </x:c>
      <x:c r="D21" s="1" t="str">
        <x:v>Факт</x:v>
      </x:c>
      <x:c r="E21" s="1" t="str">
        <x:v>Учебный PDF</x:v>
      </x:c>
      <x:c r="F21" s="1" t="n">
        <x:v>12</x:v>
      </x:c>
      <x:c r="G21" s="1" t="str">
        <x:v>CR Корзины не изменилась</x:v>
      </x:c>
    </x:row>
    <x:row r="22" ht="24" customHeight="1">
      <x:c r="A22" s="1" t="str">
        <x:v>Допустимое падение CR C</x:v>
      </x:c>
      <x:c r="B22" s="1" t="n">
        <x:v>0</x:v>
      </x:c>
      <x:c r="C22" s="1" t="str">
        <x:v>относительная доля</x:v>
      </x:c>
      <x:c r="D22" s="1" t="str">
        <x:v>Факт</x:v>
      </x:c>
      <x:c r="E22" s="1" t="str">
        <x:v>Учебный PDF</x:v>
      </x:c>
      <x:c r="F22" s="1" t="n">
        <x:v>4</x:v>
      </x:c>
      <x:c r="G22" s="1" t="str">
        <x:v>Не должна падать</x:v>
      </x:c>
    </x:row>
    <x:row r="23" ht="24" customHeight="1">
      <x:c r="A23" s="1" t="str">
        <x:v>Допустимое падение CR F</x:v>
      </x:c>
      <x:c r="B23" s="1" t="n">
        <x:v>0</x:v>
      </x:c>
      <x:c r="C23" s="1" t="str">
        <x:v>относительная доля</x:v>
      </x:c>
      <x:c r="D23" s="1" t="str">
        <x:v>Факт</x:v>
      </x:c>
      <x:c r="E23" s="1" t="str">
        <x:v>Учебный PDF</x:v>
      </x:c>
      <x:c r="F23" s="1" t="n">
        <x:v>4</x:v>
      </x:c>
      <x:c r="G23" s="1" t="str">
        <x:v>Не должна падать</x:v>
      </x:c>
    </x:row>
    <x:row r="24" ht="24" customHeight="1">
      <x:c r="A24" s="1" t="str">
        <x:v>Допустимое падение ARPU</x:v>
      </x:c>
      <x:c r="B24" s="1" t="n">
        <x:v>0</x:v>
      </x:c>
      <x:c r="C24" s="1" t="str">
        <x:v>относительная доля</x:v>
      </x:c>
      <x:c r="D24" s="1" t="str">
        <x:v>Факт</x:v>
      </x:c>
      <x:c r="E24" s="1" t="str">
        <x:v>Учебный PDF</x:v>
      </x:c>
      <x:c r="F24" s="1" t="n">
        <x:v>4</x:v>
      </x:c>
      <x:c r="G24" s="1" t="str">
        <x:v>Не должна падать</x:v>
      </x:c>
    </x:row>
    <x:row r="25" ht="24" customHeight="1">
      <x:c r="A25" s="1"/>
      <x:c r="B25" s="1"/>
      <x:c r="C25" s="1"/>
      <x:c r="D25" s="1"/>
      <x:c r="E25" s="1"/>
      <x:c r="F25" s="1"/>
      <x:c r="G25" s="1"/>
    </x:row>
    <x:row r="26" ht="24" customHeight="1">
      <x:c r="A26" s="1"/>
      <x:c r="B26" s="1"/>
      <x:c r="C26" s="1"/>
      <x:c r="D26" s="1"/>
      <x:c r="E26" s="1"/>
      <x:c r="F26" s="1"/>
      <x:c r="G26" s="1"/>
    </x:row>
    <x:row r="27" ht="50" customHeight="1">
      <x:c r="A27" s="7" t="str">
        <x:v>Наблюдение</x:v>
      </x:c>
      <x:c r="B27" s="7" t="str">
        <x:v>Результат</x:v>
      </x:c>
      <x:c r="C27" s="7" t="str">
        <x:v>Тип</x:v>
      </x:c>
      <x:c r="D27" s="7" t="str">
        <x:v>Источник</x:v>
      </x:c>
      <x:c r="E27" s="7" t="str">
        <x:v>Раздел</x:v>
      </x:c>
      <x:c r="F27" s="7" t="str">
        <x:v>Использование</x:v>
      </x:c>
      <x:c r="G27" s="7" t="str">
        <x:v>Статус величины</x:v>
      </x:c>
    </x:row>
    <x:row r="28" ht="24" customHeight="1">
      <x:c r="A28" s="1" t="str">
        <x:v>Скрытие лонгтейла</x:v>
      </x:c>
      <x:c r="B28" s="1" t="str">
        <x:v>CR C без изменений</x:v>
      </x:c>
      <x:c r="C28" s="1" t="str">
        <x:v>Факт</x:v>
      </x:c>
      <x:c r="D28" s="1" t="str">
        <x:v>Учебный PDF</x:v>
      </x:c>
      <x:c r="E28" s="1" t="n">
        <x:v>12</x:v>
      </x:c>
      <x:c r="F28" s="1" t="str">
        <x:v>Риск H3</x:v>
      </x:c>
      <x:c r="G28" s="1" t="str">
        <x:v>Нет численного эффекта</x:v>
      </x:c>
    </x:row>
    <x:row r="29" ht="24" customHeight="1">
      <x:c r="A29" s="1" t="str">
        <x:v>Скрытие лонгтейла</x:v>
      </x:c>
      <x:c r="B29" s="1" t="str">
        <x:v>SKU в заказе выросли, отмены снизились</x:v>
      </x:c>
      <x:c r="C29" s="1" t="str">
        <x:v>Факт</x:v>
      </x:c>
      <x:c r="D29" s="1" t="str">
        <x:v>Учебный PDF</x:v>
      </x:c>
      <x:c r="E29" s="1" t="n">
        <x:v>12</x:v>
      </x:c>
      <x:c r="F29" s="1" t="str">
        <x:v>Не равно росту уникальных покупателей</x:v>
      </x:c>
      <x:c r="G29" s="1" t="str">
        <x:v>Величины неизвестны</x:v>
      </x:c>
    </x:row>
    <x:row r="30" ht="24" customHeight="1">
      <x:c r="A30" s="1" t="str">
        <x:v>Cart &amp; Fav</x:v>
      </x:c>
      <x:c r="B30" s="1" t="str">
        <x:v>Оформление из C и доля F в заказах выросли</x:v>
      </x:c>
      <x:c r="C30" s="1" t="str">
        <x:v>Факт</x:v>
      </x:c>
      <x:c r="D30" s="1" t="str">
        <x:v>Учебный PDF</x:v>
      </x:c>
      <x:c r="E30" s="1" t="n">
        <x:v>12</x:v>
      </x:c>
      <x:c r="F30" s="1" t="str">
        <x:v>Риски H2/H4/H5</x:v>
      </x:c>
      <x:c r="G30" s="1" t="str">
        <x:v>Не равно росту глобальной CR</x:v>
      </x:c>
    </x:row>
    <x:row r="31" ht="24" customHeight="1">
      <x:c r="A31" s="1" t="str">
        <x:v>Cart &amp; Fav</x:v>
      </x:c>
      <x:c r="B31" s="1" t="str">
        <x:v>CR F, конверсия в клик и глубина снизились</x:v>
      </x:c>
      <x:c r="C31" s="1" t="str">
        <x:v>Факт</x:v>
      </x:c>
      <x:c r="D31" s="1" t="str">
        <x:v>Учебный PDF</x:v>
      </x:c>
      <x:c r="E31" s="1" t="n">
        <x:v>12</x:v>
      </x:c>
      <x:c r="F31" s="1" t="str">
        <x:v>Отдельные guardrails</x:v>
      </x:c>
      <x:c r="G31" s="1" t="str">
        <x:v>Величины неизвестны</x:v>
      </x:c>
    </x:row>
    <x:row r="32" ht="24" customHeight="1">
      <x:c r="A32" s="1" t="str">
        <x:v>Избранное</x:v>
      </x:c>
      <x:c r="B32" s="1" t="str">
        <x:v>Есть поиск, фильтры и подборки</x:v>
      </x:c>
      <x:c r="C32" s="1" t="str">
        <x:v>Факт</x:v>
      </x:c>
      <x:c r="D32" s="1" t="str">
        <x:v>Учебный PDF</x:v>
      </x:c>
      <x:c r="E32" s="1" t="n">
        <x:v>14</x:v>
      </x:c>
      <x:c r="F32" s="1" t="str">
        <x:v>H6.2 не должна дублировать их</x:v>
      </x:c>
      <x:c r="G32" s="1" t="str">
        <x:v>Качественное</x:v>
      </x:c>
    </x:row>
    <x:row r="33" ht="24" customHeight="1">
      <x:c r="A33" s="1" t="str">
        <x:v>Избранное</x:v>
      </x:c>
      <x:c r="B33" s="1" t="str">
        <x:v>Сохраняется модель, не выбранный SKU</x:v>
      </x:c>
      <x:c r="C33" s="1" t="str">
        <x:v>Факт</x:v>
      </x:c>
      <x:c r="D33" s="1" t="str">
        <x:v>Учебный PDF</x:v>
      </x:c>
      <x:c r="E33" s="1" t="n">
        <x:v>14</x:v>
      </x:c>
      <x:c r="F33" s="1" t="str">
        <x:v>Основание H2</x:v>
      </x:c>
      <x:c r="G33" s="1" t="str">
        <x:v>Качественное</x:v>
      </x:c>
    </x:row>
    <x:row r="34" ht="24" customHeight="1">
      <x:c r="A34" s="1" t="str">
        <x:v>Корзина</x:v>
      </x:c>
      <x:c r="B34" s="1" t="str">
        <x:v>Цена видна, доставка не видна</x:v>
      </x:c>
      <x:c r="C34" s="1" t="str">
        <x:v>Факт</x:v>
      </x:c>
      <x:c r="D34" s="1" t="str">
        <x:v>Учебный PDF</x:v>
      </x:c>
      <x:c r="E34" s="1" t="n">
        <x:v>13</x:v>
      </x:c>
      <x:c r="F34" s="1" t="str">
        <x:v>Риски актуальности условий</x:v>
      </x:c>
      <x:c r="G34" s="1" t="str">
        <x:v>По инсайтам кейса</x:v>
      </x:c>
    </x:row>
    <x:row r="35" ht="24" customHeight="1">
      <x:c r="A35" s="1" t="str">
        <x:v>Доступность разделов</x:v>
      </x:c>
      <x:c r="B35" s="1" t="str">
        <x:v>C под рукой, F сложнее найти</x:v>
      </x:c>
      <x:c r="C35" s="1" t="str">
        <x:v>Факт</x:v>
      </x:c>
      <x:c r="D35" s="1" t="str">
        <x:v>Учебный PDF</x:v>
      </x:c>
      <x:c r="E35" s="1" t="str">
        <x:v>13–14</x:v>
      </x:c>
      <x:c r="F35" s="1" t="str">
        <x:v>Охват F не равен охвату C</x:v>
      </x:c>
      <x:c r="G35" s="1" t="str">
        <x:v>Качественное</x:v>
      </x:c>
    </x:row>
    <x:row r="36" ht="24" customHeight="1">
      <x:c r="A36" s="1" t="str">
        <x:v>Большинство корзин</x:v>
      </x:c>
      <x:c r="B36" s="1" t="str">
        <x:v>Более 12 SKU</x:v>
      </x:c>
      <x:c r="C36" s="1" t="str">
        <x:v>Факт</x:v>
      </x:c>
      <x:c r="D36" s="1" t="str">
        <x:v>Учебный PDF</x:v>
      </x:c>
      <x:c r="E36" s="1" t="n">
        <x:v>9</x:v>
      </x:c>
      <x:c r="F36" s="1" t="str">
        <x:v>Не точная доля больших</x:v>
      </x:c>
      <x:c r="G36" s="1" t="str">
        <x:v>Качественное</x:v>
      </x:c>
    </x:row>
    <x:row r="37" ht="24" customHeight="1">
      <x:c r="A37" s="1" t="str">
        <x:v>Максимальная CR C</x:v>
      </x:c>
      <x:c r="B37" s="1" t="str">
        <x:v>У 1–3 SKU</x:v>
      </x:c>
      <x:c r="C37" s="1" t="str">
        <x:v>Факт</x:v>
      </x:c>
      <x:c r="D37" s="1" t="str">
        <x:v>Учебный PDF</x:v>
      </x:c>
      <x:c r="E37" s="1" t="n">
        <x:v>9</x:v>
      </x:c>
      <x:c r="F37" s="1" t="str">
        <x:v>Не абсолютная CR</x:v>
      </x:c>
      <x:c r="G37" s="1" t="str">
        <x:v>Ранг</x:v>
      </x:c>
    </x:row>
    <x:row r="38" ht="24" customHeight="1">
      <x:c r="A38" s="1" t="str">
        <x:v>Реализация</x:v>
      </x:c>
      <x:c r="B38" s="1" t="str">
        <x:v>Сверхдорогие LLM нежелательны</x:v>
      </x:c>
      <x:c r="C38" s="1" t="str">
        <x:v>Факт</x:v>
      </x:c>
      <x:c r="D38" s="1" t="str">
        <x:v>Учебный PDF</x:v>
      </x:c>
      <x:c r="E38" s="1" t="n">
        <x:v>4</x:v>
      </x:c>
      <x:c r="F38" s="1" t="str">
        <x:v>Ограничение H1–H6</x:v>
      </x:c>
      <x:c r="G38" s="1" t="str">
        <x:v>Качественное</x:v>
      </x:c>
    </x:row>
    <x:row r="39" ht="24" customHeight="1">
      <x:c r="A39" s="1" t="str">
        <x:v>Статус кейса</x:v>
      </x:c>
      <x:c r="B39" s="1" t="str">
        <x:v>Все числа синтетические</x:v>
      </x:c>
      <x:c r="C39" s="1" t="str">
        <x:v>Факт</x:v>
      </x:c>
      <x:c r="D39" s="1" t="str">
        <x:v>Учебный PDF</x:v>
      </x:c>
      <x:c r="E39" s="1" t="n">
        <x:v>6</x:v>
      </x:c>
      <x:c r="F39" s="1" t="str">
        <x:v>Не переносить на реальный Ozon</x:v>
      </x:c>
      <x:c r="G39" s="1" t="str">
        <x:v>Первичный источник</x:v>
      </x:c>
    </x:row>
    <x:row r="40" ht="24" customHeight="1">
      <x:c r="A40" s="1"/>
      <x:c r="B40" s="1"/>
      <x:c r="C40" s="1"/>
      <x:c r="D40" s="1"/>
      <x:c r="E40" s="1"/>
      <x:c r="F40" s="1"/>
      <x:c r="G40" s="1"/>
    </x:row>
    <x:row r="41" ht="24" customHeight="1">
      <x:c r="A41" s="1"/>
      <x:c r="B41" s="1"/>
      <x:c r="C41" s="1"/>
      <x:c r="D41" s="1"/>
      <x:c r="E41" s="1"/>
      <x:c r="F41" s="1"/>
      <x:c r="G41" s="1"/>
    </x:row>
    <x:row r="42" ht="50" customHeight="1">
      <x:c r="A42" s="7" t="str">
        <x:v>Платформенный срез</x:v>
      </x:c>
      <x:c r="B42" s="7" t="str">
        <x:v>Web</x:v>
      </x:c>
      <x:c r="C42" s="7" t="str">
        <x:v>Мобильный сайт</x:v>
      </x:c>
      <x:c r="D42" s="7" t="str">
        <x:v>iOS</x:v>
      </x:c>
      <x:c r="E42" s="7" t="str">
        <x:v>Android</x:v>
      </x:c>
      <x:c r="F42" s="7" t="str">
        <x:v>Тип</x:v>
      </x:c>
      <x:c r="G42" s="7" t="str">
        <x:v>Источник / ограничение</x:v>
      </x:c>
    </x:row>
    <x:row r="43" ht="24" customHeight="1">
      <x:c r="A43" s="1" t="str">
        <x:v>Просмотр F при малой C</x:v>
      </x:c>
      <x:c r="B43" s="8" t="n">
        <x:v>0.38</x:v>
      </x:c>
      <x:c r="C43" s="8" t="n">
        <x:v>0.29</x:v>
      </x:c>
      <x:c r="D43" s="8" t="n">
        <x:v>0.23</x:v>
      </x:c>
      <x:c r="E43" s="8" t="n">
        <x:v>0.19</x:v>
      </x:c>
      <x:c r="F43" s="1" t="str">
        <x:v>Факт</x:v>
      </x:c>
      <x:c r="G43" s="1" t="str">
        <x:v>PDF, с. 10; приблизительные срезы</x:v>
      </x:c>
    </x:row>
    <x:row r="44" ht="24" customHeight="1">
      <x:c r="A44" s="1" t="str">
        <x:v>Просмотр F на плато</x:v>
      </x:c>
      <x:c r="B44" s="8" t="n">
        <x:v>0.19</x:v>
      </x:c>
      <x:c r="C44" s="8" t="n">
        <x:v>0.16</x:v>
      </x:c>
      <x:c r="D44" s="8" t="n">
        <x:v>0.12</x:v>
      </x:c>
      <x:c r="E44" s="8" t="n">
        <x:v>0.1</x:v>
      </x:c>
      <x:c r="F44" s="1" t="str">
        <x:v>Факт</x:v>
      </x:c>
      <x:c r="G44" s="1" t="str">
        <x:v>Не P(дневной визит F | визит C)</x:v>
      </x:c>
    </x:row>
    <x:row r="45" ht="24" customHeight="1">
      <x:c r="A45" s="1" t="str">
        <x:v>Просмотр F при C 250+</x:v>
      </x:c>
      <x:c r="B45" s="8" t="n">
        <x:v>0.31</x:v>
      </x:c>
      <x:c r="C45" s="8"/>
      <x:c r="D45" s="8"/>
      <x:c r="E45" s="8"/>
      <x:c r="F45" s="1" t="str">
        <x:v>Факт</x:v>
      </x:c>
      <x:c r="G45" s="1" t="str">
        <x:v>Для остальных нет отдельных значений</x:v>
      </x:c>
    </x:row>
    <x:row r="46" ht="24" customHeight="1">
      <x:c r="A46" s="1" t="str">
        <x:v>Добавление F из C при 5–15 SKU</x:v>
      </x:c>
      <x:c r="B46" s="8" t="n">
        <x:v>0.09</x:v>
      </x:c>
      <x:c r="C46" s="8" t="n">
        <x:v>0.07</x:v>
      </x:c>
      <x:c r="D46" s="8" t="n">
        <x:v>0.06</x:v>
      </x:c>
      <x:c r="E46" s="8" t="n">
        <x:v>0.05</x:v>
      </x:c>
      <x:c r="F46" s="1" t="str">
        <x:v>Факт</x:v>
      </x:c>
      <x:c r="G46" s="1" t="str">
        <x:v>Не охват H2</x:v>
      </x:c>
    </x:row>
    <x:row r="47" ht="24" customHeight="1">
      <x:c r="A47" s="1" t="str">
        <x:v>Добавление F из C при 100+</x:v>
      </x:c>
      <x:c r="B47" s="8"/>
      <x:c r="C47" s="8"/>
      <x:c r="D47" s="8"/>
      <x:c r="E47" s="8"/>
      <x:c r="F47" s="1" t="str">
        <x:v>Факт</x:v>
      </x:c>
      <x:c r="G47" s="1" t="str">
        <x:v>Общий диапазон 1,5–2%, без разбиения</x:v>
      </x:c>
    </x:row>
    <x:row r="48" ht="24" customHeight="1">
      <x:c r="A48" s="1" t="str">
        <x:v>Добавление F из C при 200+</x:v>
      </x:c>
      <x:c r="B48" s="8" t="n">
        <x:v>0.06</x:v>
      </x:c>
      <x:c r="C48" s="8" t="n">
        <x:v>0.045</x:v>
      </x:c>
      <x:c r="D48" s="8"/>
      <x:c r="E48" s="8"/>
      <x:c r="F48" s="1" t="str">
        <x:v>Факт</x:v>
      </x:c>
      <x:c r="G48" s="1" t="str">
        <x:v>Приложения 2,5–3%, без разделения</x:v>
      </x:c>
    </x:row>
    <x:row r="49" ht="24" customHeight="1">
      <x:c r="A49" s="1"/>
      <x:c r="B49" s="1"/>
      <x:c r="C49" s="1"/>
      <x:c r="D49" s="1"/>
      <x:c r="E49" s="1"/>
      <x:c r="F49" s="1"/>
      <x:c r="G49" s="1"/>
    </x:row>
    <x:row r="50" ht="24" customHeight="1">
      <x:c r="A50" s="1"/>
      <x:c r="B50" s="1"/>
      <x:c r="C50" s="1"/>
      <x:c r="D50" s="1"/>
      <x:c r="E50" s="1"/>
      <x:c r="F50" s="1"/>
      <x:c r="G50" s="1"/>
    </x:row>
    <x:row r="51" ht="24" customHeight="1">
      <x:c r="A51" s="1" t="str">
        <x:v>Источник сводки: второе приложенное сообщение ChatGPT. Числа выше сверены с PDF и UX-документом.</x:v>
      </x:c>
      <x:c r="B51" s="1"/>
      <x:c r="C51" s="1"/>
      <x:c r="D51" s="1"/>
      <x:c r="E51" s="1"/>
      <x:c r="F51" s="1"/>
      <x:c r="G51" s="1"/>
    </x:row>
    <x:row r="52" ht="24" customHeight="1">
      <x:c r="A52" s="1" t="str">
        <x:v>Пороговые SKU четырёх когорт неизвестны. По среднему, медиане и максимуму размеры когорт не восстанавливаются.</x:v>
      </x:c>
      <x:c r="B52" s="1"/>
      <x:c r="C52" s="1"/>
      <x:c r="D52" s="1"/>
      <x:c r="E52" s="1"/>
      <x:c r="F52" s="1"/>
      <x:c r="G52" s="1"/>
    </x:row>
    <x:row r="53" ht="24" customHeight="1">
      <x:c r="A53" s="1"/>
      <x:c r="B53" s="1"/>
      <x:c r="C53" s="1"/>
      <x:c r="D53" s="1"/>
      <x:c r="E53" s="1"/>
      <x:c r="F53" s="1"/>
      <x:c r="G53" s="1"/>
    </x:row>
    <x:row r="54" ht="24" customHeight="1">
      <x:c r="A54" s="1"/>
      <x:c r="B54" s="1"/>
      <x:c r="C54" s="1"/>
      <x:c r="D54" s="1"/>
      <x:c r="E54" s="1"/>
      <x:c r="F54" s="1"/>
      <x:c r="G54" s="1"/>
    </x:row>
    <x:row r="55" ht="24" customHeight="1">
      <x:c r="A55" s="1"/>
      <x:c r="B55" s="1"/>
      <x:c r="C55" s="1"/>
      <x:c r="D55" s="1"/>
      <x:c r="E55" s="1"/>
      <x:c r="F55" s="1"/>
      <x:c r="G55" s="1"/>
    </x:row>
    <x:row r="56" ht="24" customHeight="1">
      <x:c r="A56" s="1"/>
      <x:c r="B56" s="1"/>
      <x:c r="C56" s="1"/>
      <x:c r="D56" s="1"/>
      <x:c r="E56" s="1"/>
      <x:c r="F56" s="1"/>
      <x:c r="G56" s="1"/>
    </x:row>
    <x:row r="57" ht="24" customHeight="1">
      <x:c r="A57" s="1"/>
      <x:c r="B57" s="1"/>
      <x:c r="C57" s="1"/>
      <x:c r="D57" s="1"/>
      <x:c r="E57" s="1"/>
      <x:c r="F57" s="1"/>
      <x:c r="G57" s="1"/>
    </x:row>
    <x:row r="58" ht="24" customHeight="1">
      <x:c r="A58" s="1"/>
      <x:c r="B58" s="1"/>
      <x:c r="C58" s="1"/>
      <x:c r="D58" s="1"/>
      <x:c r="E58" s="1"/>
      <x:c r="F58" s="1"/>
      <x:c r="G58" s="1"/>
    </x:row>
    <x:row r="59" ht="24" customHeight="1">
      <x:c r="A59" s="1"/>
      <x:c r="B59" s="1"/>
      <x:c r="C59" s="1"/>
      <x:c r="D59" s="1"/>
      <x:c r="E59" s="1"/>
      <x:c r="F59" s="1"/>
      <x:c r="G59" s="1"/>
    </x:row>
    <x:row r="60" ht="24" customHeight="1">
      <x:c r="A60" s="1"/>
      <x:c r="B60" s="1"/>
      <x:c r="C60" s="1"/>
      <x:c r="D60" s="1"/>
      <x:c r="E60" s="1"/>
      <x:c r="F60" s="1"/>
      <x:c r="G60" s="1"/>
    </x:row>
    <x:row r="61" ht="24" customHeight="1">
      <x:c r="A61" s="1"/>
      <x:c r="B61" s="1"/>
      <x:c r="C61" s="1"/>
      <x:c r="D61" s="1"/>
      <x:c r="E61" s="1"/>
      <x:c r="F61" s="1"/>
      <x:c r="G61" s="1"/>
    </x:row>
    <x:row r="62" ht="24" customHeight="1">
      <x:c r="A62" s="1"/>
      <x:c r="B62" s="1"/>
      <x:c r="C62" s="1"/>
      <x:c r="D62" s="1"/>
      <x:c r="E62" s="1"/>
      <x:c r="F62" s="1"/>
      <x:c r="G62" s="1"/>
    </x:row>
    <x:row r="63" ht="24" customHeight="1">
      <x:c r="A63" s="1"/>
      <x:c r="B63" s="1"/>
      <x:c r="C63" s="1"/>
      <x:c r="D63" s="1"/>
      <x:c r="E63" s="1"/>
      <x:c r="F63" s="1"/>
      <x:c r="G63" s="1"/>
    </x:row>
    <x:row r="64" ht="24" customHeight="1">
      <x:c r="A64" s="1"/>
      <x:c r="B64" s="1"/>
      <x:c r="C64" s="1"/>
      <x:c r="D64" s="1"/>
      <x:c r="E64" s="1"/>
      <x:c r="F64" s="1"/>
      <x:c r="G64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3A5A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9" hidden="0" customWidth="1"/>
    <x:col min="2" max="2" width="18" hidden="0" customWidth="1"/>
    <x:col min="3" max="3" width="36" hidden="0" customWidth="1"/>
    <x:col min="4" max="4" width="28" hidden="0" customWidth="1"/>
    <x:col min="5" max="5" width="28" hidden="0" customWidth="1"/>
    <x:col min="6" max="6" width="65" hidden="0" customWidth="1"/>
    <x:col min="7" max="7" width="5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32" customHeight="1">
      <x:c r="A2" s="2" t="str">
        <x:v>Внешние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50" customHeight="1">
      <x:c r="A4" s="7" t="str">
        <x:v>Показатель</x:v>
      </x:c>
      <x:c r="B4" s="7" t="str">
        <x:v>Значение</x:v>
      </x:c>
      <x:c r="C4" s="7" t="str">
        <x:v>Единица / период</x:v>
      </x:c>
      <x:c r="D4" s="7" t="str">
        <x:v>Тип</x:v>
      </x:c>
      <x:c r="E4" s="7" t="str">
        <x:v>Источник</x:v>
      </x:c>
      <x:c r="F4" s="7" t="str">
        <x:v>Ссылка</x:v>
      </x:c>
      <x:c r="G4" s="7" t="str">
        <x:v>Применение</x:v>
      </x:c>
    </x:row>
    <x:row r="5" ht="48" customHeight="1">
      <x:c r="A5" s="1" t="str">
        <x:v>Активные покупатели Ozon</x:v>
      </x:c>
      <x:c r="B5" s="21" t="n">
        <x:v>73500000</x:v>
      </x:c>
      <x:c r="C5" s="1" t="str">
        <x:v>чел., на 30.09.2026</x:v>
      </x:c>
      <x:c r="D5" s="1" t="str">
        <x:v>Внешний источник</x:v>
      </x:c>
      <x:c r="E5" s="1" t="str">
        <x:v>Ozon IR, III кв. 2026</x:v>
      </x:c>
      <x:c r="F5" s="26" t="str">
        <x:v>https://ir.ozon.com/ru/sth/ozon-obyavlyaet-finansovye-rezultaty-za-tretiy-kvartal-2026-goda-918a6d93</x:v>
      </x:c>
      <x:c r="G5" s="1" t="str">
        <x:v>Не DAU; не размер когорт кейса</x:v>
      </x:c>
    </x:row>
    <x:row r="6" ht="48" customHeight="1">
      <x:c r="A6" s="1" t="str">
        <x:v>Заказы Ozon</x:v>
      </x:c>
      <x:c r="B6" s="21" t="n">
        <x:v>1175500000</x:v>
      </x:c>
      <x:c r="C6" s="1" t="str">
        <x:v>заказов, III кв. 2026</x:v>
      </x:c>
      <x:c r="D6" s="1" t="str">
        <x:v>Внешний источник</x:v>
      </x:c>
      <x:c r="E6" s="1" t="str">
        <x:v>Ozon IR, III кв. 2026</x:v>
      </x:c>
      <x:c r="F6" s="26" t="str">
        <x:v>https://ir.ozon.com/ru/sth/ozon-obyavlyaet-finansovye-rezultaty-za-tretiy-kvartal-2026-goda-918a6d93</x:v>
      </x:c>
      <x:c r="G6" s="1" t="str">
        <x:v>Заказы не уникальные покупатели</x:v>
      </x:c>
    </x:row>
    <x:row r="7" ht="48" customHeight="1">
      <x:c r="A7" s="1" t="str">
        <x:v>Активные покупатели Ozon</x:v>
      </x:c>
      <x:c r="B7" s="21" t="n">
        <x:v>65100000</x:v>
      </x:c>
      <x:c r="C7" s="1" t="str">
        <x:v>чел., на 31.12.2025</x:v>
      </x:c>
      <x:c r="D7" s="1" t="str">
        <x:v>Внешний источник</x:v>
      </x:c>
      <x:c r="E7" s="1" t="str">
        <x:v>Ozon IR, IV кв. 2025</x:v>
      </x:c>
      <x:c r="F7" s="26" t="str">
        <x:v>https://ir.ozon.com/ru/sth/ozon-obyavlyaet-finansovye-rezultaty-za-chetvertyy-kvartal-2025-goda-i-2025-god-18833bbf</x:v>
      </x:c>
      <x:c r="G7" s="1" t="str">
        <x:v>Исторический ориентир, не DAU</x:v>
      </x:c>
    </x:row>
    <x:row r="8" ht="48" customHeight="1">
      <x:c r="A8" s="1" t="str">
        <x:v>Заказы Ozon</x:v>
      </x:c>
      <x:c r="B8" s="21" t="n">
        <x:v>832900000</x:v>
      </x:c>
      <x:c r="C8" s="1" t="str">
        <x:v>заказов, IV кв. 2025</x:v>
      </x:c>
      <x:c r="D8" s="1" t="str">
        <x:v>Внешний источник</x:v>
      </x:c>
      <x:c r="E8" s="1" t="str">
        <x:v>Ozon IR, IV кв. 2025</x:v>
      </x:c>
      <x:c r="F8" s="26" t="str">
        <x:v>https://ir.ozon.com/ru/sth/ozon-obyavlyaet-finansovye-rezultaty-za-chetvertyy-kvartal-2025-goda-i-2025-god-18833bbf</x:v>
      </x:c>
      <x:c r="G8" s="1" t="str">
        <x:v>Не смешивать периоды</x:v>
      </x:c>
    </x:row>
    <x:row r="9" ht="48" customHeight="1">
      <x:c r="A9" s="1" t="str">
        <x:v>Рассылки: рост CR в покупку</x:v>
      </x:c>
      <x:c r="B9" s="8" t="n">
        <x:v>0.12</x:v>
      </x:c>
      <x:c r="C9" s="1" t="str">
        <x:v>относит., публикация 22.06.2026</x:v>
      </x:c>
      <x:c r="D9" s="1" t="str">
        <x:v>Внешний источник</x:v>
      </x:c>
      <x:c r="E9" s="1" t="str">
        <x:v>Ozon Seller</x:v>
      </x:c>
      <x:c r="F9" s="26" t="str">
        <x:v>https://seller.ozon.ru/media/boost/rassylki-iz-lichnogo-kabineta-na-ozon/</x:v>
      </x:c>
      <x:c r="G9" s="1" t="str">
        <x:v>Не переносить в +10% H1–H6</x:v>
      </x:c>
    </x:row>
    <x:row r="10" ht="48" customHeight="1">
      <x:c r="A10" s="1" t="str">
        <x:v>Пользователи Taobao UserBehavior</x:v>
      </x:c>
      <x:c r="B10" s="21" t="n">
        <x:v>987994</x:v>
      </x:c>
      <x:c r="C10" s="1" t="str">
        <x:v>чел., 25.11–03.12.2017</x:v>
      </x:c>
      <x:c r="D10" s="1" t="str">
        <x:v>Внешний источник</x:v>
      </x:c>
      <x:c r="E10" s="1" t="str">
        <x:v>Alibaba Cloud DataWorks</x:v>
      </x:c>
      <x:c r="F10" s="26" t="str">
        <x:v>https://www.alibabacloud.com/help/en/dataworks/user-guide/getting-started-with-dataanalysis</x:v>
      </x:c>
      <x:c r="G10" s="1" t="str">
        <x:v>Другой рынок и период</x:v>
      </x:c>
    </x:row>
    <x:row r="11" ht="48" customHeight="1">
      <x:c r="A11" s="1" t="str">
        <x:v>События Taobao</x:v>
      </x:c>
      <x:c r="B11" s="21" t="n">
        <x:v>100150807</x:v>
      </x:c>
      <x:c r="C11" s="1" t="str">
        <x:v>событий, 25.11–03.12.2017</x:v>
      </x:c>
      <x:c r="D11" s="1" t="str">
        <x:v>Внешний источник</x:v>
      </x:c>
      <x:c r="E11" s="1" t="str">
        <x:v>Alibaba Cloud DataWorks</x:v>
      </x:c>
      <x:c r="F11" s="26" t="str">
        <x:v>https://www.alibabacloud.com/help/en/dataworks/user-guide/getting-started-with-dataanalysis</x:v>
      </x:c>
      <x:c r="G11" s="1" t="str">
        <x:v>События не остатки SKU в списках</x:v>
      </x:c>
    </x:row>
    <x:row r="12" ht="48" customHeight="1">
      <x:c r="A12" s="1" t="str">
        <x:v>Уникальные товары Taobao</x:v>
      </x:c>
      <x:c r="B12" s="21" t="n">
        <x:v>4162024</x:v>
      </x:c>
      <x:c r="C12" s="1" t="str">
        <x:v>товаров, 2017</x:v>
      </x:c>
      <x:c r="D12" s="1" t="str">
        <x:v>Внешний источник</x:v>
      </x:c>
      <x:c r="E12" s="1" t="str">
        <x:v>Alibaba Cloud DataWorks</x:v>
      </x:c>
      <x:c r="F12" s="26" t="str">
        <x:v>https://www.alibabacloud.com/help/en/dataworks/user-guide/getting-started-with-dataanalysis</x:v>
      </x:c>
      <x:c r="G12" s="1" t="str">
        <x:v>Не размер корзины пользователя</x:v>
      </x:c>
    </x:row>
    <x:row r="13" ht="48" customHeight="1">
      <x:c r="A13" s="1" t="str">
        <x:v>Типы событий Taobao</x:v>
      </x:c>
      <x:c r="B13" s="1" t="str">
        <x:v>pv, fav, cart, buy</x:v>
      </x:c>
      <x:c r="C13" s="1" t="str">
        <x:v>категории</x:v>
      </x:c>
      <x:c r="D13" s="1" t="str">
        <x:v>Внешний источник</x:v>
      </x:c>
      <x:c r="E13" s="1" t="str">
        <x:v>Alibaba Cloud / Tianchi</x:v>
      </x:c>
      <x:c r="F13" s="26" t="str">
        <x:v>https://tianchi.aliyun.com/dataset/649</x:v>
      </x:c>
      <x:c r="G13" s="1" t="str">
        <x:v>Только ориентир метода анализа поведения</x:v>
      </x:c>
    </x:row>
    <x:row r="14" ht="24" customHeight="1">
      <x:c r="A14" s="1"/>
      <x:c r="B14" s="1"/>
      <x:c r="C14" s="1"/>
      <x:c r="D14" s="1"/>
      <x:c r="E14" s="1"/>
      <x:c r="F14" s="1"/>
      <x:c r="G14" s="1"/>
    </x:row>
    <x:row r="15" ht="24" customHeight="1">
      <x:c r="A15" s="1"/>
      <x:c r="B15" s="1"/>
      <x:c r="C15" s="1"/>
      <x:c r="D15" s="1"/>
      <x:c r="E15" s="1"/>
      <x:c r="F15" s="1"/>
      <x:c r="G15" s="1"/>
    </x:row>
    <x:row r="16" ht="24" customHeight="1">
      <x:c r="A16" s="1" t="str">
        <x:v>Проверено по первичным публичным страницам 29.10.2026. Ни один внешний показатель не входит в формулы модели.</x:v>
      </x:c>
      <x:c r="B16" s="1"/>
      <x:c r="C16" s="1"/>
      <x:c r="D16" s="1"/>
      <x:c r="E16" s="1"/>
      <x:c r="F16" s="1"/>
      <x:c r="G16" s="1"/>
    </x:row>
    <x:row r="17" ht="24" customHeight="1">
      <x:c r="A17" s="1" t="str">
        <x:v>Taobao содержит действия, не остатки списков. Долю «китов» и совместное распределение размеров из этих сводок не получить.</x:v>
      </x:c>
      <x:c r="B17" s="1"/>
      <x:c r="C17" s="1"/>
      <x:c r="D17" s="1"/>
      <x:c r="E17" s="1"/>
      <x:c r="F17" s="1"/>
      <x:c r="G17" s="1"/>
    </x:row>
    <x:row r="18" ht="24" customHeight="1">
      <x:c r="A18" s="1"/>
      <x:c r="B18" s="1"/>
      <x:c r="C18" s="1"/>
      <x:c r="D18" s="1"/>
      <x:c r="E18" s="1"/>
      <x:c r="F18" s="1"/>
      <x:c r="G18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3A5A8D"/>
  </x:sheetPr>
  <x:sheetViews>
    <x:sheetView showGridLines="0" workbookViewId="0"/>
  </x:sheetViews>
  <x:sheetFormatPr defaultRowHeight="15"/>
  <x:cols>
    <x:col min="1" max="1" width="31" hidden="0" customWidth="1"/>
    <x:col min="2" max="2" width="118" hidden="0" customWidth="1"/>
  </x:cols>
  <x:sheetData>
    <x:row r="1" ht="24" customHeight="1">
      <x:c r="A1" s="1" t="str">
        <x:v>Сценарий</x:v>
      </x:c>
      <x:c r="B1" s="1" t="str">
        <x:f>'Итоги'!B3</x:f>
        <x:v>Базовый</x:v>
      </x:c>
    </x:row>
    <x:row r="2" ht="32" customHeight="1">
      <x:c r="A2" s="2" t="str">
        <x:v>Методика</x:v>
      </x:c>
      <x:c r="B2" s="1"/>
    </x:row>
    <x:row r="3" ht="24" customHeight="1">
      <x:c r="A3" s="1"/>
      <x:c r="B3" s="1"/>
    </x:row>
    <x:row r="4" ht="52" customHeight="1">
      <x:c r="A4" s="27" t="str">
        <x:v>Назначение</x:v>
      </x:c>
      <x:c r="B4" s="26" t="str">
        <x:v>Сравнить H1–H6 при одинаковом условном +10% относительного uplift. Это мысленный эксперимент с редактируемыми допущениями, не оценка реального эффекта.</x:v>
      </x:c>
    </x:row>
    <x:row r="5" ht="52" customHeight="1">
      <x:c r="A5" s="27" t="str">
        <x:v>Метки значений</x:v>
      </x:c>
      <x:c r="B5" s="26" t="str">
        <x:v>Факт — синтетический учебный PDF/UX. Внешний источник — отдельно проверенный ориентир. Жёлтый ввод — допущение. Зависимые значения — расчёт.</x:v>
      </x:c>
    </x:row>
    <x:row r="6" ht="52" customHeight="1">
      <x:c r="A6" s="27" t="str">
        <x:v>Первичные материалы</x:v>
      </x:c>
      <x:c r="B6" s="26" t="str">
        <x:v>Учебный PDF «Корзина не копилка…», с. 4,6,8–14; «Артефакты Кейсов.docx», этап 4; приложенный текст H6 и сводная таблица ChatGPT.</x:v>
      </x:c>
    </x:row>
    <x:row r="7" ht="52" customHeight="1">
      <x:c r="A7" s="27" t="str">
        <x:v>Четыре когорты</x:v>
      </x:c>
      <x:c r="B7" s="26" t="str">
        <x:v>S1 киты, S2 большая/большое, S3 большая/маленькое, S4 маленькая/маленькое. Это наполненность списков; пороги неизвестны, малый включает ноль.</x:v>
      </x:c>
    </x:row>
    <x:row r="8" ht="52" customHeight="1">
      <x:c r="A8" s="27" t="str">
        <x:v>Размеры когорт</x:v>
      </x:c>
      <x:c r="B8" s="26" t="str">
        <x:v>Сценарные доли относятся ко всему нормированному DAU. Они неизвестны и суммируются до 100%. Среднее SKU и медиана не задают эти доли.</x:v>
      </x:c>
    </x:row>
    <x:row r="9" ht="52" customHeight="1">
      <x:c r="A9" s="27" t="str">
        <x:v>Абсолютная CR</x:v>
      </x:c>
      <x:c r="B9" s="26" t="str">
        <x:v>Якорь 1 задаёт CR китов, глобальная CR — взвешенное среднее. Якорь 2 задаёт глобальную CR, CR китов = глобальная CR + взвешенный разрыв.</x:v>
      </x:c>
    </x:row>
    <x:row r="10" ht="52" customHeight="1">
      <x:c r="A10" s="27" t="str">
        <x:v>Разрывы CR</x:v>
      </x:c>
      <x:c r="B10" s="26" t="str">
        <x:v>−9/−18/−9 п.п. вычитаются как 0,09/0,18/0,09. Рабочий знаменатель — уникальные активные пользователи когорты за день. Точная атрибуция PDF не раскрыта.</x:v>
      </x:c>
    </x:row>
    <x:row r="11" ht="52" customHeight="1">
      <x:c r="A11" s="27" t="str">
        <x:v>Посещение</x:v>
      </x:c>
      <x:c r="B11" s="26" t="str">
        <x:v>P(C), P(F) и P(C|F) задаются по каждой когорте отдельно. Их размеры не следуют из списков. Суммарно проверяются 65% / 13% DAU.</x:v>
      </x:c>
    </x:row>
    <x:row r="12" ht="52" customHeight="1">
      <x:c r="A12" s="27" t="str">
        <x:v>Владение Избранным</x:v>
      </x:c>
      <x:c r="B12" s="26" t="str">
        <x:v>Доля владельцев F в малом F — сценарный ввод; в большом F = 100%. Проверяется наличие товаров у 60–80% посетителей C. Это не дневное пересечение визитов.</x:v>
      </x:c>
    </x:row>
    <x:row r="13" ht="52" customHeight="1">
      <x:c r="A13" s="27" t="str">
        <x:v>Разбиение пользователей</x:v>
      </x:c>
      <x:c r="B13" s="26" t="str">
        <x:v>В каждой когорте только C, только F, оба, ни один. Их сумма = размер когорты. Уникальный заказчик считается один раз в день независимо от числа SKU и заказов.</x:v>
      </x:c>
    </x:row>
    <x:row r="14" ht="52" customHeight="1">
      <x:c r="A14" s="27" t="str">
        <x:v>CR внутри когорты</x:v>
      </x:c>
      <x:c r="B14" s="26" t="str">
        <x:v>Четыре веса склонности к заказу нормируются по долям состояний посещения. Взвешенная CR точно равна CR когорты. Веса — допущения, не наблюдения.</x:v>
      </x:c>
    </x:row>
    <x:row r="15" ht="52" customHeight="1">
      <x:c r="A15" s="27" t="str">
        <x:v>Целевой охват</x:v>
      </x:c>
      <x:c r="B15" s="26" t="str">
        <x:v>Для обоих входов цель = eC+eF−eCF. Для одного входа — его доля. Условная доля цели входа считается одинаковой для состояний «только» и «оба»: допущение.</x:v>
      </x:c>
    </x:row>
    <x:row r="16" ht="52" customHeight="1">
      <x:c r="A16" s="27" t="str">
        <x:v>Базовый эффект</x:v>
      </x:c>
      <x:c r="B16" s="26" t="str">
        <x:v>Прирост до штрафов = покупатели0 × 10% × доля цели. Это вероятность дополнительных уникальных заказчиков, не дополнительные SKU в уже существующем заказе.</x:v>
      </x:c>
    </x:row>
    <x:row r="17" ht="52" customHeight="1">
      <x:c r="A17" s="27" t="str">
        <x:v>Два независимых штрафа</x:v>
      </x:c>
      <x:c r="B17" s="26" t="str">
        <x:v>Остаток полезного uplift = (1−поведенческий) × (1−продуктовый). 25%/25% оставляет 56,25% эффекта: +5,625% CR цели вместо +10%.</x:v>
      </x:c>
    </x:row>
    <x:row r="18" ht="52" customHeight="1">
      <x:c r="A18" s="27" t="str">
        <x:v>Потери базового CR</x:v>
      </x:c>
      <x:c r="B18" s="26" t="str">
        <x:v>Отдельные поля матрицы уменьшают весь базовый CR посетителей C/F. По умолчанию 0 как допущение. Штрафы 0/25/50% сами не доказывают падение защитных метрик.</x:v>
      </x:c>
    </x:row>
    <x:row r="19" ht="52" customHeight="1">
      <x:c r="A19" s="27" t="str">
        <x:v>Формула покупки</x:v>
      </x:c>
      <x:c r="B19" s="26" t="str">
        <x:v>CR1 = CR0 × (1+10%×цель×остаток uplift) × (1−потеря C) × (1−потеря F). Если даже полный uplift даёт CR&gt;100%, ввод отклоняется, а не обрезается молча.</x:v>
      </x:c>
    </x:row>
    <x:row r="20" ht="52" customHeight="1">
      <x:c r="A20" s="27" t="str">
        <x:v>Девять комбинаций</x:v>
      </x:c>
      <x:c r="B20" s="26" t="str">
        <x:v>Лист «Штрафы» использует базу после потерь и коэффициент прироста из одного расчёта: Δ покупателей = база после потерь − база0 + коэффициент × остаток uplift.</x:v>
      </x:c>
    </x:row>
    <x:row r="21" ht="52" customHeight="1">
      <x:c r="A21" s="27" t="str">
        <x:v>Защитные метрики</x:v>
      </x:c>
      <x:c r="B21" s="26" t="str">
        <x:v>CR C = заказчики среди посетителей C / посетители C. CR F аналогично. ARPU = дневная выручка / DAU платформы. Порог всех трёх — отсутствие падения.</x:v>
      </x:c>
    </x:row>
    <x:row r="22" ht="52" customHeight="1">
      <x:c r="A22" s="27" t="str">
        <x:v>Модель выручки</x:v>
      </x:c>
      <x:c r="B22" s="26" t="str">
        <x:v>Выручка = уникальные заказчики × доход на заказчика за день. Этот доход включает все его заказы. Изменение дохода применяется пропорционально целевой доле. Это не AOV.</x:v>
      </x:c>
    </x:row>
    <x:row r="23" ht="52" customHeight="1">
      <x:c r="A23" s="27" t="str">
        <x:v>Воздействие F на C</x:v>
      </x:c>
      <x:c r="B23" s="26" t="str">
        <x:v>Новый охват C не добавляется. У уже посетивших оба раздела дополнительный заказ отражается в обоих условных CR, но глобальный заказчик остаётся один.</x:v>
      </x:c>
    </x:row>
    <x:row r="24" ht="52" customHeight="1">
      <x:c r="A24" s="27" t="str">
        <x:v>DAU и MAU</x:v>
      </x:c>
      <x:c r="B24" s="26" t="str">
        <x:v>MAU нужен только для месячного охвата. В дневную CR он не входит. Дневных уникальных нельзя умножать на 30 и получать месячных; месячный эффект здесь не рассчитывается.</x:v>
      </x:c>
    </x:row>
    <x:row r="25" ht="52" customHeight="1">
      <x:c r="A25" s="27" t="str">
        <x:v>H6 и пересечения H</x:v>
      </x:c>
      <x:c r="B25" s="26" t="str">
        <x:v>H6 — выбранная альтернатива H6.1/2/3. Все строки являются отдельными тестами против одной базы. Портфельный итог отсутствует: пересечения разных H неизвестны.</x:v>
      </x:c>
    </x:row>
    <x:row r="26" ht="52" customHeight="1">
      <x:c r="A26" s="27" t="str">
        <x:v>Чтение результатов</x:v>
      </x:c>
      <x:c r="B26" s="26" t="str">
        <x:v>«Проходит условно» значит положительный сценарный эффект без падения guardrails при введённых допущениях. Это не доказанная эффективность и не результат A/B-теста.</x:v>
      </x:c>
    </x:row>
    <x:row r="27" ht="52" customHeight="1">
      <x:c r="A27" s="27" t="str">
        <x:v>Как менять</x:v>
      </x:c>
      <x:c r="B27" s="26" t="str">
        <x:v>Выбрать сценарий и якорь на «Параметрах». Изменить жёлтые поля «Когорт», «Гипотез» и «Воздействия». Проверить базу и допустимость. Нули разрешены, пропуски не скрываются.</x:v>
      </x:c>
    </x:row>
    <x:row r="28" ht="52" customHeight="1">
      <x:c r="A28" s="27" t="str">
        <x:v>Что не учтено</x:v>
      </x:c>
      <x:c r="B28" s="26" t="str">
        <x:v>Нет причинной миграции между когортами/разделами, отдельной платформенной модели, стоимости внедрения, статистической мощности и долгосрочного удержания. Платформенные данные сохранены как контекст.</x:v>
      </x:c>
    </x:row>
    <x:row r="29" ht="52" customHeight="1">
      <x:c r="A29" s="27" t="str">
        <x:v>Внешние ориентиры</x:v>
      </x:c>
      <x:c r="B29" s="26" t="str">
        <x:v>Ozon IR/Seller и Alibaba описывают другие базы, периоды и механики. Они не калибруют размеры когорт, абсолютную CR, охват H и штрафы учебного кейса.</x:v>
      </x:c>
    </x:row>
    <x:row r="30" ht="24" customHeight="1">
      <x:c r="A30" s="1"/>
      <x:c r="B30" s="1"/>
    </x:row>
  </x:sheetData>
  <x:pageMargins left="0.7" right="0.7" top="0.75" bottom="0.75" header="0.3" footer="0.3"/>
</x:worksheet>
</file>