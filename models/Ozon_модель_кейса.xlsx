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303767a260249db" /></Relationships>
</file>

<file path=xl/workbook.xml><?xml version="1.0" encoding="utf-8"?>
<x:workbook xmlns:x="http://schemas.openxmlformats.org/spreadsheetml/2006/main">
  <x:sheets>
    <x:sheet xmlns:r="http://schemas.openxmlformats.org/officeDocument/2006/relationships" name="Итоги" sheetId="1" r:id="R7f9bcd4512204168"/>
    <x:sheet xmlns:r="http://schemas.openxmlformats.org/officeDocument/2006/relationships" name="Параметры" sheetId="2" r:id="R2bc581d869204273"/>
    <x:sheet xmlns:r="http://schemas.openxmlformats.org/officeDocument/2006/relationships" name="Когорты" sheetId="3" r:id="Rc9bfc4e0f99149d0"/>
    <x:sheet xmlns:r="http://schemas.openxmlformats.org/officeDocument/2006/relationships" name="Гипотезы" sheetId="4" r:id="Rb1af5d1612274603"/>
    <x:sheet xmlns:r="http://schemas.openxmlformats.org/officeDocument/2006/relationships" name="Воздействие" sheetId="5" r:id="R00a0c78f88c441df"/>
    <x:sheet xmlns:r="http://schemas.openxmlformats.org/officeDocument/2006/relationships" name="Штрафы" sheetId="6" r:id="Rb5961d013c1b4864"/>
    <x:sheet xmlns:r="http://schemas.openxmlformats.org/officeDocument/2006/relationships" name="Расчёт" sheetId="7" r:id="R8a2cd53b7c174330"/>
    <x:sheet xmlns:r="http://schemas.openxmlformats.org/officeDocument/2006/relationships" name="Исходные" sheetId="8" r:id="R91c017842cc44a5b"/>
    <x:sheet xmlns:r="http://schemas.openxmlformats.org/officeDocument/2006/relationships" name="Внешние" sheetId="9" r:id="R77e1449154b04f0a"/>
    <x:sheet xmlns:r="http://schemas.openxmlformats.org/officeDocument/2006/relationships" name="Методика" sheetId="10" r:id="R8741ecefc27d4392"/>
    <x:sheet xmlns:r="http://schemas.openxmlformats.org/officeDocument/2006/relationships" name="Сценарии" sheetId="11" r:id="R9cd600b452be48a7"/>
    <x:sheet xmlns:r="http://schemas.openxmlformats.org/officeDocument/2006/relationships" name="Входы H" sheetId="12" r:id="R56f10911226b44a0"/>
    <x:sheet xmlns:r="http://schemas.openxmlformats.org/officeDocument/2006/relationships" name="Сравнение" sheetId="13" r:id="R39f359eb919b4598"/>
    <x:sheet xmlns:r="http://schemas.openxmlformats.org/officeDocument/2006/relationships" name="Taobao" sheetId="14" r:id="Rc88130157d63498b"/>
    <x:sheet xmlns:r="http://schemas.openxmlformats.org/officeDocument/2006/relationships" name="Источники" sheetId="15" r:id="R4498df041bd84e2e"/>
    <x:sheet xmlns:r="http://schemas.openxmlformats.org/officeDocument/2006/relationships" name="Масштаб" sheetId="16" r:id="Re2ff17fc338a48f4"/>
    <x:sheet xmlns:r="http://schemas.openxmlformats.org/officeDocument/2006/relationships" name="Версия срезов" sheetId="17" r:id="R89c692192f074b8c"/>
    <x:sheet xmlns:r="http://schemas.openxmlformats.org/officeDocument/2006/relationships" name="Размеры Корзин" sheetId="18" r:id="R1564206bddb74fe8"/>
    <x:sheet xmlns:r="http://schemas.openxmlformats.org/officeDocument/2006/relationships" name="Порог H1 H4" sheetId="19" r:id="R36af7a2deafa4289"/>
  </x:sheets>
  <x:calcPr calcMode="auto" fullCalcOnLoad="1" forceFullCalc="1"/>
</x:workbook>
</file>

<file path=xl/sharedStrings.xml><?xml version="1.0" encoding="utf-8"?>
<x:sst xmlns:x="http://schemas.openxmlformats.org/spreadsheetml/2006/main"/>
</file>

<file path=xl/styles.xml><?xml version="1.0" encoding="utf-8"?>
<x:styleSheet xmlns:x="http://schemas.openxmlformats.org/spreadsheetml/2006/main">
  <x:numFmts count="7">
    <x:numFmt numFmtId="200" formatCode="0.00%"/>
    <x:numFmt numFmtId="201" formatCode="#,##0.0"/>
    <x:numFmt numFmtId="202" formatCode="0.0000"/>
    <x:numFmt numFmtId="203" formatCode="#,##0"/>
    <x:numFmt numFmtId="204" formatCode="#,##0.00"/>
    <x:numFmt numFmtId="205" formatCode="0"/>
    <x:numFmt numFmtId="206" formatCode="0.000"/>
  </x:numFmts>
  <x:fonts count="8">
    <x:font>
      <x:sz val="11"/>
      <x:name val="Carlito"/>
    </x:font>
    <x:font>
      <x:sz val="10"/>
      <x:color rgb="FF25364A"/>
      <x:name val="Arial"/>
    </x:font>
    <x:font>
      <x:b/>
      <x:sz val="15"/>
      <x:color rgb="FF25364A"/>
      <x:name val="Arial"/>
    </x:font>
    <x:font>
      <x:b/>
      <x:sz val="10"/>
      <x:color rgb="FFFFFFFF"/>
      <x:name val="Arial"/>
    </x:font>
    <x:font>
      <x:sz val="10"/>
      <x:color rgb="FF1B59A0"/>
      <x:name val="Arial"/>
    </x:font>
    <x:font>
      <x:sz val="10"/>
      <x:name val="Arial"/>
    </x:font>
    <x:font>
      <x:b/>
      <x:sz val="10"/>
      <x:color rgb="FF25364A"/>
      <x:name val="Arial"/>
    </x:font>
    <x:font>
      <x:b/>
      <x:sz val="15"/>
      <x:color rgb="FF263E60"/>
      <x:name val="Arial"/>
    </x:font>
  </x:fonts>
  <x:fills count="11">
    <x:fill>
      <x:patternFill patternType="none"/>
    </x:fill>
    <x:fill>
      <x:patternFill patternType="gray125"/>
    </x:fill>
    <x:fill>
      <x:patternFill patternType="solid">
        <x:fgColor rgb="FF263E60"/>
      </x:patternFill>
    </x:fill>
    <x:fill>
      <x:patternFill patternType="solid">
        <x:fgColor rgb="FFFFF1CC"/>
      </x:patternFill>
    </x:fill>
    <x:fill>
      <x:patternFill patternType="solid">
        <x:fgColor rgb="FFE9EEF6"/>
      </x:patternFill>
    </x:fill>
    <x:fill>
      <x:patternFill patternType="solid">
        <x:fgColor rgb="FF263E60"/>
      </x:patternFill>
    </x:fill>
    <x:fill>
      <x:patternFill patternType="solid">
        <x:fgColor rgb="FFFFF1CC"/>
      </x:patternFill>
    </x:fill>
    <x:fill>
      <x:patternFill patternType="solid">
        <x:fgColor rgb="FF263E60"/>
      </x:patternFill>
    </x:fill>
    <x:fill>
      <x:patternFill patternType="solid">
        <x:fgColor rgb="FFFFF1CC"/>
      </x:patternFill>
    </x:fill>
    <x:fill>
      <x:patternFill patternType="solid">
        <x:fgColor rgb="FF263E60"/>
      </x:patternFill>
    </x:fill>
    <x:fill>
      <x:patternFill patternType="solid">
        <x:fgColor rgb="FFFFF1CC"/>
      </x:patternFill>
    </x:fill>
  </x:fills>
  <x:borders count="1">
    <x:border>
      <x:left/>
      <x:right/>
      <x:top/>
      <x:bottom/>
      <x:diagonal/>
    </x:border>
  </x:borders>
  <x:cellStyleXfs count="1">
    <x:xf numFmtId="0" fontId="0" fillId="0" borderId="0"/>
  </x:cellStyleXfs>
  <x:cellXfs count="57">
    <x:xf numFmtId="0" fontId="0" fillId="0" borderId="0" xfId="0"/>
    <x:xf numFmtId="0" fontId="1" fillId="0" borderId="0" xfId="0" applyNumberFormat="1" applyFont="1" applyFill="1" applyBorder="1"/>
    <x:xf numFmtId="0" fontId="2" fillId="0" borderId="0" xfId="0" applyNumberFormat="1" applyFont="1" applyFill="1" applyBorder="1"/>
    <x:xf numFmtId="0" fontId="1" fillId="2" borderId="0" xfId="0" applyNumberFormat="1" applyFont="1" applyFill="1" applyBorder="1"/>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horizontal="center" wrapText="1"/>
    </x:xf>
    <x:xf numFmtId="0" fontId="3" fillId="2" borderId="0" xfId="0" applyNumberFormat="1" applyFont="1" applyFill="1" applyBorder="1" applyAlignment="1">
      <x:alignment horizontal="center" vertical="center" wrapText="1"/>
    </x:xf>
    <x:xf numFmtId="200" fontId="1" fillId="0" borderId="0" xfId="0" applyNumberFormat="1" applyFont="1" applyFill="1" applyBorder="1"/>
    <x:xf numFmtId="0" fontId="1" fillId="3" borderId="0" xfId="0" applyNumberFormat="1" applyFont="1" applyFill="1" applyBorder="1"/>
    <x:xf numFmtId="0" fontId="4" fillId="3" borderId="0" xfId="0" applyNumberFormat="1" applyFont="1" applyFill="1" applyBorder="1"/>
    <x:xf numFmtId="200" fontId="4" fillId="3" borderId="0" xfId="0" applyNumberFormat="1" applyFont="1" applyFill="1" applyBorder="1"/>
    <x:xf numFmtId="201" fontId="1" fillId="0" borderId="0" xfId="0" applyNumberFormat="1" applyFont="1" applyFill="1" applyBorder="1"/>
    <x:xf numFmtId="201" fontId="4" fillId="3" borderId="0" xfId="0" applyNumberFormat="1" applyFont="1" applyFill="1" applyBorder="1"/>
    <x:xf numFmtId="0" fontId="5" fillId="0" borderId="0" xfId="0" applyNumberFormat="1" applyFont="1" applyFill="1" applyBorder="1"/>
    <x:xf numFmtId="200" fontId="5" fillId="0" borderId="0" xfId="0" applyNumberFormat="1" applyFont="1" applyFill="1" applyBorder="1"/>
    <x:xf numFmtId="202" fontId="1" fillId="0" borderId="0" xfId="0" applyNumberFormat="1" applyFont="1" applyFill="1" applyBorder="1"/>
    <x:xf numFmtId="0" fontId="1" fillId="4" borderId="0" xfId="0" applyNumberFormat="1" applyFont="1" applyFill="1" applyBorder="1"/>
    <x:xf numFmtId="201" fontId="1" fillId="4" borderId="0" xfId="0" applyNumberFormat="1" applyFont="1" applyFill="1" applyBorder="1"/>
    <x:xf numFmtId="202" fontId="1" fillId="4" borderId="0" xfId="0" applyNumberFormat="1" applyFont="1" applyFill="1" applyBorder="1"/>
    <x:xf numFmtId="200" fontId="1" fillId="4" borderId="0" xfId="0" applyNumberFormat="1" applyFont="1" applyFill="1" applyBorder="1"/>
    <x:xf numFmtId="203" fontId="1" fillId="0" borderId="0" xfId="0" applyNumberFormat="1" applyFont="1" applyFill="1" applyBorder="1"/>
    <x:xf numFmtId="204" fontId="1" fillId="0" borderId="0" xfId="0" applyNumberFormat="1" applyFont="1" applyFill="1" applyBorder="1"/>
    <x:xf numFmtId="205" fontId="1" fillId="0" borderId="0" xfId="0" applyNumberFormat="1" applyFont="1" applyFill="1" applyBorder="1"/>
    <x:xf numFmtId="0" fontId="1" fillId="0" borderId="0" xfId="0" applyNumberFormat="1" applyFont="1" applyFill="1" applyBorder="1" applyAlignment="1">
      <x:alignment horizontal="center"/>
    </x:xf>
    <x:xf numFmtId="0" fontId="1" fillId="4" borderId="0" xfId="0" applyNumberFormat="1" applyFont="1" applyFill="1" applyBorder="1" applyAlignment="1">
      <x:alignment horizontal="center"/>
    </x:xf>
    <x:xf numFmtId="0" fontId="1" fillId="0" borderId="0" xfId="0" applyNumberFormat="1" applyFont="1" applyFill="1" applyBorder="1" applyAlignment="1">
      <x:alignment wrapText="1"/>
    </x:xf>
    <x:xf numFmtId="0" fontId="6" fillId="0" borderId="0" xfId="0" applyNumberFormat="1" applyFont="1" applyFill="1" applyBorder="1"/>
    <x:xf numFmtId="0" fontId="7" fillId="0" borderId="0" xfId="0" applyNumberFormat="1" applyFont="1" applyFill="1" applyBorder="1"/>
    <x:xf numFmtId="0" fontId="1" fillId="5" borderId="0" xfId="0" applyNumberFormat="1" applyFont="1" applyFill="1" applyBorder="1"/>
    <x:xf numFmtId="0" fontId="3" fillId="5" borderId="0" xfId="0" applyNumberFormat="1" applyFont="1" applyFill="1" applyBorder="1"/>
    <x:xf numFmtId="0" fontId="3" fillId="5" borderId="0" xfId="0" applyNumberFormat="1" applyFont="1" applyFill="1" applyBorder="1" applyAlignment="1">
      <x:alignment wrapText="1"/>
    </x:xf>
    <x:xf numFmtId="0" fontId="3" fillId="5" borderId="0" xfId="0" applyNumberFormat="1" applyFont="1" applyFill="1" applyBorder="1" applyAlignment="1">
      <x:alignment vertical="center" wrapText="1"/>
    </x:xf>
    <x:xf numFmtId="0" fontId="1" fillId="6" borderId="0" xfId="0" applyNumberFormat="1" applyFont="1" applyFill="1" applyBorder="1"/>
    <x:xf numFmtId="200" fontId="1" fillId="6" borderId="0" xfId="0" applyNumberFormat="1" applyFont="1" applyFill="1" applyBorder="1"/>
    <x:xf numFmtId="0" fontId="1" fillId="0" borderId="0" xfId="0" applyNumberFormat="1" applyFont="1" applyFill="1" applyBorder="1" applyAlignment="1">
      <x:alignment vertical="top" wrapText="1"/>
    </x:xf>
    <x:xf numFmtId="203" fontId="1" fillId="0" borderId="0" xfId="0" applyNumberFormat="1" applyFont="1" applyFill="1" applyBorder="1" applyAlignment="1">
      <x:alignment wrapText="1"/>
    </x:xf>
    <x:xf numFmtId="200" fontId="1" fillId="0" borderId="0" xfId="0" applyNumberFormat="1" applyFont="1" applyFill="1" applyBorder="1" applyAlignment="1">
      <x:alignment wrapText="1"/>
    </x:xf>
    <x:xf numFmtId="206" fontId="1" fillId="0" borderId="0" xfId="0" applyNumberFormat="1" applyFont="1" applyFill="1" applyBorder="1" applyAlignment="1">
      <x:alignment wrapText="1"/>
    </x:xf>
    <x:xf numFmtId="202" fontId="1" fillId="0" borderId="0" xfId="0" applyNumberFormat="1" applyFont="1" applyFill="1" applyBorder="1" applyAlignment="1">
      <x:alignment wrapText="1"/>
    </x:xf>
    <x:xf numFmtId="0" fontId="6" fillId="2" borderId="0" xfId="0" applyNumberFormat="1" applyFont="1" applyFill="1" applyBorder="1" applyAlignment="1">
      <x:alignment vertical="center" wrapText="1"/>
    </x:xf>
    <x:xf numFmtId="200" fontId="1" fillId="3" borderId="0" xfId="0" applyNumberFormat="1" applyFont="1" applyFill="1" applyBorder="1"/>
    <x:xf numFmtId="0" fontId="6" fillId="7" borderId="0" xfId="0" applyNumberFormat="1" applyFont="1" applyFill="1" applyBorder="1" applyAlignment="1">
      <x:alignment vertical="center" wrapText="1"/>
    </x:xf>
    <x:xf numFmtId="0" fontId="1" fillId="7" borderId="0" xfId="0" applyNumberFormat="1" applyFont="1" applyFill="1" applyBorder="1"/>
    <x:xf numFmtId="0" fontId="3" fillId="7" borderId="0" xfId="0" applyNumberFormat="1" applyFont="1" applyFill="1" applyBorder="1" applyAlignment="1">
      <x:alignment vertical="center" wrapText="1"/>
    </x:xf>
    <x:xf numFmtId="0" fontId="3" fillId="7" borderId="0" xfId="0" applyNumberFormat="1" applyFont="1" applyFill="1" applyBorder="1"/>
    <x:xf numFmtId="0" fontId="3" fillId="7" borderId="0" xfId="0" applyNumberFormat="1" applyFont="1" applyFill="1" applyBorder="1" applyAlignment="1">
      <x:alignment wrapText="1"/>
    </x:xf>
    <x:xf numFmtId="200" fontId="1" fillId="8" borderId="0" xfId="0" applyNumberFormat="1" applyFont="1" applyFill="1" applyBorder="1"/>
    <x:xf numFmtId="0" fontId="1" fillId="8" borderId="0" xfId="0" applyNumberFormat="1" applyFont="1" applyFill="1" applyBorder="1"/>
    <x:xf numFmtId="0" fontId="6" fillId="2" borderId="0" xfId="0" applyNumberFormat="1" applyFont="1" applyFill="1" applyBorder="1" applyAlignment="1">
      <x:alignment wrapText="1"/>
    </x:xf>
    <x:xf numFmtId="0" fontId="6" fillId="7" borderId="0" xfId="0" applyNumberFormat="1" applyFont="1" applyFill="1" applyBorder="1" applyAlignment="1">
      <x:alignment wrapText="1"/>
    </x:xf>
    <x:xf numFmtId="0" fontId="6" fillId="9" borderId="0" xfId="0" applyNumberFormat="1" applyFont="1" applyFill="1" applyBorder="1" applyAlignment="1">
      <x:alignment vertical="center" wrapText="1"/>
    </x:xf>
    <x:xf numFmtId="0" fontId="3" fillId="9" borderId="0" xfId="0" applyNumberFormat="1" applyFont="1" applyFill="1" applyBorder="1" applyAlignment="1">
      <x:alignment vertical="center" wrapText="1"/>
    </x:xf>
    <x:xf numFmtId="200" fontId="1" fillId="10" borderId="0" xfId="0" applyNumberFormat="1" applyFont="1" applyFill="1" applyBorder="1"/>
    <x:xf numFmtId="0" fontId="1" fillId="10" borderId="0" xfId="0" applyNumberFormat="1" applyFont="1" applyFill="1" applyBorder="1"/>
    <x:xf numFmtId="0" fontId="6" fillId="9" borderId="0" xfId="0" applyNumberFormat="1" applyFont="1" applyFill="1" applyBorder="1" applyAlignment="1">
      <x:alignment wrapText="1"/>
    </x:xf>
    <x:xf numFmtId="0" fontId="3" fillId="9" borderId="0" xfId="0" applyNumberFormat="1" applyFont="1" applyFill="1" applyBorder="1" applyAlignment="1">
      <x:alignment wrapText="1"/>
    </x:xf>
  </x:cellXfs>
  <x:cellStyles count="1">
    <x:cellStyle name="Normal" xfId="0"/>
  </x:cellStyles>
  <x:dxfs count="12">
    <x:dxf>
      <x:font>
        <x:color rgb="FFA1281E"/>
      </x:font>
      <x:fill>
        <x:patternFill>
          <x:bgColor rgb="FFFCE0DC"/>
        </x:patternFill>
      </x:fill>
    </x:dxf>
    <x:dxf>
      <x:font>
        <x:color rgb="FFA1281E"/>
      </x:font>
      <x:fill>
        <x:patternFill>
          <x:bgColor rgb="FFFCE0DC"/>
        </x:patternFill>
      </x:fill>
    </x:dxf>
    <x:dxf>
      <x:font>
        <x:color rgb="FFA1281E"/>
      </x:font>
      <x:fill>
        <x:patternFill>
          <x:bgColor rgb="FFFCE0DC"/>
        </x:patternFill>
      </x:fill>
    </x:dxf>
    <x:dxf>
      <x:font>
        <x:color rgb="FFA1281E"/>
      </x:font>
      <x:fill>
        <x:patternFill>
          <x:bgColor rgb="FFFCE0DC"/>
        </x:patternFill>
      </x:fill>
    </x:dxf>
    <x:dxf>
      <x:font>
        <x:color rgb="FFA1281E"/>
      </x:font>
      <x:fill>
        <x:patternFill>
          <x:bgColor rgb="FFFCE0DC"/>
        </x:patternFill>
      </x:fill>
    </x:dxf>
    <x:dxf>
      <x:font>
        <x:color rgb="FF9A251B"/>
      </x:font>
      <x:fill>
        <x:patternFill>
          <x:bgColor rgb="FFFCE0DC"/>
        </x:patternFill>
      </x:fill>
    </x:dxf>
    <x:dxf>
      <x:font>
        <x:color rgb="FF9A251B"/>
      </x:font>
      <x:fill>
        <x:patternFill>
          <x:bgColor rgb="FFFCE0DC"/>
        </x:patternFill>
      </x:fill>
    </x:dxf>
    <x:dxf>
      <x:font>
        <x:color rgb="FF9A251B"/>
      </x:font>
      <x:fill>
        <x:patternFill>
          <x:bgColor rgb="FFFCE0DC"/>
        </x:patternFill>
      </x:fill>
    </x:dxf>
    <x:dxf>
      <x:font>
        <x:color rgb="FF9A251B"/>
      </x:font>
      <x:fill>
        <x:patternFill>
          <x:bgColor rgb="FFFCE0DC"/>
        </x:patternFill>
      </x:fill>
    </x:dxf>
    <x:dxf>
      <x:font>
        <x:color rgb="FFA1281E"/>
      </x:font>
      <x:fill>
        <x:patternFill>
          <x:bgColor rgb="FFFCE0DC"/>
        </x:patternFill>
      </x:fill>
    </x:dxf>
    <x:dxf>
      <x:font>
        <x:color rgb="FFA1281E"/>
      </x:font>
      <x:fill>
        <x:patternFill>
          <x:bgColor rgb="FFFCE0DC"/>
        </x:patternFill>
      </x:fill>
    </x:dxf>
    <x:dxf>
      <x:font>
        <x:color rgb="FFA1281E"/>
      </x:font>
      <x:fill>
        <x:patternFill patternType="solid">
          <x:bgColor rgb="FFFCE0D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6a185b82700b4218" /><Relationship Type="http://schemas.openxmlformats.org/officeDocument/2006/relationships/theme" Target="/xl/theme/theme1.xml" Id="Rdbdc6d722105424a" /><Relationship Type="http://schemas.openxmlformats.org/officeDocument/2006/relationships/sharedStrings" Target="/xl/sharedStrings.xml" Id="Rd8ba9f63ab884d92" /><Relationship Type="http://schemas.openxmlformats.org/officeDocument/2006/relationships/worksheet" Target="/xl/worksheets/sheet1.xml" Id="R7f9bcd4512204168" /><Relationship Type="http://schemas.openxmlformats.org/officeDocument/2006/relationships/worksheet" Target="/xl/worksheets/sheet2.xml" Id="R2bc581d869204273" /><Relationship Type="http://schemas.openxmlformats.org/officeDocument/2006/relationships/worksheet" Target="/xl/worksheets/sheet3.xml" Id="Rc9bfc4e0f99149d0" /><Relationship Type="http://schemas.openxmlformats.org/officeDocument/2006/relationships/worksheet" Target="/xl/worksheets/sheet4.xml" Id="Rb1af5d1612274603" /><Relationship Type="http://schemas.openxmlformats.org/officeDocument/2006/relationships/worksheet" Target="/xl/worksheets/sheet5.xml" Id="R00a0c78f88c441df" /><Relationship Type="http://schemas.openxmlformats.org/officeDocument/2006/relationships/worksheet" Target="/xl/worksheets/sheet6.xml" Id="Rb5961d013c1b4864" /><Relationship Type="http://schemas.openxmlformats.org/officeDocument/2006/relationships/worksheet" Target="/xl/worksheets/sheet7.xml" Id="R8a2cd53b7c174330" /><Relationship Type="http://schemas.openxmlformats.org/officeDocument/2006/relationships/worksheet" Target="/xl/worksheets/sheet8.xml" Id="R91c017842cc44a5b" /><Relationship Type="http://schemas.openxmlformats.org/officeDocument/2006/relationships/worksheet" Target="/xl/worksheets/sheet9.xml" Id="R77e1449154b04f0a" /><Relationship Type="http://schemas.openxmlformats.org/officeDocument/2006/relationships/worksheet" Target="/xl/worksheets/sheet10.xml" Id="R8741ecefc27d4392" /><Relationship Type="http://schemas.openxmlformats.org/officeDocument/2006/relationships/worksheet" Target="/xl/worksheets/sheet11.xml" Id="R9cd600b452be48a7" /><Relationship Type="http://schemas.openxmlformats.org/officeDocument/2006/relationships/worksheet" Target="/xl/worksheets/sheet12.xml" Id="R56f10911226b44a0" /><Relationship Type="http://schemas.openxmlformats.org/officeDocument/2006/relationships/worksheet" Target="/xl/worksheets/sheet13.xml" Id="R39f359eb919b4598" /><Relationship Type="http://schemas.openxmlformats.org/officeDocument/2006/relationships/worksheet" Target="/xl/worksheets/sheet14.xml" Id="Rc88130157d63498b" /><Relationship Type="http://schemas.openxmlformats.org/officeDocument/2006/relationships/worksheet" Target="/xl/worksheets/sheet15.xml" Id="R4498df041bd84e2e" /><Relationship Type="http://schemas.openxmlformats.org/officeDocument/2006/relationships/worksheet" Target="/xl/worksheets/sheet16.xml" Id="Re2ff17fc338a48f4" /><Relationship Type="http://schemas.openxmlformats.org/officeDocument/2006/relationships/worksheet" Target="/xl/worksheets/sheet17.xml" Id="R89c692192f074b8c" /><Relationship Type="http://schemas.openxmlformats.org/officeDocument/2006/relationships/worksheet" Target="/xl/worksheets/sheet18.xml" Id="R1564206bddb74fe8" /><Relationship Type="http://schemas.openxmlformats.org/officeDocument/2006/relationships/worksheet" Target="/xl/worksheets/sheet19.xml" Id="R36af7a2deafa4289" /></Relationships>
</file>

<file path=xl/drawings/_rels/drawing1.xml.rels>&#65279;<?xml version="1.0" encoding="utf-8"?><Relationships xmlns="http://schemas.openxmlformats.org/package/2006/relationships"><Relationship Type="http://schemas.openxmlformats.org/officeDocument/2006/relationships/chart" Target="/xl/drawings/charts/chart1.xml" Id="Rd099f9e68a7940ad"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00">
                <a:latin typeface="Arial"/>
                <a:ea typeface="Arial"/>
                <a:cs typeface="Arial"/>
              </a:rPr>
              <a:t>Δ глобальной CR, п.п. · отдельные варианты</a:t>
            </a:r>
          </a:p>
        </c:rich>
      </c:tx>
      <c:overlay val="0"/>
      <c:txPr>
        <a:bodyPr xmlns:a="http://schemas.openxmlformats.org/drawingml/2006/main" anchorCtr="1"/>
        <a:lstStyle xmlns:a="http://schemas.openxmlformats.org/drawingml/2006/main"/>
        <a:p xmlns:a="http://schemas.openxmlformats.org/drawingml/2006/main">
          <a:pPr>
            <a:defRPr sz="900">
              <a:latin typeface="Arial"/>
              <a:ea typeface="Arial"/>
              <a:cs typeface="Arial"/>
            </a:defRPr>
          </a:pPr>
        </a:p>
      </c:txPr>
    </c:title>
    <c:plotArea>
      <c:barChart>
        <c:barDir val="col"/>
        <c:varyColors val="0"/>
        <c:ser>
          <c:idx val="0"/>
          <c:order val="0"/>
          <c:tx>
            <c:v>Δ global CR, п.п.</c:v>
          </c:tx>
          <c:spPr>
            <a:solidFill xmlns:a="http://schemas.openxmlformats.org/drawingml/2006/main">
              <a:srgbClr val="416AA0"/>
            </a:solidFill>
          </c:spPr>
          <c:invertIfNegative val="0"/>
          <c:cat>
            <c:strRef>
              <c:f>'Итоги'!$M$25:$M$32</c:f>
              <c:strCache>
                <c:ptCount val="0"/>
              </c:strCache>
            </c:strRef>
          </c:cat>
          <c:val>
            <c:numRef>
              <c:f>'Итоги'!$N$25:$N$32</c:f>
              <c:numCache>
                <c:formatCode>0.0000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000" sourceLinked="0"/>
        <c:majorTickMark val="none"/>
        <c:minorTickMark val="none"/>
        <c:txPr>
          <a:bodyPr xmlns:a="http://schemas.openxmlformats.org/drawingml/2006/main" anchorCtr="1"/>
          <a:lstStyle xmlns:a="http://schemas.openxmlformats.org/drawingml/2006/main"/>
          <a:p xmlns:a="http://schemas.openxmlformats.org/drawingml/2006/main">
            <a:pPr>
              <a:defRPr sz="750">
                <a:latin typeface="Arial"/>
                <a:ea typeface="Arial"/>
                <a:cs typeface="Arial"/>
              </a:defRPr>
            </a:pPr>
          </a:p>
        </c:txPr>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12</xdr:col>
      <xdr:colOff>0</xdr:colOff>
      <xdr:row>6</xdr:row>
      <xdr:rowOff>0</xdr:rowOff>
    </xdr:from>
    <xdr:to>
      <xdr:col>20</xdr:col>
      <xdr:colOff>0</xdr:colOff>
      <xdr:row>21</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d099f9e68a7940ad"/>
        </a:graphicData>
      </a:graphic>
    </xdr:graphicFrame>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e65baa9852e74d03" /></Relationships>
</file>

<file path=xl/worksheets/sheet1.xml><?xml version="1.0" encoding="utf-8"?>
<x:worksheet xmlns:x="http://schemas.openxmlformats.org/spreadsheetml/2006/main">
  <x:sheetPr>
    <x:tabColor rgb="FF3A5A8D"/>
  </x:sheetPr>
  <x:sheetViews>
    <x:sheetView showGridLines="0" workbookViewId="0"/>
  </x:sheetViews>
  <x:sheetFormatPr defaultRowHeight="15"/>
  <x:cols>
    <x:col min="1" max="1" width="18" hidden="0" customWidth="1"/>
    <x:col min="2" max="2" width="39" hidden="0" customWidth="1"/>
    <x:col min="3" max="3" width="21"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23" hidden="0" customWidth="1"/>
    <x:col min="12" max="12" width="18" hidden="0" customWidth="1"/>
    <x:col min="13" max="13" width="18" hidden="0" customWidth="1"/>
    <x:col min="14" max="14" width="18" hidden="0" customWidth="1"/>
    <x:col min="15" max="15" width="18" hidden="0" customWidth="1"/>
    <x:col min="16" max="16" width="18" hidden="0" customWidth="1"/>
    <x:col min="17" max="17" width="18" hidden="0" customWidth="1"/>
    <x:col min="18" max="18" width="18" hidden="0" customWidth="1"/>
    <x:col min="19" max="19" width="18" hidden="0" customWidth="1"/>
  </x:cols>
  <x:sheetData>
    <x:row r="1" ht="24" customHeight="1">
      <x:c r="A1" s="1"/>
      <x:c r="B1" s="1"/>
      <x:c r="C1" s="1"/>
      <x:c r="D1" s="1"/>
      <x:c r="E1" s="1"/>
      <x:c r="F1" s="1"/>
      <x:c r="G1" s="1"/>
      <x:c r="H1" s="1"/>
      <x:c r="I1" s="1"/>
      <x:c r="J1" s="1"/>
      <x:c r="K1" s="1"/>
      <x:c r="L1" s="1"/>
      <x:c r="M1" s="1"/>
      <x:c r="N1" s="1"/>
      <x:c r="O1" s="1"/>
      <x:c r="P1" s="1"/>
      <x:c r="Q1" s="1"/>
      <x:c r="R1" s="1"/>
      <x:c r="S1" s="1"/>
    </x:row>
    <x:row r="2" ht="32" customHeight="1">
      <x:c r="A2" s="2" t="str">
        <x:v>Ozon · Корзина — не копилка</x:v>
      </x:c>
      <x:c r="B2" s="1"/>
      <x:c r="C2" s="1"/>
      <x:c r="D2" s="1"/>
      <x:c r="E2" s="1"/>
      <x:c r="F2" s="1"/>
      <x:c r="G2" s="1"/>
      <x:c r="H2" s="1"/>
      <x:c r="I2" s="1"/>
      <x:c r="J2" s="1"/>
      <x:c r="K2" s="1"/>
      <x:c r="L2" s="1"/>
      <x:c r="M2" s="1"/>
      <x:c r="N2" s="1"/>
      <x:c r="O2" s="1"/>
      <x:c r="P2" s="1"/>
      <x:c r="Q2" s="1"/>
      <x:c r="R2" s="1"/>
      <x:c r="S2" s="1"/>
    </x:row>
    <x:row r="3" ht="24" customHeight="1">
      <x:c r="A3" s="1" t="str">
        <x:v>Сценарий</x:v>
      </x:c>
      <x:c r="B3" s="1" t="str">
        <x:f>'Сценарии'!B3</x:f>
        <x:v>Корзины 40+: 30%</x:v>
      </x:c>
      <x:c r="C3" s="1"/>
      <x:c r="D3" s="1" t="str">
        <x:v>Тип результата</x:v>
      </x:c>
      <x:c r="E3" s="1" t="str">
        <x:v>Условный расчёт, не прогноз</x:v>
      </x:c>
      <x:c r="F3" s="1"/>
      <x:c r="G3" s="1"/>
      <x:c r="H3" s="1"/>
      <x:c r="I3" s="1"/>
      <x:c r="J3" s="1"/>
      <x:c r="K3" s="1"/>
      <x:c r="L3" s="1"/>
      <x:c r="M3" s="1"/>
      <x:c r="N3" s="1"/>
      <x:c r="O3" s="1"/>
      <x:c r="P3" s="1"/>
      <x:c r="Q3" s="1"/>
      <x:c r="R3" s="1"/>
      <x:c r="S3" s="1"/>
    </x:row>
    <x:row r="4" ht="24" customHeight="1">
      <x:c r="A4" s="1"/>
      <x:c r="B4" s="1"/>
      <x:c r="C4" s="1"/>
      <x:c r="D4" s="1"/>
      <x:c r="E4" s="1"/>
      <x:c r="F4" s="1"/>
      <x:c r="G4" s="1"/>
      <x:c r="H4" s="1"/>
      <x:c r="I4" s="1"/>
      <x:c r="J4" s="1"/>
      <x:c r="K4" s="1"/>
      <x:c r="L4" s="1"/>
      <x:c r="M4" s="1"/>
      <x:c r="N4" s="1"/>
      <x:c r="O4" s="1"/>
      <x:c r="P4" s="1"/>
      <x:c r="Q4" s="1"/>
      <x:c r="R4" s="1"/>
      <x:c r="S4" s="1"/>
    </x:row>
    <x:row r="5" ht="24" customHeight="1">
      <x:c r="A5" s="1" t="str">
        <x:v>Глобальная CR0</x:v>
      </x:c>
      <x:c r="B5" s="8">
        <x:f>'Параметры'!B27</x:f>
        <x:v>0.14999999999999997</x:v>
      </x:c>
      <x:c r="C5" s="1"/>
      <x:c r="D5" s="1" t="str">
        <x:v>DAU Ozon</x:v>
      </x:c>
      <x:c r="E5" s="21">
        <x:f>'Параметры'!B8</x:f>
        <x:v>44000000</x:v>
      </x:c>
      <x:c r="F5" s="1"/>
      <x:c r="G5" s="1" t="str">
        <x:v>Проверка базы</x:v>
      </x:c>
      <x:c r="H5" s="1" t="str">
        <x:f>IF(AND('Параметры'!B28=1,'Когорты'!X10=1),"OK","Исправить ввод")</x:f>
        <x:v>OK</x:v>
      </x:c>
      <x:c r="I5" s="1"/>
      <x:c r="J5" s="1"/>
      <x:c r="K5" s="1"/>
      <x:c r="L5" s="1"/>
      <x:c r="M5" s="1"/>
      <x:c r="N5" s="1"/>
      <x:c r="O5" s="1"/>
      <x:c r="P5" s="1"/>
      <x:c r="Q5" s="1"/>
      <x:c r="R5" s="1"/>
      <x:c r="S5" s="1"/>
    </x:row>
    <x:row r="6" ht="24" customHeight="1">
      <x:c r="A6" s="1" t="str">
        <x:v>+10% относительно CR цели. Штрафы и охват — допущения. Все H сравниваются отдельно с одной базой.</x:v>
      </x:c>
      <x:c r="B6" s="1"/>
      <x:c r="C6" s="1"/>
      <x:c r="D6" s="1"/>
      <x:c r="E6" s="1"/>
      <x:c r="F6" s="1"/>
      <x:c r="G6" s="1"/>
      <x:c r="H6" s="1"/>
      <x:c r="I6" s="1"/>
      <x:c r="J6" s="1"/>
      <x:c r="K6" s="1"/>
      <x:c r="L6" s="1"/>
      <x:c r="M6" s="1"/>
      <x:c r="N6" s="1"/>
      <x:c r="O6" s="1"/>
      <x:c r="P6" s="1"/>
      <x:c r="Q6" s="1"/>
      <x:c r="R6" s="1"/>
      <x:c r="S6" s="1"/>
    </x:row>
    <x:row r="7" ht="50" customHeight="1">
      <x:c r="A7" s="7" t="str">
        <x:v>H</x:v>
      </x:c>
      <x:c r="B7" s="7" t="str">
        <x:v>Решение</x:v>
      </x:c>
      <x:c r="C7" s="7" t="str">
        <x:v>Вход</x:v>
      </x:c>
      <x:c r="D7" s="7" t="str">
        <x:v>Целевых людей</x:v>
      </x:c>
      <x:c r="E7" s="7" t="str">
        <x:v>Δ покупателей</x:v>
      </x:c>
      <x:c r="F7" s="7" t="str">
        <x:v>Δ global CR, п.п.</x:v>
      </x:c>
      <x:c r="G7" s="7" t="str">
        <x:v>Δ global CR, %</x:v>
      </x:c>
      <x:c r="H7" s="7" t="str">
        <x:v>Guard CR C</x:v>
      </x:c>
      <x:c r="I7" s="7" t="str">
        <x:v>Guard CR F</x:v>
      </x:c>
      <x:c r="J7" s="7" t="str">
        <x:v>Guard ARPU</x:v>
      </x:c>
      <x:c r="K7" s="7" t="str">
        <x:v>Сценарий</x:v>
      </x:c>
      <x:c r="L7" s="1"/>
      <x:c r="M7" s="1"/>
      <x:c r="N7" s="1"/>
      <x:c r="O7" s="1"/>
      <x:c r="P7" s="1"/>
      <x:c r="Q7" s="1"/>
      <x:c r="R7" s="1"/>
      <x:c r="S7" s="1"/>
    </x:row>
    <x:row r="8" ht="24" customHeight="1">
      <x:c r="A8" s="1" t="str">
        <x:v>H1</x:v>
      </x:c>
      <x:c r="B8" s="1" t="str">
        <x:v>Поиск и фильтры в Корзине</x:v>
      </x:c>
      <x:c r="C8" s="1" t="str">
        <x:v>Корзина</x:v>
      </x:c>
      <x:c r="D8" s="12">
        <x:f>IF('Расчёт'!S140=1,'Расчёт'!C140,"Исправить ввод")</x:f>
        <x:v>3432000</x:v>
      </x:c>
      <x:c r="E8" s="12">
        <x:f>IF('Расчёт'!S140=1,'Расчёт'!U140,"Исправить ввод")</x:f>
        <x:v>23258.62785254512</x:v>
      </x:c>
      <x:c r="F8" s="16">
        <x:f>IF('Расчёт'!S140=1,'Расчёт'!V140*100,"Исправить ввод")</x:f>
        <x:v>0.052860517846693447</x:v>
      </x:c>
      <x:c r="G8" s="8">
        <x:f>IF('Расчёт'!S140=1,'Расчёт'!AF140,"Исправить ввод")</x:f>
        <x:v>0.0035240345231128977</x:v>
      </x:c>
      <x:c r="H8" s="24" t="str">
        <x:f>IF('Расчёт'!S140=1,IF('Расчёт'!AC140=1,"OK","Падение"),"Исправить ввод")</x:f>
        <x:v>OK</x:v>
      </x:c>
      <x:c r="I8" s="24" t="str">
        <x:f>IF('Расчёт'!S140=1,IF('Расчёт'!AD140=1,"OK","Падение"),"Исправить ввод")</x:f>
        <x:v>OK</x:v>
      </x:c>
      <x:c r="J8" s="24" t="str">
        <x:f>IF('Расчёт'!S140=1,IF('Расчёт'!AE140=1,"OK","Падение"),"Исправить ввод")</x:f>
        <x:v>OK</x:v>
      </x:c>
      <x:c r="K8" s="1" t="str">
        <x:f>IF('Сценарии'!V3=0,"Внешний сценарий",IF('Сценарии'!V3=0,"Внешний сценарий",IF('Сценарии'!V3=0,"Внешний сценарий",IF('Расчёт'!S140=1,IF(AND(E8&gt;0,H8="OK",I8="OK",J8="OK"),"Проходит условно","Не проходит"),"Исправить ввод"))))</x:f>
        <x:v>Проходит условно</x:v>
      </x:c>
      <x:c r="L8" s="1"/>
      <x:c r="M8" s="1"/>
      <x:c r="N8" s="1"/>
      <x:c r="O8" s="1"/>
      <x:c r="P8" s="1"/>
      <x:c r="Q8" s="1"/>
      <x:c r="R8" s="1"/>
      <x:c r="S8" s="1"/>
    </x:row>
    <x:row r="9" ht="24" customHeight="1">
      <x:c r="A9" s="1" t="str">
        <x:v>H2</x:v>
      </x:c>
      <x:c r="B9" s="1" t="str">
        <x:v>Сохранение выбранного SKU</x:v>
      </x:c>
      <x:c r="C9" s="1" t="str">
        <x:v>Оба раздела</x:v>
      </x:c>
      <x:c r="D9" s="12">
        <x:f>IF('Расчёт'!S141=1,'Расчёт'!C141,"Исправить ввод")</x:f>
        <x:v>6692400</x:v>
      </x:c>
      <x:c r="E9" s="12">
        <x:f>IF('Расчёт'!S141=1,'Расчёт'!U141,"Исправить ввод")</x:f>
        <x:v>72953.847279110923</x:v>
      </x:c>
      <x:c r="F9" s="16">
        <x:f>IF('Расчёт'!S141=1,'Расчёт'!V141*100,"Исправить ввод")</x:f>
        <x:v>0.16580419836161572</x:v>
      </x:c>
      <x:c r="G9" s="8">
        <x:f>IF('Расчёт'!S141=1,'Расчёт'!AF141,"Исправить ввод")</x:f>
        <x:v>0.011053613224107719</x:v>
      </x:c>
      <x:c r="H9" s="24" t="str">
        <x:f>IF('Расчёт'!S141=1,IF('Расчёт'!AC141=1,"OK","Падение"),"Исправить ввод")</x:f>
        <x:v>OK</x:v>
      </x:c>
      <x:c r="I9" s="24" t="str">
        <x:f>IF('Расчёт'!S141=1,IF('Расчёт'!AD141=1,"OK","Падение"),"Исправить ввод")</x:f>
        <x:v>OK</x:v>
      </x:c>
      <x:c r="J9" s="24" t="str">
        <x:f>IF('Расчёт'!S141=1,IF('Расчёт'!AE141=1,"OK","Падение"),"Исправить ввод")</x:f>
        <x:v>OK</x:v>
      </x:c>
      <x:c r="K9" s="1" t="str">
        <x:f>IF('Сценарии'!V3=0,"Внешний сценарий",IF('Сценарии'!V3=0,"Внешний сценарий",IF('Сценарии'!V3=0,"Внешний сценарий",IF('Расчёт'!S141=1,IF(AND(E9&gt;0,H9="OK",I9="OK",J9="OK"),"Проходит условно","Не проходит"),"Исправить ввод"))))</x:f>
        <x:v>Проходит условно</x:v>
      </x:c>
      <x:c r="L9" s="1"/>
      <x:c r="M9" s="1"/>
      <x:c r="N9" s="1"/>
      <x:c r="O9" s="1"/>
      <x:c r="P9" s="1"/>
      <x:c r="Q9" s="1"/>
      <x:c r="R9" s="1"/>
      <x:c r="S9" s="1"/>
    </x:row>
    <x:row r="10" ht="24" customHeight="1">
      <x:c r="A10" s="1" t="str">
        <x:v>H3</x:v>
      </x:c>
      <x:c r="B10" s="1" t="str">
        <x:v>Купить сейчас / На потом</x:v>
      </x:c>
      <x:c r="C10" s="1" t="str">
        <x:v>Корзина</x:v>
      </x:c>
      <x:c r="D10" s="12">
        <x:f>IF('Расчёт'!S142=1,'Расчёт'!C142,"Исправить ввод")</x:f>
        <x:v>5434000</x:v>
      </x:c>
      <x:c r="E10" s="12">
        <x:f>IF('Расчёт'!S142=1,'Расчёт'!U142,"Исправить ввод")</x:f>
        <x:v>50861.539643066004</x:v>
      </x:c>
      <x:c r="F10" s="16">
        <x:f>IF('Расчёт'!S142=1,'Расчёт'!V142*100,"Исправить ввод")</x:f>
        <x:v>0.11559440827969547</x:v>
      </x:c>
      <x:c r="G10" s="8">
        <x:f>IF('Расчёт'!S142=1,'Расчёт'!AF142,"Исправить ввод")</x:f>
        <x:v>0.0077062938853130333</x:v>
      </x:c>
      <x:c r="H10" s="24" t="str">
        <x:f>IF('Расчёт'!S142=1,IF('Расчёт'!AC142=1,"OK","Падение"),"Исправить ввод")</x:f>
        <x:v>OK</x:v>
      </x:c>
      <x:c r="I10" s="24" t="str">
        <x:f>IF('Расчёт'!S142=1,IF('Расчёт'!AD142=1,"OK","Падение"),"Исправить ввод")</x:f>
        <x:v>OK</x:v>
      </x:c>
      <x:c r="J10" s="24" t="str">
        <x:f>IF('Расчёт'!S142=1,IF('Расчёт'!AE142=1,"OK","Падение"),"Исправить ввод")</x:f>
        <x:v>OK</x:v>
      </x:c>
      <x:c r="K10" s="1" t="str">
        <x:f>IF('Сценарии'!V3=0,"Внешний сценарий",IF('Сценарии'!V3=0,"Внешний сценарий",IF('Сценарии'!V3=0,"Внешний сценарий",IF('Расчёт'!S142=1,IF(AND(E10&gt;0,H10="OK",I10="OK",J10="OK"),"Проходит условно","Не проходит"),"Исправить ввод"))))</x:f>
        <x:v>Проходит условно</x:v>
      </x:c>
      <x:c r="L10" s="1"/>
      <x:c r="M10" s="1"/>
      <x:c r="N10" s="1"/>
      <x:c r="O10" s="1"/>
      <x:c r="P10" s="1"/>
      <x:c r="Q10" s="1"/>
      <x:c r="R10" s="1"/>
      <x:c r="S10" s="1"/>
    </x:row>
    <x:row r="11" ht="24" customHeight="1">
      <x:c r="A11" s="1" t="str">
        <x:v>H4</x:v>
      </x:c>
      <x:c r="B11" s="1" t="str">
        <x:v>Сквозной поиск</x:v>
      </x:c>
      <x:c r="C11" s="1" t="str">
        <x:v>Оба раздела</x:v>
      </x:c>
      <x:c r="D11" s="12">
        <x:f>IF('Расчёт'!S143=1,'Расчёт'!C143,"Исправить ввод")</x:f>
        <x:v>7436000</x:v>
      </x:c>
      <x:c r="E11" s="12">
        <x:f>IF('Расчёт'!S143=1,'Расчёт'!U143,"Исправить ввод")</x:f>
        <x:v>77479.621562317014</x:v>
      </x:c>
      <x:c r="F11" s="16">
        <x:f>IF('Расчёт'!S143=1,'Расчёт'!V143*100,"Исправить ввод")</x:f>
        <x:v>0.17609004900526595</x:v>
      </x:c>
      <x:c r="G11" s="8">
        <x:f>IF('Расчёт'!S143=1,'Расчёт'!AF143,"Исправить ввод")</x:f>
        <x:v>0.011739336600351065</x:v>
      </x:c>
      <x:c r="H11" s="24" t="str">
        <x:f>IF('Расчёт'!S143=1,IF('Расчёт'!AC143=1,"OK","Падение"),"Исправить ввод")</x:f>
        <x:v>OK</x:v>
      </x:c>
      <x:c r="I11" s="24" t="str">
        <x:f>IF('Расчёт'!S143=1,IF('Расчёт'!AD143=1,"OK","Падение"),"Исправить ввод")</x:f>
        <x:v>OK</x:v>
      </x:c>
      <x:c r="J11" s="24" t="str">
        <x:f>IF('Расчёт'!S143=1,IF('Расчёт'!AE143=1,"OK","Падение"),"Исправить ввод")</x:f>
        <x:v>OK</x:v>
      </x:c>
      <x:c r="K11" s="1" t="str">
        <x:f>IF('Сценарии'!V3=0,"Внешний сценарий",IF('Сценарии'!V3=0,"Внешний сценарий",IF('Сценарии'!V3=0,"Внешний сценарий",IF('Расчёт'!S143=1,IF(AND(E11&gt;0,H11="OK",I11="OK",J11="OK"),"Проходит условно","Не проходит"),"Исправить ввод"))))</x:f>
        <x:v>Проходит условно</x:v>
      </x:c>
      <x:c r="L11" s="1"/>
      <x:c r="M11" s="1"/>
      <x:c r="N11" s="1"/>
      <x:c r="O11" s="1"/>
      <x:c r="P11" s="1"/>
      <x:c r="Q11" s="1"/>
      <x:c r="R11" s="1"/>
      <x:c r="S11" s="1"/>
    </x:row>
    <x:row r="12" ht="24" customHeight="1">
      <x:c r="A12" s="1" t="str">
        <x:v>H5</x:v>
      </x:c>
      <x:c r="B12" s="1" t="str">
        <x:v>Ускоренная покупка из F</x:v>
      </x:c>
      <x:c r="C12" s="1" t="str">
        <x:v>Избранное</x:v>
      </x:c>
      <x:c r="D12" s="12">
        <x:f>IF('Расчёт'!S144=1,'Расчёт'!C144,"Исправить ввод")</x:f>
        <x:v>1830400</x:v>
      </x:c>
      <x:c r="E12" s="12">
        <x:f>IF('Расчёт'!S144=1,'Расчёт'!U144,"Исправить ввод")</x:f>
        <x:v>14359.576360444538</x:v>
      </x:c>
      <x:c r="F12" s="16">
        <x:f>IF('Расчёт'!S144=1,'Расчёт'!V144*100,"Исправить ввод")</x:f>
        <x:v>0.032635400819192133</x:v>
      </x:c>
      <x:c r="G12" s="8">
        <x:f>IF('Расчёт'!S144=1,'Расчёт'!AF144,"Исправить ввод")</x:f>
        <x:v>0.0021756933879461429</x:v>
      </x:c>
      <x:c r="H12" s="24" t="str">
        <x:f>IF('Расчёт'!S144=1,IF('Расчёт'!AC144=1,"OK","Падение"),"Исправить ввод")</x:f>
        <x:v>OK</x:v>
      </x:c>
      <x:c r="I12" s="24" t="str">
        <x:f>IF('Расчёт'!S144=1,IF('Расчёт'!AD144=1,"OK","Падение"),"Исправить ввод")</x:f>
        <x:v>OK</x:v>
      </x:c>
      <x:c r="J12" s="24" t="str">
        <x:f>IF('Расчёт'!S144=1,IF('Расчёт'!AE144=1,"OK","Падение"),"Исправить ввод")</x:f>
        <x:v>OK</x:v>
      </x:c>
      <x:c r="K12" s="1" t="str">
        <x:f>IF('Сценарии'!V3=0,"Внешний сценарий",IF('Сценарии'!V3=0,"Внешний сценарий",IF('Сценарии'!V3=0,"Внешний сценарий",IF('Расчёт'!S144=1,IF(AND(E12&gt;0,H12="OK",I12="OK",J12="OK"),"Проходит условно","Не проходит"),"Исправить ввод"))))</x:f>
        <x:v>Проходит условно</x:v>
      </x:c>
      <x:c r="L12" s="1"/>
      <x:c r="M12" s="1"/>
      <x:c r="N12" s="1"/>
      <x:c r="O12" s="1"/>
      <x:c r="P12" s="1"/>
      <x:c r="Q12" s="1"/>
      <x:c r="R12" s="1"/>
      <x:c r="S12" s="1"/>
    </x:row>
    <x:row r="13" ht="24" customHeight="1">
      <x:c r="A13" s="17" t="str">
        <x:v>H6</x:v>
      </x:c>
      <x:c r="B13" s="17" t="str">
        <x:v>Выбранная альтернатива H6</x:v>
      </x:c>
      <x:c r="C13" s="17" t="str">
        <x:v>Избранное</x:v>
      </x:c>
      <x:c r="D13" s="18">
        <x:f>CHOOSE('Параметры'!B5,D14,D15,D16)</x:f>
        <x:v>1029600</x:v>
      </x:c>
      <x:c r="E13" s="18">
        <x:f>CHOOSE('Параметры'!B5,E14,E15,E16)</x:f>
        <x:v>8255.1749561149627</x:v>
      </x:c>
      <x:c r="F13" s="19">
        <x:f>CHOOSE('Параметры'!B5,F14,F15,F16)</x:f>
        <x:v>0.018761761263897642</x:v>
      </x:c>
      <x:c r="G13" s="20">
        <x:f>CHOOSE('Параметры'!B5,G14,G15,G16)</x:f>
        <x:v>0.0012507840842598433</x:v>
      </x:c>
      <x:c r="H13" s="25" t="str">
        <x:f>CHOOSE('Параметры'!B5,H14,H15,H16)</x:f>
        <x:v>OK</x:v>
      </x:c>
      <x:c r="I13" s="25" t="str">
        <x:f>CHOOSE('Параметры'!B5,I14,I15,I16)</x:f>
        <x:v>OK</x:v>
      </x:c>
      <x:c r="J13" s="25" t="str">
        <x:f>CHOOSE('Параметры'!B5,J14,J15,J16)</x:f>
        <x:v>OK</x:v>
      </x:c>
      <x:c r="K13" s="17" t="str">
        <x:f>CHOOSE('Параметры'!B5,K14,K15,K16)</x:f>
        <x:v>Проходит условно</x:v>
      </x:c>
      <x:c r="L13" s="1"/>
      <x:c r="M13" s="1"/>
      <x:c r="N13" s="1"/>
      <x:c r="O13" s="1"/>
      <x:c r="P13" s="1"/>
      <x:c r="Q13" s="1"/>
      <x:c r="R13" s="1"/>
      <x:c r="S13" s="1"/>
    </x:row>
    <x:row r="14" ht="24" customHeight="1">
      <x:c r="A14" s="1" t="str">
        <x:v>H6.1</x:v>
      </x:c>
      <x:c r="B14" s="1" t="str">
        <x:v>Сравнение сохранённых</x:v>
      </x:c>
      <x:c r="C14" s="1" t="str">
        <x:v>Избранное</x:v>
      </x:c>
      <x:c r="D14" s="12">
        <x:f>IF('Расчёт'!S145=1,'Расчёт'!C145,"Исправить ввод")</x:f>
        <x:v>1029600</x:v>
      </x:c>
      <x:c r="E14" s="12">
        <x:f>IF('Расчёт'!S145=1,'Расчёт'!U145,"Исправить ввод")</x:f>
        <x:v>8255.1749561149627</x:v>
      </x:c>
      <x:c r="F14" s="16">
        <x:f>IF('Расчёт'!S145=1,'Расчёт'!V145*100,"Исправить ввод")</x:f>
        <x:v>0.018761761263897642</x:v>
      </x:c>
      <x:c r="G14" s="8">
        <x:f>IF('Расчёт'!S145=1,'Расчёт'!AF145,"Исправить ввод")</x:f>
        <x:v>0.0012507840842598433</x:v>
      </x:c>
      <x:c r="H14" s="24" t="str">
        <x:f>IF('Расчёт'!S145=1,IF('Расчёт'!AC145=1,"OK","Падение"),"Исправить ввод")</x:f>
        <x:v>OK</x:v>
      </x:c>
      <x:c r="I14" s="24" t="str">
        <x:f>IF('Расчёт'!S145=1,IF('Расчёт'!AD145=1,"OK","Падение"),"Исправить ввод")</x:f>
        <x:v>OK</x:v>
      </x:c>
      <x:c r="J14" s="24" t="str">
        <x:f>IF('Расчёт'!S145=1,IF('Расчёт'!AE145=1,"OK","Падение"),"Исправить ввод")</x:f>
        <x:v>OK</x:v>
      </x:c>
      <x:c r="K14" s="1" t="str">
        <x:f>IF('Сценарии'!V3=0,"Внешний сценарий",IF('Сценарии'!V3=0,"Внешний сценарий",IF('Сценарии'!V3=0,"Внешний сценарий",IF('Расчёт'!S145=1,IF(AND(E14&gt;0,H14="OK",I14="OK",J14="OK"),"Проходит условно","Не проходит"),"Исправить ввод"))))</x:f>
        <x:v>Проходит условно</x:v>
      </x:c>
      <x:c r="L14" s="1"/>
      <x:c r="M14" s="1"/>
      <x:c r="N14" s="1"/>
      <x:c r="O14" s="1"/>
      <x:c r="P14" s="1"/>
      <x:c r="Q14" s="1"/>
      <x:c r="R14" s="1"/>
      <x:c r="S14" s="1"/>
    </x:row>
    <x:row r="15" ht="24" customHeight="1">
      <x:c r="A15" s="1" t="str">
        <x:v>H6.2</x:v>
      </x:c>
      <x:c r="B15" s="1" t="str">
        <x:v>Отбор по условиям покупки</x:v>
      </x:c>
      <x:c r="C15" s="1" t="str">
        <x:v>Избранное</x:v>
      </x:c>
      <x:c r="D15" s="12">
        <x:f>IF('Расчёт'!S146=1,'Расчёт'!C146,"Исправить ввод")</x:f>
        <x:v>1029600</x:v>
      </x:c>
      <x:c r="E15" s="12">
        <x:f>IF('Расчёт'!S146=1,'Расчёт'!U146,"Исправить ввод")</x:f>
        <x:v>8255.1749561149627</x:v>
      </x:c>
      <x:c r="F15" s="16">
        <x:f>IF('Расчёт'!S146=1,'Расчёт'!V146*100,"Исправить ввод")</x:f>
        <x:v>0.018761761263897642</x:v>
      </x:c>
      <x:c r="G15" s="8">
        <x:f>IF('Расчёт'!S146=1,'Расчёт'!AF146,"Исправить ввод")</x:f>
        <x:v>0.0012507840842598433</x:v>
      </x:c>
      <x:c r="H15" s="24" t="str">
        <x:f>IF('Расчёт'!S146=1,IF('Расчёт'!AC146=1,"OK","Падение"),"Исправить ввод")</x:f>
        <x:v>OK</x:v>
      </x:c>
      <x:c r="I15" s="24" t="str">
        <x:f>IF('Расчёт'!S146=1,IF('Расчёт'!AD146=1,"OK","Падение"),"Исправить ввод")</x:f>
        <x:v>OK</x:v>
      </x:c>
      <x:c r="J15" s="24" t="str">
        <x:f>IF('Расчёт'!S146=1,IF('Расчёт'!AE146=1,"OK","Падение"),"Исправить ввод")</x:f>
        <x:v>OK</x:v>
      </x:c>
      <x:c r="K15" s="1" t="str">
        <x:f>IF('Сценарии'!V3=0,"Внешний сценарий",IF('Сценарии'!V3=0,"Внешний сценарий",IF('Сценарии'!V3=0,"Внешний сценарий",IF('Расчёт'!S146=1,IF(AND(E15&gt;0,H15="OK",I15="OK",J15="OK"),"Проходит условно","Не проходит"),"Исправить ввод"))))</x:f>
        <x:v>Проходит условно</x:v>
      </x:c>
      <x:c r="L15" s="1"/>
      <x:c r="M15" s="1"/>
      <x:c r="N15" s="1"/>
      <x:c r="O15" s="1"/>
      <x:c r="P15" s="1"/>
      <x:c r="Q15" s="1"/>
      <x:c r="R15" s="1"/>
      <x:c r="S15" s="1"/>
    </x:row>
    <x:row r="16" ht="24" customHeight="1">
      <x:c r="A16" s="1" t="str">
        <x:v>H6.3</x:v>
      </x:c>
      <x:c r="B16" s="1" t="str">
        <x:v>Шорт-лист фаворитов</x:v>
      </x:c>
      <x:c r="C16" s="1" t="str">
        <x:v>Избранное</x:v>
      </x:c>
      <x:c r="D16" s="12">
        <x:f>IF('Расчёт'!S147=1,'Расчёт'!C147,"Исправить ввод")</x:f>
        <x:v>1029600</x:v>
      </x:c>
      <x:c r="E16" s="12">
        <x:f>IF('Расчёт'!S147=1,'Расчёт'!U147,"Исправить ввод")</x:f>
        <x:v>8255.1749561149627</x:v>
      </x:c>
      <x:c r="F16" s="16">
        <x:f>IF('Расчёт'!S147=1,'Расчёт'!V147*100,"Исправить ввод")</x:f>
        <x:v>0.018761761263897642</x:v>
      </x:c>
      <x:c r="G16" s="8">
        <x:f>IF('Расчёт'!S147=1,'Расчёт'!AF147,"Исправить ввод")</x:f>
        <x:v>0.0012507840842598433</x:v>
      </x:c>
      <x:c r="H16" s="24" t="str">
        <x:f>IF('Расчёт'!S147=1,IF('Расчёт'!AC147=1,"OK","Падение"),"Исправить ввод")</x:f>
        <x:v>OK</x:v>
      </x:c>
      <x:c r="I16" s="24" t="str">
        <x:f>IF('Расчёт'!S147=1,IF('Расчёт'!AD147=1,"OK","Падение"),"Исправить ввод")</x:f>
        <x:v>OK</x:v>
      </x:c>
      <x:c r="J16" s="24" t="str">
        <x:f>IF('Расчёт'!S147=1,IF('Расчёт'!AE147=1,"OK","Падение"),"Исправить ввод")</x:f>
        <x:v>OK</x:v>
      </x:c>
      <x:c r="K16" s="1" t="str">
        <x:f>IF('Сценарии'!V3=0,"Внешний сценарий",IF('Сценарии'!V3=0,"Внешний сценарий",IF('Сценарии'!V3=0,"Внешний сценарий",IF('Расчёт'!S147=1,IF(AND(E16&gt;0,H16="OK",I16="OK",J16="OK"),"Проходит условно","Не проходит"),"Исправить ввод"))))</x:f>
        <x:v>Проходит условно</x:v>
      </x:c>
      <x:c r="L16" s="1"/>
      <x:c r="M16" s="1"/>
      <x:c r="N16" s="1"/>
      <x:c r="O16" s="1"/>
      <x:c r="P16" s="1"/>
      <x:c r="Q16" s="1"/>
      <x:c r="R16" s="1"/>
      <x:c r="S16" s="1"/>
    </x:row>
    <x:row r="17" ht="24" customHeight="1">
      <x:c r="A17" s="1"/>
      <x:c r="B17" s="1"/>
      <x:c r="C17" s="1"/>
      <x:c r="D17" s="1"/>
      <x:c r="E17" s="1"/>
      <x:c r="F17" s="1"/>
      <x:c r="G17" s="1"/>
      <x:c r="H17" s="1"/>
      <x:c r="I17" s="1"/>
      <x:c r="J17" s="1"/>
      <x:c r="K17" s="1"/>
      <x:c r="L17" s="1"/>
      <x:c r="M17" s="1"/>
      <x:c r="N17" s="1"/>
      <x:c r="O17" s="1"/>
      <x:c r="P17" s="1"/>
      <x:c r="Q17" s="1"/>
      <x:c r="R17" s="1"/>
      <x:c r="S17" s="1"/>
    </x:row>
    <x:row r="18" ht="24" customHeight="1">
      <x:c r="A18" s="1"/>
      <x:c r="B18" s="1"/>
      <x:c r="C18" s="1"/>
      <x:c r="D18" s="1"/>
      <x:c r="E18" s="1"/>
      <x:c r="F18" s="1"/>
      <x:c r="G18" s="1"/>
      <x:c r="H18" s="1"/>
      <x:c r="I18" s="1"/>
      <x:c r="J18" s="1"/>
      <x:c r="K18" s="1"/>
      <x:c r="L18" s="1"/>
      <x:c r="M18" s="1"/>
      <x:c r="N18" s="1"/>
      <x:c r="O18" s="1"/>
      <x:c r="P18" s="1"/>
      <x:c r="Q18" s="1"/>
      <x:c r="R18" s="1"/>
      <x:c r="S18" s="1"/>
    </x:row>
    <x:row r="19" ht="24" customHeight="1">
      <x:c r="A19" s="1" t="str">
        <x:v>H6 — одна альтернатива, а не сумма трёх. Нельзя складывать строки H и получать общий эффект.</x:v>
      </x:c>
      <x:c r="B19" s="1"/>
      <x:c r="C19" s="1"/>
      <x:c r="D19" s="1"/>
      <x:c r="E19" s="1"/>
      <x:c r="F19" s="1"/>
      <x:c r="G19" s="1"/>
      <x:c r="H19" s="1"/>
      <x:c r="I19" s="1"/>
      <x:c r="J19" s="1"/>
      <x:c r="K19" s="1"/>
      <x:c r="L19" s="1"/>
      <x:c r="M19" s="1"/>
      <x:c r="N19" s="1"/>
      <x:c r="O19" s="1"/>
      <x:c r="P19" s="1"/>
      <x:c r="Q19" s="1"/>
      <x:c r="R19" s="1"/>
      <x:c r="S19" s="1"/>
    </x:row>
    <x:row r="20" ht="24" customHeight="1">
      <x:c r="A20" s="1" t="str">
        <x:v>Публичный масштаб: март 2026. Пользователи/эффекты являются условной экстраполяцией; см. «Масштаб».</x:v>
      </x:c>
      <x:c r="B20" s="1"/>
      <x:c r="C20" s="1"/>
      <x:c r="D20" s="1"/>
      <x:c r="E20" s="1"/>
      <x:c r="F20" s="1"/>
      <x:c r="G20" s="1"/>
      <x:c r="H20" s="1"/>
      <x:c r="I20" s="1"/>
      <x:c r="J20" s="1"/>
      <x:c r="K20" s="1"/>
      <x:c r="L20" s="1"/>
      <x:c r="M20" s="1"/>
      <x:c r="N20" s="1"/>
      <x:c r="O20" s="1"/>
      <x:c r="P20" s="1"/>
      <x:c r="Q20" s="1"/>
      <x:c r="R20" s="1"/>
      <x:c r="S20" s="1"/>
    </x:row>
    <x:row r="21" ht="24" customHeight="1">
      <x:c r="A21" s="1"/>
      <x:c r="B21" s="1"/>
      <x:c r="C21" s="1"/>
      <x:c r="D21" s="1"/>
      <x:c r="E21" s="1"/>
      <x:c r="F21" s="1"/>
      <x:c r="G21" s="1"/>
      <x:c r="H21" s="1"/>
      <x:c r="I21" s="1"/>
      <x:c r="J21" s="1"/>
      <x:c r="K21" s="1"/>
      <x:c r="L21" s="1"/>
      <x:c r="M21" s="1"/>
      <x:c r="N21" s="1"/>
      <x:c r="O21" s="1"/>
      <x:c r="P21" s="1"/>
      <x:c r="Q21" s="1"/>
      <x:c r="R21" s="1"/>
      <x:c r="S21" s="1"/>
    </x:row>
    <x:row r="22" ht="24" customHeight="1">
      <x:c r="A22" s="1"/>
      <x:c r="B22" s="1"/>
      <x:c r="C22" s="1"/>
      <x:c r="D22" s="1"/>
      <x:c r="E22" s="1"/>
      <x:c r="F22" s="1"/>
      <x:c r="G22" s="1"/>
      <x:c r="H22" s="1"/>
      <x:c r="I22" s="1"/>
      <x:c r="J22" s="1"/>
      <x:c r="K22" s="1"/>
      <x:c r="L22" s="1"/>
      <x:c r="M22" s="1"/>
      <x:c r="N22" s="1"/>
      <x:c r="O22" s="1"/>
      <x:c r="P22" s="1"/>
      <x:c r="Q22" s="1"/>
      <x:c r="R22" s="1"/>
      <x:c r="S22" s="1"/>
    </x:row>
    <x:row r="23" ht="50" customHeight="1">
      <x:c r="A23" s="7" t="str">
        <x:v>H</x:v>
      </x:c>
      <x:c r="B23" s="7" t="str">
        <x:v>Global CR0</x:v>
      </x:c>
      <x:c r="C23" s="7" t="str">
        <x:v>Global CR1</x:v>
      </x:c>
      <x:c r="D23" s="7" t="str">
        <x:v>CR C0</x:v>
      </x:c>
      <x:c r="E23" s="7" t="str">
        <x:v>CR C1</x:v>
      </x:c>
      <x:c r="F23" s="7" t="str">
        <x:v>CR F0</x:v>
      </x:c>
      <x:c r="G23" s="7" t="str">
        <x:v>CR F1</x:v>
      </x:c>
      <x:c r="H23" s="7" t="str">
        <x:v>ARPU0, у.е.</x:v>
      </x:c>
      <x:c r="I23" s="7" t="str">
        <x:v>ARPU1, у.е.</x:v>
      </x:c>
      <x:c r="J23" s="7" t="str">
        <x:v>Δ ARPU, %</x:v>
      </x:c>
      <x:c r="K23" s="7" t="str">
        <x:v>Потери базы, людей</x:v>
      </x:c>
      <x:c r="L23" s="1"/>
      <x:c r="M23" s="1"/>
      <x:c r="N23" s="1"/>
      <x:c r="O23" s="1"/>
      <x:c r="P23" s="1"/>
      <x:c r="Q23" s="1"/>
      <x:c r="R23" s="1"/>
      <x:c r="S23" s="1"/>
    </x:row>
    <x:row r="24" ht="24" customHeight="1">
      <x:c r="A24" s="1" t="str">
        <x:v>H1</x:v>
      </x:c>
      <x:c r="B24" s="8">
        <x:f>IF('Расчёт'!S140=1,'Параметры'!B27,"")</x:f>
        <x:v>0.14999999999999997</x:v>
      </x:c>
      <x:c r="C24" s="8">
        <x:f>IF('Расчёт'!S140=1,'Расчёт'!T140,"")</x:f>
        <x:v>0.15052860517846689</x:v>
      </x:c>
      <x:c r="D24" s="8">
        <x:f>IF('Расчёт'!S140=1,'Расчёт'!W140,"")</x:f>
        <x:v>0.20772381509654764</x:v>
      </x:c>
      <x:c r="E24" s="8">
        <x:f>IF('Расчёт'!S140=1,'Расчёт'!X140,"")</x:f>
        <x:v>0.20853705383265062</x:v>
      </x:c>
      <x:c r="F24" s="8">
        <x:f>IF('Расчёт'!S140=1,'Расчёт'!Y140,"")</x:f>
        <x:v>0.12287887653598593</x:v>
      </x:c>
      <x:c r="G24" s="8">
        <x:f>IF('Расчёт'!S140=1,'Расчёт'!Z140,"")</x:f>
        <x:v>0.12333703920421298</x:v>
      </x:c>
      <x:c r="H24" s="12">
        <x:f>IF('Расчёт'!S140=1,'Расчёт'!AA140,"")</x:f>
        <x:v>0.14999999999999997</x:v>
      </x:c>
      <x:c r="I24" s="12">
        <x:f>IF('Расчёт'!S140=1,'Расчёт'!AB140,"")</x:f>
        <x:v>0.15052860517846689</x:v>
      </x:c>
      <x:c r="J24" s="8">
        <x:f>IF('Расчёт'!S140=1,IF(H24=0,"n.a.",I24/H24-1),"")</x:f>
        <x:v>0.0035240345231128956</x:v>
      </x:c>
      <x:c r="K24" s="12">
        <x:f>IF('Расчёт'!S140=1,'Расчёт'!AI140,"")</x:f>
        <x:v>0</x:v>
      </x:c>
      <x:c r="L24" s="1"/>
      <x:c r="M24" s="1" t="str">
        <x:v>Вариант</x:v>
      </x:c>
      <x:c r="N24" s="1" t="str">
        <x:v>Δ global CR, п.п.</x:v>
      </x:c>
      <x:c r="O24" s="1"/>
      <x:c r="P24" s="1"/>
      <x:c r="Q24" s="1"/>
      <x:c r="R24" s="1"/>
      <x:c r="S24" s="1"/>
    </x:row>
    <x:row r="25" ht="24" customHeight="1">
      <x:c r="A25" s="1" t="str">
        <x:v>H2</x:v>
      </x:c>
      <x:c r="B25" s="8">
        <x:f>IF('Расчёт'!S141=1,'Параметры'!B27,"")</x:f>
        <x:v>0.14999999999999997</x:v>
      </x:c>
      <x:c r="C25" s="8">
        <x:f>IF('Расчёт'!S141=1,'Расчёт'!T141,"")</x:f>
        <x:v>0.15165804198361613</x:v>
      </x:c>
      <x:c r="D25" s="8">
        <x:f>IF('Расчёт'!S141=1,'Расчёт'!W141,"")</x:f>
        <x:v>0.20772381509654764</x:v>
      </x:c>
      <x:c r="E25" s="8">
        <x:f>IF('Расчёт'!S141=1,'Расчёт'!X141,"")</x:f>
        <x:v>0.21025819192510234</x:v>
      </x:c>
      <x:c r="F25" s="8">
        <x:f>IF('Расчёт'!S141=1,'Расчёт'!Y141,"")</x:f>
        <x:v>0.12287887653598593</x:v>
      </x:c>
      <x:c r="G25" s="8">
        <x:f>IF('Расчёт'!S141=1,'Расчёт'!Z141,"")</x:f>
        <x:v>0.12526514043300174</x:v>
      </x:c>
      <x:c r="H25" s="12">
        <x:f>IF('Расчёт'!S141=1,'Расчёт'!AA141,"")</x:f>
        <x:v>0.14999999999999997</x:v>
      </x:c>
      <x:c r="I25" s="12">
        <x:f>IF('Расчёт'!S141=1,'Расчёт'!AB141,"")</x:f>
        <x:v>0.15165804198361613</x:v>
      </x:c>
      <x:c r="J25" s="8">
        <x:f>IF('Расчёт'!S141=1,IF(H25=0,"n.a.",I25/H25-1),"")</x:f>
        <x:v>0.011053613224107695</x:v>
      </x:c>
      <x:c r="K25" s="12">
        <x:f>IF('Расчёт'!S141=1,'Расчёт'!AI141,"")</x:f>
        <x:v>0</x:v>
      </x:c>
      <x:c r="L25" s="1"/>
      <x:c r="M25" s="1" t="str">
        <x:v>H1</x:v>
      </x:c>
      <x:c r="N25" s="16">
        <x:f>F8</x:f>
        <x:v>0.052860517846693447</x:v>
      </x:c>
      <x:c r="O25" s="1"/>
      <x:c r="P25" s="1"/>
      <x:c r="Q25" s="1"/>
      <x:c r="R25" s="1"/>
      <x:c r="S25" s="1"/>
    </x:row>
    <x:row r="26" ht="24" customHeight="1">
      <x:c r="A26" s="1" t="str">
        <x:v>H3</x:v>
      </x:c>
      <x:c r="B26" s="8">
        <x:f>IF('Расчёт'!S142=1,'Параметры'!B27,"")</x:f>
        <x:v>0.14999999999999997</x:v>
      </x:c>
      <x:c r="C26" s="8">
        <x:f>IF('Расчёт'!S142=1,'Расчёт'!T142,"")</x:f>
        <x:v>0.15115594408279692</x:v>
      </x:c>
      <x:c r="D26" s="8">
        <x:f>IF('Расчёт'!S142=1,'Расчёт'!W142,"")</x:f>
        <x:v>0.20772381509654764</x:v>
      </x:c>
      <x:c r="E26" s="8">
        <x:f>IF('Расчёт'!S142=1,'Расчёт'!X142,"")</x:f>
        <x:v>0.20950219060854297</x:v>
      </x:c>
      <x:c r="F26" s="8">
        <x:f>IF('Расчёт'!S142=1,'Расчёт'!Y142,"")</x:f>
        <x:v>0.12287887653598593</x:v>
      </x:c>
      <x:c r="G26" s="8">
        <x:f>IF('Расчёт'!S142=1,'Расчёт'!Z142,"")</x:f>
        <x:v>0.12388077823288472</x:v>
      </x:c>
      <x:c r="H26" s="12">
        <x:f>IF('Расчёт'!S142=1,'Расчёт'!AA142,"")</x:f>
        <x:v>0.14999999999999997</x:v>
      </x:c>
      <x:c r="I26" s="12">
        <x:f>IF('Расчёт'!S142=1,'Расчёт'!AB142,"")</x:f>
        <x:v>0.15115594408279692</x:v>
      </x:c>
      <x:c r="J26" s="8">
        <x:f>IF('Расчёт'!S142=1,IF(H26=0,"n.a.",I26/H26-1),"")</x:f>
        <x:v>0.0077062938853129648</x:v>
      </x:c>
      <x:c r="K26" s="12">
        <x:f>IF('Расчёт'!S142=1,'Расчёт'!AI142,"")</x:f>
        <x:v>0</x:v>
      </x:c>
      <x:c r="L26" s="1"/>
      <x:c r="M26" s="1" t="str">
        <x:v>H2</x:v>
      </x:c>
      <x:c r="N26" s="16">
        <x:f>F9</x:f>
        <x:v>0.16580419836161572</x:v>
      </x:c>
      <x:c r="O26" s="1"/>
      <x:c r="P26" s="1"/>
      <x:c r="Q26" s="1"/>
      <x:c r="R26" s="1"/>
      <x:c r="S26" s="1"/>
    </x:row>
    <x:row r="27" ht="24" customHeight="1">
      <x:c r="A27" s="1" t="str">
        <x:v>H4</x:v>
      </x:c>
      <x:c r="B27" s="8">
        <x:f>IF('Расчёт'!S143=1,'Параметры'!B27,"")</x:f>
        <x:v>0.14999999999999997</x:v>
      </x:c>
      <x:c r="C27" s="8">
        <x:f>IF('Расчёт'!S143=1,'Расчёт'!T143,"")</x:f>
        <x:v>0.15176090049005261</x:v>
      </x:c>
      <x:c r="D27" s="8">
        <x:f>IF('Расчёт'!S143=1,'Расчёт'!W143,"")</x:f>
        <x:v>0.20772381509654764</x:v>
      </x:c>
      <x:c r="E27" s="8">
        <x:f>IF('Расчёт'!S143=1,'Расчёт'!X143,"")</x:f>
        <x:v>0.2104185817729666</x:v>
      </x:c>
      <x:c r="F27" s="8">
        <x:f>IF('Расчёт'!S143=1,'Расчёт'!Y143,"")</x:f>
        <x:v>0.12287887653598593</x:v>
      </x:c>
      <x:c r="G27" s="8">
        <x:f>IF('Расчёт'!S143=1,'Расчёт'!Z143,"")</x:f>
        <x:v>0.12515435196021063</x:v>
      </x:c>
      <x:c r="H27" s="12">
        <x:f>IF('Расчёт'!S143=1,'Расчёт'!AA143,"")</x:f>
        <x:v>0.14999999999999997</x:v>
      </x:c>
      <x:c r="I27" s="12">
        <x:f>IF('Расчёт'!S143=1,'Расчёт'!AB143,"")</x:f>
        <x:v>0.15176090049005261</x:v>
      </x:c>
      <x:c r="J27" s="8">
        <x:f>IF('Расчёт'!S143=1,IF(H27=0,"n.a.",I27/H27-1),"")</x:f>
        <x:v>0.011739336600351091</x:v>
      </x:c>
      <x:c r="K27" s="12">
        <x:f>IF('Расчёт'!S143=1,'Расчёт'!AI143,"")</x:f>
        <x:v>0</x:v>
      </x:c>
      <x:c r="L27" s="1"/>
      <x:c r="M27" s="1" t="str">
        <x:v>H3</x:v>
      </x:c>
      <x:c r="N27" s="16">
        <x:f>F10</x:f>
        <x:v>0.11559440827969547</x:v>
      </x:c>
      <x:c r="O27" s="1"/>
      <x:c r="P27" s="1"/>
      <x:c r="Q27" s="1"/>
      <x:c r="R27" s="1"/>
      <x:c r="S27" s="1"/>
    </x:row>
    <x:row r="28" ht="24" customHeight="1">
      <x:c r="A28" s="1" t="str">
        <x:v>H5</x:v>
      </x:c>
      <x:c r="B28" s="8">
        <x:f>IF('Расчёт'!S144=1,'Параметры'!B27,"")</x:f>
        <x:v>0.14999999999999997</x:v>
      </x:c>
      <x:c r="C28" s="8">
        <x:f>IF('Расчёт'!S144=1,'Расчёт'!T144,"")</x:f>
        <x:v>0.15032635400819189</x:v>
      </x:c>
      <x:c r="D28" s="8">
        <x:f>IF('Расчёт'!S144=1,'Расчёт'!W144,"")</x:f>
        <x:v>0.20772381509654764</x:v>
      </x:c>
      <x:c r="E28" s="8">
        <x:f>IF('Расчёт'!S144=1,'Расчёт'!X144,"")</x:f>
        <x:v>0.2082019894675248</x:v>
      </x:c>
      <x:c r="F28" s="8">
        <x:f>IF('Расчёт'!S144=1,'Расчёт'!Y144,"")</x:f>
        <x:v>0.12287887653598593</x:v>
      </x:c>
      <x:c r="G28" s="8">
        <x:f>IF('Расчёт'!S144=1,'Расчёт'!Z144,"")</x:f>
        <x:v>0.12538929198361612</x:v>
      </x:c>
      <x:c r="H28" s="12">
        <x:f>IF('Расчёт'!S144=1,'Расчёт'!AA144,"")</x:f>
        <x:v>0.14999999999999997</x:v>
      </x:c>
      <x:c r="I28" s="12">
        <x:f>IF('Расчёт'!S144=1,'Расчёт'!AB144,"")</x:f>
        <x:v>0.15032635400819189</x:v>
      </x:c>
      <x:c r="J28" s="8">
        <x:f>IF('Расчёт'!S144=1,IF(H28=0,"n.a.",I28/H28-1),"")</x:f>
        <x:v>0.0021756933879462093</x:v>
      </x:c>
      <x:c r="K28" s="12">
        <x:f>IF('Расчёт'!S144=1,'Расчёт'!AI144,"")</x:f>
        <x:v>0</x:v>
      </x:c>
      <x:c r="L28" s="1"/>
      <x:c r="M28" s="1" t="str">
        <x:v>H4</x:v>
      </x:c>
      <x:c r="N28" s="16">
        <x:f>F11</x:f>
        <x:v>0.17609004900526595</x:v>
      </x:c>
      <x:c r="O28" s="1"/>
      <x:c r="P28" s="1"/>
      <x:c r="Q28" s="1"/>
      <x:c r="R28" s="1"/>
      <x:c r="S28" s="1"/>
    </x:row>
    <x:row r="29" ht="24" customHeight="1">
      <x:c r="A29" s="1" t="str">
        <x:v>H6.1</x:v>
      </x:c>
      <x:c r="B29" s="8">
        <x:f>IF('Расчёт'!S145=1,'Параметры'!B27,"")</x:f>
        <x:v>0.14999999999999997</x:v>
      </x:c>
      <x:c r="C29" s="8">
        <x:f>IF('Расчёт'!S145=1,'Расчёт'!T145,"")</x:f>
        <x:v>0.15018761761263894</x:v>
      </x:c>
      <x:c r="D29" s="8">
        <x:f>IF('Расчёт'!S145=1,'Расчёт'!W145,"")</x:f>
        <x:v>0.20772381509654764</x:v>
      </x:c>
      <x:c r="E29" s="8">
        <x:f>IF('Расчёт'!S145=1,'Расчёт'!X145,"")</x:f>
        <x:v>0.20799871269748388</x:v>
      </x:c>
      <x:c r="F29" s="8">
        <x:f>IF('Расчёт'!S145=1,'Расчёт'!Y145,"")</x:f>
        <x:v>0.12287887653598593</x:v>
      </x:c>
      <x:c r="G29" s="8">
        <x:f>IF('Расчёт'!S145=1,'Расчёт'!Z145,"")</x:f>
        <x:v>0.1243220889409011</x:v>
      </x:c>
      <x:c r="H29" s="12">
        <x:f>IF('Расчёт'!S145=1,'Расчёт'!AA145,"")</x:f>
        <x:v>0.14999999999999997</x:v>
      </x:c>
      <x:c r="I29" s="12">
        <x:f>IF('Расчёт'!S145=1,'Расчёт'!AB145,"")</x:f>
        <x:v>0.15018761761263894</x:v>
      </x:c>
      <x:c r="J29" s="8">
        <x:f>IF('Расчёт'!S145=1,IF(H29=0,"n.a.",I29/H29-1),"")</x:f>
        <x:v>0.0012507840842597151</x:v>
      </x:c>
      <x:c r="K29" s="12">
        <x:f>IF('Расчёт'!S145=1,'Расчёт'!AI145,"")</x:f>
        <x:v>0</x:v>
      </x:c>
      <x:c r="L29" s="1"/>
      <x:c r="M29" s="1" t="str">
        <x:v>H5</x:v>
      </x:c>
      <x:c r="N29" s="16">
        <x:f>F12</x:f>
        <x:v>0.032635400819192133</x:v>
      </x:c>
      <x:c r="O29" s="1"/>
      <x:c r="P29" s="1"/>
      <x:c r="Q29" s="1"/>
      <x:c r="R29" s="1"/>
      <x:c r="S29" s="1"/>
    </x:row>
    <x:row r="30" ht="24" customHeight="1">
      <x:c r="A30" s="1" t="str">
        <x:v>H6.2</x:v>
      </x:c>
      <x:c r="B30" s="8">
        <x:f>IF('Расчёт'!S146=1,'Параметры'!B27,"")</x:f>
        <x:v>0.14999999999999997</x:v>
      </x:c>
      <x:c r="C30" s="8">
        <x:f>IF('Расчёт'!S146=1,'Расчёт'!T146,"")</x:f>
        <x:v>0.15018761761263894</x:v>
      </x:c>
      <x:c r="D30" s="8">
        <x:f>IF('Расчёт'!S146=1,'Расчёт'!W146,"")</x:f>
        <x:v>0.20772381509654764</x:v>
      </x:c>
      <x:c r="E30" s="8">
        <x:f>IF('Расчёт'!S146=1,'Расчёт'!X146,"")</x:f>
        <x:v>0.20799871269748388</x:v>
      </x:c>
      <x:c r="F30" s="8">
        <x:f>IF('Расчёт'!S146=1,'Расчёт'!Y146,"")</x:f>
        <x:v>0.12287887653598593</x:v>
      </x:c>
      <x:c r="G30" s="8">
        <x:f>IF('Расчёт'!S146=1,'Расчёт'!Z146,"")</x:f>
        <x:v>0.1243220889409011</x:v>
      </x:c>
      <x:c r="H30" s="12">
        <x:f>IF('Расчёт'!S146=1,'Расчёт'!AA146,"")</x:f>
        <x:v>0.14999999999999997</x:v>
      </x:c>
      <x:c r="I30" s="12">
        <x:f>IF('Расчёт'!S146=1,'Расчёт'!AB146,"")</x:f>
        <x:v>0.15018761761263894</x:v>
      </x:c>
      <x:c r="J30" s="8">
        <x:f>IF('Расчёт'!S146=1,IF(H30=0,"n.a.",I30/H30-1),"")</x:f>
        <x:v>0.0012507840842597151</x:v>
      </x:c>
      <x:c r="K30" s="12">
        <x:f>IF('Расчёт'!S146=1,'Расчёт'!AI146,"")</x:f>
        <x:v>0</x:v>
      </x:c>
      <x:c r="L30" s="1"/>
      <x:c r="M30" s="1" t="str">
        <x:v>H6.1</x:v>
      </x:c>
      <x:c r="N30" s="16">
        <x:f>F14</x:f>
        <x:v>0.018761761263897642</x:v>
      </x:c>
      <x:c r="O30" s="1"/>
      <x:c r="P30" s="1"/>
      <x:c r="Q30" s="1"/>
      <x:c r="R30" s="1"/>
      <x:c r="S30" s="1"/>
    </x:row>
    <x:row r="31" ht="24" customHeight="1">
      <x:c r="A31" s="1" t="str">
        <x:v>H6.3</x:v>
      </x:c>
      <x:c r="B31" s="8">
        <x:f>IF('Расчёт'!S147=1,'Параметры'!B27,"")</x:f>
        <x:v>0.14999999999999997</x:v>
      </x:c>
      <x:c r="C31" s="8">
        <x:f>IF('Расчёт'!S147=1,'Расчёт'!T147,"")</x:f>
        <x:v>0.15018761761263894</x:v>
      </x:c>
      <x:c r="D31" s="8">
        <x:f>IF('Расчёт'!S147=1,'Расчёт'!W147,"")</x:f>
        <x:v>0.20772381509654764</x:v>
      </x:c>
      <x:c r="E31" s="8">
        <x:f>IF('Расчёт'!S147=1,'Расчёт'!X147,"")</x:f>
        <x:v>0.20799871269748388</x:v>
      </x:c>
      <x:c r="F31" s="8">
        <x:f>IF('Расчёт'!S147=1,'Расчёт'!Y147,"")</x:f>
        <x:v>0.12287887653598593</x:v>
      </x:c>
      <x:c r="G31" s="8">
        <x:f>IF('Расчёт'!S147=1,'Расчёт'!Z147,"")</x:f>
        <x:v>0.1243220889409011</x:v>
      </x:c>
      <x:c r="H31" s="12">
        <x:f>IF('Расчёт'!S147=1,'Расчёт'!AA147,"")</x:f>
        <x:v>0.14999999999999997</x:v>
      </x:c>
      <x:c r="I31" s="12">
        <x:f>IF('Расчёт'!S147=1,'Расчёт'!AB147,"")</x:f>
        <x:v>0.15018761761263894</x:v>
      </x:c>
      <x:c r="J31" s="8">
        <x:f>IF('Расчёт'!S147=1,IF(H31=0,"n.a.",I31/H31-1),"")</x:f>
        <x:v>0.0012507840842597151</x:v>
      </x:c>
      <x:c r="K31" s="12">
        <x:f>IF('Расчёт'!S147=1,'Расчёт'!AI147,"")</x:f>
        <x:v>0</x:v>
      </x:c>
      <x:c r="L31" s="1"/>
      <x:c r="M31" s="1" t="str">
        <x:v>H6.2</x:v>
      </x:c>
      <x:c r="N31" s="16">
        <x:f>F15</x:f>
        <x:v>0.018761761263897642</x:v>
      </x:c>
      <x:c r="O31" s="1"/>
      <x:c r="P31" s="1"/>
      <x:c r="Q31" s="1"/>
      <x:c r="R31" s="1"/>
      <x:c r="S31" s="1"/>
    </x:row>
    <x:row r="32" ht="24" customHeight="1">
      <x:c r="A32" s="1"/>
      <x:c r="B32" s="1"/>
      <x:c r="C32" s="1"/>
      <x:c r="D32" s="1"/>
      <x:c r="E32" s="1"/>
      <x:c r="F32" s="1"/>
      <x:c r="G32" s="1"/>
      <x:c r="H32" s="1"/>
      <x:c r="I32" s="1"/>
      <x:c r="J32" s="1"/>
      <x:c r="K32" s="1"/>
      <x:c r="L32" s="1"/>
      <x:c r="M32" s="1" t="str">
        <x:v>H6.3</x:v>
      </x:c>
      <x:c r="N32" s="16">
        <x:f>F16</x:f>
        <x:v>0.018761761263897642</x:v>
      </x:c>
      <x:c r="O32" s="1"/>
      <x:c r="P32" s="1"/>
      <x:c r="Q32" s="1"/>
      <x:c r="R32" s="1"/>
      <x:c r="S32" s="1"/>
    </x:row>
    <x:row r="33" ht="24" customHeight="1">
      <x:c r="A33" s="1"/>
      <x:c r="B33" s="1"/>
      <x:c r="C33" s="1"/>
      <x:c r="D33" s="1"/>
      <x:c r="E33" s="1"/>
      <x:c r="F33" s="1"/>
      <x:c r="G33" s="1"/>
      <x:c r="H33" s="1"/>
      <x:c r="I33" s="1"/>
      <x:c r="J33" s="1"/>
      <x:c r="K33" s="1"/>
      <x:c r="L33" s="1"/>
      <x:c r="M33" s="1"/>
      <x:c r="N33" s="1"/>
      <x:c r="O33" s="1"/>
      <x:c r="P33" s="1"/>
      <x:c r="Q33" s="1"/>
      <x:c r="R33" s="1"/>
      <x:c r="S33" s="1"/>
    </x:row>
    <x:row r="34" ht="50" customHeight="1">
      <x:c r="A34" s="7" t="str">
        <x:v>Охват</x:v>
      </x:c>
      <x:c r="B34" s="7" t="str">
        <x:v>Корзина</x:v>
      </x:c>
      <x:c r="C34" s="7" t="str">
        <x:v>Избранное</x:v>
      </x:c>
      <x:c r="D34" s="7" t="str">
        <x:v>База</x:v>
      </x:c>
      <x:c r="E34" s="7" t="str">
        <x:v>Тип</x:v>
      </x:c>
      <x:c r="F34" s="1"/>
      <x:c r="G34" s="1"/>
      <x:c r="H34" s="1"/>
      <x:c r="I34" s="1"/>
      <x:c r="J34" s="1"/>
      <x:c r="K34" s="1"/>
      <x:c r="L34" s="1"/>
      <x:c r="M34" s="1"/>
      <x:c r="N34" s="1"/>
      <x:c r="O34" s="1"/>
      <x:c r="P34" s="1"/>
      <x:c r="Q34" s="1"/>
      <x:c r="R34" s="1"/>
      <x:c r="S34" s="1"/>
    </x:row>
    <x:row r="35" ht="24" customHeight="1">
      <x:c r="A35" s="1" t="str">
        <x:v>День</x:v>
      </x:c>
      <x:c r="B35" s="21">
        <x:f>'Параметры'!B31</x:f>
        <x:v>28600000</x:v>
      </x:c>
      <x:c r="C35" s="21">
        <x:f>'Параметры'!B32</x:f>
        <x:v>5720000</x:v>
      </x:c>
      <x:c r="D35" s="21">
        <x:f>'Параметры'!B8</x:f>
        <x:v>44000000</x:v>
      </x:c>
      <x:c r="E35" s="1" t="str">
        <x:v>Расчёт из фактов и нормировки</x:v>
      </x:c>
      <x:c r="F35" s="1"/>
      <x:c r="G35" s="1"/>
      <x:c r="H35" s="1"/>
      <x:c r="I35" s="1"/>
      <x:c r="J35" s="1"/>
      <x:c r="K35" s="1"/>
      <x:c r="L35" s="1"/>
      <x:c r="M35" s="1"/>
      <x:c r="N35" s="1"/>
      <x:c r="O35" s="1"/>
      <x:c r="P35" s="1"/>
      <x:c r="Q35" s="1"/>
      <x:c r="R35" s="1"/>
      <x:c r="S35" s="1"/>
    </x:row>
    <x:row r="36" ht="24" customHeight="1">
      <x:c r="A36" s="1" t="str">
        <x:v>Месяц</x:v>
      </x:c>
      <x:c r="B36" s="21">
        <x:f>'Параметры'!B33</x:f>
        <x:v>76440000</x:v>
      </x:c>
      <x:c r="C36" s="21">
        <x:f>'Параметры'!B34</x:f>
        <x:v>16800000</x:v>
      </x:c>
      <x:c r="D36" s="21">
        <x:f>'Параметры'!B9</x:f>
        <x:v>84000000</x:v>
      </x:c>
      <x:c r="E36" s="1" t="str">
        <x:v>Расчёт, в дневной CR не участвует</x:v>
      </x:c>
      <x:c r="F36" s="1"/>
      <x:c r="G36" s="1"/>
      <x:c r="H36" s="1"/>
      <x:c r="I36" s="1"/>
      <x:c r="J36" s="1"/>
      <x:c r="K36" s="1"/>
      <x:c r="L36" s="1"/>
      <x:c r="M36" s="1"/>
      <x:c r="N36" s="1"/>
      <x:c r="O36" s="1"/>
      <x:c r="P36" s="1"/>
      <x:c r="Q36" s="1"/>
      <x:c r="R36" s="1"/>
      <x:c r="S36" s="1"/>
    </x:row>
  </x:sheetData>
  <x:conditionalFormatting sqref="H8:K16">
    <x:cfRule type="containsText" dxfId="5" priority="1" operator="containsText" text="Падение"/>
    <x:cfRule type="containsText" dxfId="6" priority="2" operator="containsText" text="Не проходит"/>
  </x:conditionalFormatting>
  <x:pageMargins left="0.7" right="0.7" top="0.75" bottom="0.75" header="0.3" footer="0.3"/>
  <x:drawing xmlns:r="http://schemas.openxmlformats.org/officeDocument/2006/relationships" r:id="Re65baa9852e74d03"/>
</x:worksheet>
</file>

<file path=xl/worksheets/sheet2.xml><?xml version="1.0" encoding="utf-8"?>
<x:worksheet xmlns:x="http://schemas.openxmlformats.org/spreadsheetml/2006/main">
  <x:sheetPr>
    <x:tabColor rgb="FF3A5A8D"/>
  </x:sheetPr>
  <x:sheetViews>
    <x:sheetView showGridLines="0" workbookViewId="0"/>
  </x:sheetViews>
  <x:sheetFormatPr defaultRowHeight="15"/>
  <x:cols>
    <x:col min="1" max="1" width="45" hidden="0" customWidth="1"/>
    <x:col min="2" max="2" width="18" hidden="0" customWidth="1"/>
    <x:col min="3" max="3" width="18" hidden="0" customWidth="1"/>
    <x:col min="4" max="4" width="24" hidden="0" customWidth="1"/>
    <x:col min="5" max="5" width="18" hidden="0" customWidth="1"/>
    <x:col min="6" max="6" width="22" hidden="0" customWidth="1"/>
    <x:col min="7" max="7" width="44" hidden="0" customWidth="1"/>
  </x:cols>
  <x:sheetData>
    <x:row r="1" ht="24" customHeight="1">
      <x:c r="A1" s="1"/>
      <x:c r="B1" s="1"/>
      <x:c r="C1" s="1"/>
      <x:c r="D1" s="1"/>
      <x:c r="E1" s="1"/>
      <x:c r="F1" s="1"/>
      <x:c r="G1" s="1"/>
    </x:row>
    <x:row r="2" ht="32" customHeight="1">
      <x:c r="A2" s="2" t="str">
        <x:v>Параметры</x:v>
      </x:c>
      <x:c r="B2" s="1"/>
      <x:c r="C2" s="1"/>
      <x:c r="D2" s="1"/>
      <x:c r="E2" s="1"/>
      <x:c r="F2" s="1"/>
      <x:c r="G2" s="1"/>
    </x:row>
    <x:row r="3" ht="24" customHeight="1">
      <x:c r="A3" s="1" t="str">
        <x:v>Сценарий</x:v>
      </x:c>
      <x:c r="B3" s="10">
        <x:v>6</x:v>
      </x:c>
      <x:c r="C3" s="1"/>
      <x:c r="D3" s="1" t="str">
        <x:v>Сценарии 1–35 на листе «Сценарии»</x:v>
      </x:c>
      <x:c r="E3" s="1"/>
      <x:c r="F3" s="1"/>
      <x:c r="G3" s="1"/>
    </x:row>
    <x:row r="4" ht="24" customHeight="1">
      <x:c r="A4" s="1" t="str">
        <x:v>Якорь абсолютной CR</x:v>
      </x:c>
      <x:c r="B4" s="10">
        <x:f>'Сценарии'!L3</x:f>
        <x:v>2</x:v>
      </x:c>
      <x:c r="C4" s="1"/>
      <x:c r="D4" s="1" t="str">
        <x:v>Якорь выбран сценарием; исходные CR не являются фактами Ozon</x:v>
      </x:c>
      <x:c r="E4" s="1"/>
      <x:c r="F4" s="1"/>
      <x:c r="G4" s="1"/>
    </x:row>
    <x:row r="5" ht="24" customHeight="1">
      <x:c r="A5" s="1" t="str">
        <x:v>Альтернатива H6</x:v>
      </x:c>
      <x:c r="B5" s="10" t="n">
        <x:v>1</x:v>
      </x:c>
      <x:c r="C5" s="1"/>
      <x:c r="D5" s="1" t="str">
        <x:v>1 Сравнение</x:v>
      </x:c>
      <x:c r="E5" s="1" t="str">
        <x:v>2 Фильтрация</x:v>
      </x:c>
      <x:c r="F5" s="1" t="str">
        <x:v>3 Шорт-лист</x:v>
      </x:c>
      <x:c r="G5" s="1"/>
    </x:row>
    <x:row r="6" ht="24" customHeight="1">
      <x:c r="A6" s="1"/>
      <x:c r="B6" s="1"/>
      <x:c r="C6" s="1"/>
      <x:c r="D6" s="1"/>
      <x:c r="E6" s="1"/>
      <x:c r="F6" s="1"/>
      <x:c r="G6" s="1"/>
    </x:row>
    <x:row r="7" ht="50" customHeight="1">
      <x:c r="A7" s="7" t="str">
        <x:v>Вход</x:v>
      </x:c>
      <x:c r="B7" s="7" t="str">
        <x:v>Значение</x:v>
      </x:c>
      <x:c r="C7" s="7" t="str">
        <x:v>Тип</x:v>
      </x:c>
      <x:c r="D7" s="7" t="str">
        <x:v>Основание</x:v>
      </x:c>
      <x:c r="E7" s="1"/>
      <x:c r="F7" s="1"/>
      <x:c r="G7" s="1"/>
    </x:row>
    <x:row r="8" ht="24" customHeight="1">
      <x:c r="A8" s="1" t="str">
        <x:v>DAU Ozon</x:v>
      </x:c>
      <x:c r="B8" s="10">
        <x:f>'Сценарии'!D3</x:f>
        <x:v>44000000</x:v>
      </x:c>
      <x:c r="C8" s="1" t="str">
        <x:v>Масштаб сценария</x:v>
      </x:c>
      <x:c r="D8" s="1" t="str">
        <x:v>44 млн только для публичного масштаба марта 2026; контроли нормированы</x:v>
      </x:c>
      <x:c r="E8" s="1"/>
      <x:c r="F8" s="1"/>
      <x:c r="G8" s="1"/>
    </x:row>
    <x:row r="9" ht="24" customHeight="1">
      <x:c r="A9" s="1" t="str">
        <x:v>MAU Ozon</x:v>
      </x:c>
      <x:c r="B9" s="10">
        <x:f>'Сценарии'!E3</x:f>
        <x:v>84000000</x:v>
      </x:c>
      <x:c r="C9" s="1" t="str">
        <x:v>Масштаб сценария</x:v>
      </x:c>
      <x:c r="D9" s="1" t="str">
        <x:v>84 млн, март 2026; MAU в дневной эффект не входит</x:v>
      </x:c>
      <x:c r="E9" s="1"/>
      <x:c r="F9" s="1"/>
      <x:c r="G9" s="1"/>
    </x:row>
    <x:row r="10" ht="24" customHeight="1">
      <x:c r="A10" s="1" t="str">
        <x:v>Uplift до штрафов</x:v>
      </x:c>
      <x:c r="B10" s="11">
        <x:v>0.10000000000000001</x:v>
      </x:c>
      <x:c r="C10" s="1" t="str">
        <x:v>Допущение</x:v>
      </x:c>
      <x:c r="D10" s="1" t="str">
        <x:v>Единый мысленный эксперимент</x:v>
      </x:c>
      <x:c r="E10" s="1"/>
      <x:c r="F10" s="1"/>
      <x:c r="G10" s="1"/>
    </x:row>
    <x:row r="11" ht="24" customHeight="1">
      <x:c r="A11" s="1"/>
      <x:c r="B11" s="1"/>
      <x:c r="C11" s="1"/>
      <x:c r="D11" s="1"/>
      <x:c r="E11" s="1"/>
      <x:c r="F11" s="1"/>
      <x:c r="G11" s="1"/>
    </x:row>
    <x:row r="12" ht="24" customHeight="1">
      <x:c r="A12" s="1"/>
      <x:c r="B12" s="1"/>
      <x:c r="C12" s="1"/>
      <x:c r="D12" s="1"/>
      <x:c r="E12" s="1"/>
      <x:c r="F12" s="1"/>
      <x:c r="G12" s="1"/>
    </x:row>
    <x:row r="13" ht="24" customHeight="1">
      <x:c r="A13" s="1"/>
      <x:c r="B13" s="1"/>
      <x:c r="C13" s="1"/>
      <x:c r="D13" s="1"/>
      <x:c r="E13" s="1"/>
      <x:c r="F13" s="1"/>
      <x:c r="G13" s="1"/>
    </x:row>
    <x:row r="14" ht="50" customHeight="1">
      <x:c r="A14" s="7" t="str">
        <x:v>Драйвер</x:v>
      </x:c>
      <x:c r="B14" s="7" t="str">
        <x:v>Активный расчёт</x:v>
      </x:c>
      <x:c r="C14" s="7" t="str">
        <x:v>Мало китов</x:v>
      </x:c>
      <x:c r="D14" s="7" t="str">
        <x:v>Базовый</x:v>
      </x:c>
      <x:c r="E14" s="7" t="str">
        <x:v>Много китов</x:v>
      </x:c>
      <x:c r="F14" s="7" t="str">
        <x:v>Тип входов</x:v>
      </x:c>
      <x:c r="G14" s="7" t="str">
        <x:v>Комментарий</x:v>
      </x:c>
    </x:row>
    <x:row r="15" ht="24" customHeight="1">
      <x:c r="A15" s="1" t="str">
        <x:v>Доля: киты</x:v>
      </x:c>
      <x:c r="B15" s="8">
        <x:f>'Сценарии'!F3</x:f>
        <x:v>0.27999999999999997</x:v>
      </x:c>
      <x:c r="C15" s="11">
        <x:v>0.10000000000000001</x:v>
      </x:c>
      <x:c r="D15" s="11">
        <x:v>0.20000000000000001</x:v>
      </x:c>
      <x:c r="E15" s="11">
        <x:v>0.29999999999999999</x:v>
      </x:c>
      <x:c r="F15" s="1" t="str">
        <x:v>Допущение</x:v>
      </x:c>
      <x:c r="G15" s="1" t="str">
        <x:v>Численность неизвестна</x:v>
      </x:c>
    </x:row>
    <x:row r="16" ht="24" customHeight="1">
      <x:c r="A16" s="1" t="str">
        <x:v>Доля: большая C / большая F</x:v>
      </x:c>
      <x:c r="B16" s="8">
        <x:f>'Сценарии'!G3</x:f>
        <x:v>0.12</x:v>
      </x:c>
      <x:c r="C16" s="11">
        <x:v>0.14999999999999999</x:v>
      </x:c>
      <x:c r="D16" s="11">
        <x:v>0.20000000000000001</x:v>
      </x:c>
      <x:c r="E16" s="11">
        <x:v>0.25</x:v>
      </x:c>
      <x:c r="F16" s="1" t="str">
        <x:v>Допущение</x:v>
      </x:c>
      <x:c r="G16" s="1" t="str">
        <x:v>Численность неизвестна</x:v>
      </x:c>
    </x:row>
    <x:row r="17" ht="24" customHeight="1">
      <x:c r="A17" s="1" t="str">
        <x:v>Доля: большая C / малая F</x:v>
      </x:c>
      <x:c r="B17" s="8">
        <x:f>'Сценарии'!H3</x:f>
        <x:v>0.17999999999999999</x:v>
      </x:c>
      <x:c r="C17" s="11">
        <x:v>0.34999999999999998</x:v>
      </x:c>
      <x:c r="D17" s="11">
        <x:v>0.29999999999999999</x:v>
      </x:c>
      <x:c r="E17" s="11">
        <x:v>0.25</x:v>
      </x:c>
      <x:c r="F17" s="1" t="str">
        <x:v>Допущение</x:v>
      </x:c>
      <x:c r="G17" s="1" t="str">
        <x:v>Численность неизвестна</x:v>
      </x:c>
    </x:row>
    <x:row r="18" ht="24" customHeight="1">
      <x:c r="A18" s="1" t="str">
        <x:v>Доля: малая C / малая F</x:v>
      </x:c>
      <x:c r="B18" s="8">
        <x:f>'Сценарии'!I3</x:f>
        <x:v>0.41999999999999998</x:v>
      </x:c>
      <x:c r="C18" s="11">
        <x:v>0.40000000000000002</x:v>
      </x:c>
      <x:c r="D18" s="11">
        <x:v>0.29999999999999999</x:v>
      </x:c>
      <x:c r="E18" s="11">
        <x:v>0.20000000000000001</x:v>
      </x:c>
      <x:c r="F18" s="1" t="str">
        <x:v>Допущение</x:v>
      </x:c>
      <x:c r="G18" s="1" t="str">
        <x:v>Численность неизвестна</x:v>
      </x:c>
    </x:row>
    <x:row r="19" ht="24" customHeight="1">
      <x:c r="A19" s="1" t="str">
        <x:v>Якорная CR китов</x:v>
      </x:c>
      <x:c r="B19" s="8">
        <x:f>'Сценарии'!K3</x:f>
        <x:v>0.23099999999999998</x:v>
      </x:c>
      <x:c r="C19" s="11">
        <x:v>0.25</x:v>
      </x:c>
      <x:c r="D19" s="11">
        <x:v>0.29999999999999999</x:v>
      </x:c>
      <x:c r="E19" s="11">
        <x:v>0.40000000000000002</x:v>
      </x:c>
      <x:c r="F19" s="1" t="str">
        <x:v>Допущение</x:v>
      </x:c>
      <x:c r="G19" s="1" t="str">
        <x:v>Используется при якоре 1</x:v>
      </x:c>
    </x:row>
    <x:row r="20" ht="24" customHeight="1">
      <x:c r="A20" s="1" t="str">
        <x:v>Якорная глобальная CR</x:v>
      </x:c>
      <x:c r="B20" s="8">
        <x:f>'Сценарии'!J3</x:f>
        <x:v>0.14999999999999999</x:v>
      </x:c>
      <x:c r="C20" s="11">
        <x:v>0.12</x:v>
      </x:c>
      <x:c r="D20" s="11">
        <x:v>0.17999999999999999</x:v>
      </x:c>
      <x:c r="E20" s="11">
        <x:v>0.25</x:v>
      </x:c>
      <x:c r="F20" s="1" t="str">
        <x:v>Допущение</x:v>
      </x:c>
      <x:c r="G20" s="1" t="str">
        <x:v>Используется при якоре 2</x:v>
      </x:c>
    </x:row>
    <x:row r="21" ht="24" customHeight="1">
      <x:c r="A21" s="1" t="str">
        <x:v>Владельцы F в малом F</x:v>
      </x:c>
      <x:c r="B21" s="8">
        <x:f>'Сценарии'!M3</x:f>
        <x:v>0.5</x:v>
      </x:c>
      <x:c r="C21" s="11">
        <x:v>0.59999999999999998</x:v>
      </x:c>
      <x:c r="D21" s="11">
        <x:v>0.5</x:v>
      </x:c>
      <x:c r="E21" s="11">
        <x:v>0.40000000000000002</x:v>
      </x:c>
      <x:c r="F21" s="1" t="str">
        <x:v>Допущение</x:v>
      </x:c>
      <x:c r="G21" s="1" t="str">
        <x:v>Малый F включает пустой список</x:v>
      </x:c>
    </x:row>
    <x:row r="22" ht="24" customHeight="1">
      <x:c r="A22" s="1"/>
      <x:c r="B22" s="1"/>
      <x:c r="C22" s="1"/>
      <x:c r="D22" s="1"/>
      <x:c r="E22" s="1"/>
      <x:c r="F22" s="1"/>
      <x:c r="G22" s="1"/>
    </x:row>
    <x:row r="23" ht="24" customHeight="1">
      <x:c r="A23" s="1"/>
      <x:c r="B23" s="1"/>
      <x:c r="C23" s="1"/>
      <x:c r="D23" s="1"/>
      <x:c r="E23" s="1"/>
      <x:c r="F23" s="1"/>
      <x:c r="G23" s="1"/>
    </x:row>
    <x:row r="24" ht="24" customHeight="1">
      <x:c r="A24" s="1" t="str">
        <x:v>Активная база</x:v>
      </x:c>
      <x:c r="B24" s="1" t="str">
        <x:v>Расчёт</x:v>
      </x:c>
      <x:c r="C24" s="1" t="str">
        <x:v>Тип</x:v>
      </x:c>
      <x:c r="D24" s="1"/>
      <x:c r="E24" s="1"/>
      <x:c r="F24" s="1"/>
      <x:c r="G24" s="1"/>
    </x:row>
    <x:row r="25" ht="24" customHeight="1">
      <x:c r="A25" s="1" t="str">
        <x:v>Взвешенный разрыв, доля CR</x:v>
      </x:c>
      <x:c r="B25" s="16">
        <x:f>-(B16*'Исходные'!B17+B17*'Исходные'!B18+B18*'Исходные'!B19)/100</x:f>
        <x:v>0.081000000000000003</x:v>
      </x:c>
      <x:c r="C25" s="1" t="str">
        <x:v>Расчёт</x:v>
      </x:c>
      <x:c r="D25" s="1"/>
      <x:c r="E25" s="1"/>
      <x:c r="F25" s="1"/>
      <x:c r="G25" s="1"/>
    </x:row>
    <x:row r="26" ht="24" customHeight="1">
      <x:c r="A26" s="1" t="str">
        <x:v>CR китов для расчёта</x:v>
      </x:c>
      <x:c r="B26" s="8">
        <x:f>IF(B4=1,B19,B20+B25)</x:f>
        <x:v>0.23099999999999998</x:v>
      </x:c>
      <x:c r="C26" s="1" t="str">
        <x:v>Расчёт из выбранного якоря</x:v>
      </x:c>
      <x:c r="D26" s="1"/>
      <x:c r="E26" s="1"/>
      <x:c r="F26" s="1"/>
      <x:c r="G26" s="1"/>
    </x:row>
    <x:row r="27" ht="24" customHeight="1">
      <x:c r="A27" s="1" t="str">
        <x:v>Глобальная CR базы</x:v>
      </x:c>
      <x:c r="B27" s="8">
        <x:f>B26-B25</x:f>
        <x:v>0.14999999999999997</x:v>
      </x:c>
      <x:c r="C27" s="1" t="str">
        <x:v>Расчёт, не второй независимый ввод</x:v>
      </x:c>
      <x:c r="D27" s="1"/>
      <x:c r="E27" s="1"/>
      <x:c r="F27" s="1"/>
      <x:c r="G27" s="1"/>
    </x:row>
    <x:row r="28" ht="24" customHeight="1">
      <x:c r="A28" s="1" t="str">
        <x:v>Допустимость параметров</x:v>
      </x:c>
      <x:c r="B28" s="1">
        <x:f>IF(AND(COUNT(B8:B10)=3,COUNT(B15:B18)=4,COUNT(B21)=1,IF(B4=1,ISNUMBER(B19),ISNUMBER(B20)),OR(B3=1,B3=2,B3=3,B3=4,B3=5,B3=6,B3=7,B3=8,B3=9,B3=10,B3=11,B3=12,B3=13,B3=14,B3=15,B3=16,B3=17,B3=18,B3=19,B3=20,B3=21,B3=22,B3=23,B3=24,B3=25,B3=26,B3=27,B3=28,B3=29,B3=30,B3=31,B3=32,B3=33,B3=34,B3=35),OR(B4=1,B4=2),OR(B5=1,B5=2,B5=3),B8&gt;0,B9&gt;=B8,B10&gt;=0,B10&lt;=1,ABS(SUM(B15:B18)-1)&lt;0.00000001,MIN(B15:B18)&gt;=0,MAX(B15:B18)&lt;=1,B21&gt;=0,B21&lt;=1,B26&gt;=MAX(0,-MIN('Исходные'!B17:B19)/100),B26&lt;=1,B27&gt;=0,B27&lt;=1),1,0)</x:f>
        <x:v>1</x:v>
      </x:c>
      <x:c r="C28" s="1"/>
      <x:c r="D28" s="1"/>
      <x:c r="E28" s="1"/>
      <x:c r="F28" s="1"/>
      <x:c r="G28" s="1"/>
    </x:row>
    <x:row r="29" ht="24" customHeight="1">
      <x:c r="A29" s="1"/>
      <x:c r="B29" s="1"/>
      <x:c r="C29" s="1"/>
      <x:c r="D29" s="1"/>
      <x:c r="E29" s="1"/>
      <x:c r="F29" s="1"/>
      <x:c r="G29" s="1"/>
    </x:row>
    <x:row r="30" ht="24" customHeight="1">
      <x:c r="A30" s="1"/>
      <x:c r="B30" s="1"/>
      <x:c r="C30" s="1"/>
      <x:c r="D30" s="1"/>
      <x:c r="E30" s="1"/>
      <x:c r="F30" s="1"/>
      <x:c r="G30" s="1"/>
    </x:row>
    <x:row r="31" ht="24" customHeight="1">
      <x:c r="A31" s="1" t="str">
        <x:v>DAU Корзины</x:v>
      </x:c>
      <x:c r="B31" s="12">
        <x:f>B8*'Исходные'!B5</x:f>
        <x:v>28600000</x:v>
      </x:c>
      <x:c r="C31" s="1" t="str">
        <x:v>Расчёт</x:v>
      </x:c>
      <x:c r="D31" s="1"/>
      <x:c r="E31" s="1"/>
      <x:c r="F31" s="1"/>
      <x:c r="G31" s="1"/>
    </x:row>
    <x:row r="32" ht="24" customHeight="1">
      <x:c r="A32" s="1" t="str">
        <x:v>DAU Избранного</x:v>
      </x:c>
      <x:c r="B32" s="12">
        <x:f>B8*'Исходные'!B6</x:f>
        <x:v>5720000</x:v>
      </x:c>
      <x:c r="C32" s="1" t="str">
        <x:v>Расчёт</x:v>
      </x:c>
      <x:c r="D32" s="1"/>
      <x:c r="E32" s="1"/>
      <x:c r="F32" s="1"/>
      <x:c r="G32" s="1"/>
    </x:row>
    <x:row r="33" ht="24" customHeight="1">
      <x:c r="A33" s="1" t="str">
        <x:v>MAU Корзины</x:v>
      </x:c>
      <x:c r="B33" s="12">
        <x:f>B9*'Исходные'!B7</x:f>
        <x:v>76440000</x:v>
      </x:c>
      <x:c r="C33" s="1" t="str">
        <x:v>Расчёт</x:v>
      </x:c>
      <x:c r="D33" s="1"/>
      <x:c r="E33" s="1"/>
      <x:c r="F33" s="1"/>
      <x:c r="G33" s="1"/>
    </x:row>
    <x:row r="34" ht="24" customHeight="1">
      <x:c r="A34" s="1" t="str">
        <x:v>MAU Избранного</x:v>
      </x:c>
      <x:c r="B34" s="12">
        <x:f>B9*'Исходные'!B8</x:f>
        <x:v>16800000</x:v>
      </x:c>
      <x:c r="C34" s="1" t="str">
        <x:v>Расчёт</x:v>
      </x:c>
      <x:c r="D34" s="1"/>
      <x:c r="E34" s="1"/>
      <x:c r="F34" s="1"/>
      <x:c r="G34" s="1"/>
    </x:row>
    <x:row r="35" ht="24" customHeight="1">
      <x:c r="A35" s="1"/>
      <x:c r="B35" s="1"/>
      <x:c r="C35" s="1"/>
      <x:c r="D35" s="1"/>
      <x:c r="E35" s="1"/>
      <x:c r="F35" s="1"/>
      <x:c r="G35" s="1"/>
    </x:row>
    <x:row r="36" ht="24" customHeight="1">
      <x:c r="A36" s="1"/>
      <x:c r="B36" s="1"/>
      <x:c r="C36" s="1"/>
      <x:c r="D36" s="1"/>
      <x:c r="E36" s="1"/>
      <x:c r="F36" s="1"/>
      <x:c r="G36" s="1"/>
    </x:row>
    <x:row r="37" ht="24" customHeight="1">
      <x:c r="A37" s="1" t="str">
        <x:v>Сценарий: B3. Прежние три набора C:E сохранены. Новые драйверы на «Сценариях», охваты на «Входах H».</x:v>
      </x:c>
      <x:c r="B37" s="1"/>
      <x:c r="C37" s="1"/>
      <x:c r="D37" s="1"/>
      <x:c r="E37" s="1"/>
      <x:c r="F37" s="1"/>
      <x:c r="G37" s="1"/>
    </x:row>
    <x:row r="38" ht="24" customHeight="1">
      <x:c r="A38" s="1" t="str">
        <x:v>CR отнесена к уникальным заказчикам за день: это рабочая интерпретация знаменателя разрывов из PDF.</x:v>
      </x:c>
      <x:c r="B38" s="1"/>
      <x:c r="C38" s="1"/>
      <x:c r="D38" s="1"/>
      <x:c r="E38" s="1"/>
      <x:c r="F38" s="1"/>
      <x:c r="G38" s="1"/>
    </x:row>
  </x:sheetData>
  <x:conditionalFormatting sqref="B28:B28">
    <x:cfRule type="cellIs" dxfId="0" priority="1" operator="equal">
      <x:formula>0</x:formula>
    </x:cfRule>
  </x:conditionalFormatting>
  <x:dataValidations count="3">
    <x:dataValidation type="list" sqref="B3">
      <x:formula1>"1,2,3,4,5,6,7,8,9,10,11,12,13,14,15,16,17,18,19,20,21,22,23,24,25,26,27,28,29,30,31,32,33,34,35"</x:formula1>
    </x:dataValidation>
    <x:dataValidation type="list" sqref="B5">
      <x:formula1>"1,2,3"</x:formula1>
    </x:dataValidation>
    <x:dataValidation type="list" sqref="B4">
      <x:formula1>"1,2"</x:formula1>
    </x:dataValidation>
  </x:dataValidations>
  <x:pageMargins left="0.7" right="0.7" top="0.75" bottom="0.75" header="0.3" footer="0.3"/>
</x:worksheet>
</file>

<file path=xl/worksheets/sheet3.xml><?xml version="1.0" encoding="utf-8"?>
<x:worksheet xmlns:x="http://schemas.openxmlformats.org/spreadsheetml/2006/main">
  <x:sheetPr>
    <x:tabColor rgb="FF3A5A8D"/>
  </x:sheetPr>
  <x:sheetViews>
    <x:sheetView showGridLines="0" workbookViewId="0">
      <x:pane xSplit="2" ySplit="4" topLeftCell="C5" activePane="bottomRight" state="frozen"/>
    </x:sheetView>
  </x:sheetViews>
  <x:sheetFormatPr defaultRowHeight="15"/>
  <x:cols>
    <x:col min="1" max="1" width="18" hidden="0" customWidth="1"/>
    <x:col min="2" max="2" width="36"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18" hidden="0" customWidth="1"/>
    <x:col min="15" max="15" width="18" hidden="0" customWidth="1"/>
    <x:col min="16" max="16" width="18" hidden="0" customWidth="1"/>
    <x:col min="17" max="17" width="18" hidden="0" customWidth="1"/>
    <x:col min="18" max="18" width="18" hidden="0" customWidth="1"/>
    <x:col min="19" max="19" width="18" hidden="0" customWidth="1"/>
    <x:col min="20" max="20" width="18" hidden="0" customWidth="1"/>
    <x:col min="21" max="21" width="18" hidden="0" customWidth="1"/>
    <x:col min="22" max="22" width="18" hidden="0" customWidth="1"/>
    <x:col min="23" max="23" width="18" hidden="0" customWidth="1"/>
    <x:col min="24" max="24" width="18" hidden="0" customWidth="1"/>
  </x:cols>
  <x:sheetData>
    <x:row r="1" ht="24" customHeight="1">
      <x:c r="A1" s="1" t="str">
        <x:v>Сценарий</x:v>
      </x:c>
      <x:c r="B1" s="1" t="str">
        <x:f>'Итоги'!B3</x:f>
        <x:v>Корзины 40+: 30%</x:v>
      </x:c>
      <x:c r="C1" s="1"/>
      <x:c r="D1" s="1"/>
      <x:c r="E1" s="1"/>
      <x:c r="F1" s="1"/>
      <x:c r="G1" s="1"/>
      <x:c r="H1" s="1"/>
      <x:c r="I1" s="1"/>
      <x:c r="J1" s="1"/>
      <x:c r="K1" s="1"/>
      <x:c r="L1" s="1"/>
      <x:c r="M1" s="1"/>
      <x:c r="N1" s="1"/>
      <x:c r="O1" s="1"/>
      <x:c r="P1" s="1"/>
      <x:c r="Q1" s="1"/>
      <x:c r="R1" s="1"/>
      <x:c r="S1" s="1"/>
      <x:c r="T1" s="1"/>
      <x:c r="U1" s="1"/>
      <x:c r="V1" s="1"/>
      <x:c r="W1" s="1"/>
      <x:c r="X1" s="1"/>
    </x:row>
    <x:row r="2" ht="32" customHeight="1">
      <x:c r="A2" s="2" t="str">
        <x:v>Когорты</x:v>
      </x:c>
      <x:c r="B2" s="1"/>
      <x:c r="C2" s="1"/>
      <x:c r="D2" s="1"/>
      <x:c r="E2" s="1"/>
      <x:c r="F2" s="1"/>
      <x:c r="G2" s="1"/>
      <x:c r="H2" s="1"/>
      <x:c r="I2" s="1"/>
      <x:c r="J2" s="1"/>
      <x:c r="K2" s="1"/>
      <x:c r="L2" s="1"/>
      <x:c r="M2" s="1"/>
      <x:c r="N2" s="1"/>
      <x:c r="O2" s="1"/>
      <x:c r="P2" s="1"/>
      <x:c r="Q2" s="1"/>
      <x:c r="R2" s="1"/>
      <x:c r="S2" s="1"/>
      <x:c r="T2" s="1"/>
      <x:c r="U2" s="1"/>
      <x:c r="V2" s="1"/>
      <x:c r="W2" s="1"/>
      <x:c r="X2" s="1"/>
    </x:row>
    <x:row r="3" ht="24" customHeight="1">
      <x:c r="A3" s="1"/>
      <x:c r="B3" s="1"/>
      <x:c r="C3" s="1"/>
      <x:c r="D3" s="1"/>
      <x:c r="E3" s="1"/>
      <x:c r="F3" s="1"/>
      <x:c r="G3" s="1"/>
      <x:c r="H3" s="1"/>
      <x:c r="I3" s="1"/>
      <x:c r="J3" s="1"/>
      <x:c r="K3" s="1"/>
      <x:c r="L3" s="1"/>
      <x:c r="M3" s="1"/>
      <x:c r="N3" s="1"/>
      <x:c r="O3" s="1"/>
      <x:c r="P3" s="1"/>
      <x:c r="Q3" s="1"/>
      <x:c r="R3" s="1"/>
      <x:c r="S3" s="1"/>
      <x:c r="T3" s="1"/>
      <x:c r="U3" s="1"/>
      <x:c r="V3" s="1"/>
      <x:c r="W3" s="1"/>
      <x:c r="X3" s="1"/>
    </x:row>
    <x:row r="4" ht="50" customHeight="1">
      <x:c r="A4" s="7" t="str">
        <x:v>ID</x:v>
      </x:c>
      <x:c r="B4" s="7" t="str">
        <x:v>Размер C / F</x:v>
      </x:c>
      <x:c r="C4" s="7" t="str">
        <x:v>Доля DAU</x:v>
      </x:c>
      <x:c r="D4" s="7" t="str">
        <x:v>Людей</x:v>
      </x:c>
      <x:c r="E4" s="7" t="str">
        <x:v>Разрыв, п.п.</x:v>
      </x:c>
      <x:c r="F4" s="7" t="str">
        <x:v>CR когорты</x:v>
      </x:c>
      <x:c r="G4" s="7" t="str">
        <x:v>Владельцы F</x:v>
      </x:c>
      <x:c r="H4" s="7" t="str">
        <x:v>P(визит C)</x:v>
      </x:c>
      <x:c r="I4" s="7" t="str">
        <x:v>P(визит F)</x:v>
      </x:c>
      <x:c r="J4" s="7" t="str">
        <x:v>P(C | визит F)</x:v>
      </x:c>
      <x:c r="K4" s="7" t="str">
        <x:v>Оба</x:v>
      </x:c>
      <x:c r="L4" s="7" t="str">
        <x:v>Только C</x:v>
      </x:c>
      <x:c r="M4" s="7" t="str">
        <x:v>Только F</x:v>
      </x:c>
      <x:c r="N4" s="7" t="str">
        <x:v>Ни один</x:v>
      </x:c>
      <x:c r="O4" s="7" t="str">
        <x:v>Вес CR: только C</x:v>
      </x:c>
      <x:c r="P4" s="7" t="str">
        <x:v>Вес CR: только F</x:v>
      </x:c>
      <x:c r="Q4" s="7" t="str">
        <x:v>Вес CR: оба</x:v>
      </x:c>
      <x:c r="R4" s="7" t="str">
        <x:v>Вес CR: вне</x:v>
      </x:c>
      <x:c r="S4" s="7" t="str">
        <x:v>Норма весов</x:v>
      </x:c>
      <x:c r="T4" s="7" t="str">
        <x:v>Доход / покупателя, у.е.</x:v>
      </x:c>
      <x:c r="U4" s="7" t="str">
        <x:v>Визитёров C</x:v>
      </x:c>
      <x:c r="V4" s="7" t="str">
        <x:v>Визитёров F</x:v>
      </x:c>
      <x:c r="W4" s="7" t="str">
        <x:v>C с товарами F</x:v>
      </x:c>
      <x:c r="X4" s="7" t="str">
        <x:v>Допустимость</x:v>
      </x:c>
    </x:row>
    <x:row r="5" ht="24" customHeight="1">
      <x:c r="A5" s="1" t="str">
        <x:v>S1</x:v>
      </x:c>
      <x:c r="B5" s="1" t="str">
        <x:v>Малая C / большая F · киты</x:v>
      </x:c>
      <x:c r="C5" s="8">
        <x:f>'Параметры'!B15</x:f>
        <x:v>0.27999999999999997</x:v>
      </x:c>
      <x:c r="D5" s="12">
        <x:f>C5*'Параметры'!$B$8</x:f>
        <x:v>12319999.999999998</x:v>
      </x:c>
      <x:c r="E5" s="1">
        <x:f>0</x:f>
        <x:v>0</x:v>
      </x:c>
      <x:c r="F5" s="8">
        <x:f>'Параметры'!$B$26+E5/100</x:f>
        <x:v>0.23099999999999998</x:v>
      </x:c>
      <x:c r="G5" s="8">
        <x:f>1</x:f>
        <x:v>1</x:v>
      </x:c>
      <x:c r="H5" s="11">
        <x:f>CHOOSE('Параметры'!$B$3,'Входы H'!R5,'Входы H'!R9,'Входы H'!R13,'Входы H'!R17,'Входы H'!R21,'Входы H'!R25,'Входы H'!R29,'Входы H'!R33,'Входы H'!R37,'Входы H'!R41,'Входы H'!R45,'Входы H'!R49,'Входы H'!R53,'Входы H'!R57,'Входы H'!R61,'Входы H'!R65,'Входы H'!R69,'Входы H'!R73,'Входы H'!R77,'Входы H'!R81,'Входы H'!R85,'Входы H'!R89,'Входы H'!R93,'Входы H'!R97,'Входы H'!R101,'Входы H'!R105,'Входы H'!R109,'Входы H'!R113,'Входы H'!R117,'Входы H'!R121,'Входы H'!R125,'Входы H'!R129,'Входы H'!R133,'Входы H'!R137,'Входы H'!R141)</x:f>
        <x:v>0.65000000000000002</x:v>
      </x:c>
      <x:c r="I5" s="11">
        <x:f>CHOOSE('Параметры'!$B$3,'Входы H'!S5,'Входы H'!S9,'Входы H'!S13,'Входы H'!S17,'Входы H'!S21,'Входы H'!S25,'Входы H'!S29,'Входы H'!S33,'Входы H'!S37,'Входы H'!S41,'Входы H'!S45,'Входы H'!S49,'Входы H'!S53,'Входы H'!S57,'Входы H'!S61,'Входы H'!S65,'Входы H'!S69,'Входы H'!S73,'Входы H'!S77,'Входы H'!S81,'Входы H'!S85,'Входы H'!S89,'Входы H'!S93,'Входы H'!S97,'Входы H'!S101,'Входы H'!S105,'Входы H'!S109,'Входы H'!S113,'Входы H'!S117,'Входы H'!S121,'Входы H'!S125,'Входы H'!S129,'Входы H'!S133,'Входы H'!S137,'Входы H'!S141)</x:f>
        <x:v>0.13</x:v>
      </x:c>
      <x:c r="J5" s="11">
        <x:f>'Сценарии'!N3</x:f>
        <x:v>0.80000000000000004</x:v>
      </x:c>
      <x:c r="K5" s="8">
        <x:f>I5*J5</x:f>
        <x:v>0.10400000000000001</x:v>
      </x:c>
      <x:c r="L5" s="8">
        <x:f>H5-K5</x:f>
        <x:v>0.54600000000000004</x:v>
      </x:c>
      <x:c r="M5" s="8">
        <x:f>I5-K5</x:f>
        <x:v>0.025999999999999995</x:v>
      </x:c>
      <x:c r="N5" s="8">
        <x:f>1-H5-I5+K5</x:f>
        <x:v>0.32399999999999995</x:v>
      </x:c>
      <x:c r="O5" s="10">
        <x:f>CHOOSE('Параметры'!$B$3,'Входы H'!N5,'Входы H'!N9,'Входы H'!N13,'Входы H'!N17,'Входы H'!N21,'Входы H'!N25,'Входы H'!N29,'Входы H'!N33,'Входы H'!N37,'Входы H'!N41,'Входы H'!N45,'Входы H'!N49,'Входы H'!N53,'Входы H'!N57,'Входы H'!N61,'Входы H'!N65,'Входы H'!N69,'Входы H'!N73,'Входы H'!N77,'Входы H'!N81,'Входы H'!N85,'Входы H'!N89,'Входы H'!N93,'Входы H'!N97,'Входы H'!N101,'Входы H'!N105,'Входы H'!N109,'Входы H'!N113,'Входы H'!N117,'Входы H'!N121,'Входы H'!N125,'Входы H'!N129,'Входы H'!N133,'Входы H'!N137,'Входы H'!N141)</x:f>
        <x:v>1.5</x:v>
      </x:c>
      <x:c r="P5" s="10">
        <x:f>CHOOSE('Параметры'!$B$3,'Входы H'!O5,'Входы H'!O9,'Входы H'!O13,'Входы H'!O17,'Входы H'!O21,'Входы H'!O25,'Входы H'!O29,'Входы H'!O33,'Входы H'!O37,'Входы H'!O41,'Входы H'!O45,'Входы H'!O49,'Входы H'!O53,'Входы H'!O57,'Входы H'!O61,'Входы H'!O65,'Входы H'!O69,'Входы H'!O73,'Входы H'!O77,'Входы H'!O81,'Входы H'!O85,'Входы H'!O89,'Входы H'!O93,'Входы H'!O97,'Входы H'!O101,'Входы H'!O105,'Входы H'!O109,'Входы H'!O113,'Входы H'!O117,'Входы H'!O121,'Входы H'!O125,'Входы H'!O129,'Входы H'!O133,'Входы H'!O137,'Входы H'!O141)</x:f>
        <x:v>0.20000000000000001</x:v>
      </x:c>
      <x:c r="Q5" s="10">
        <x:f>CHOOSE('Параметры'!$B$3,'Входы H'!P5,'Входы H'!P9,'Входы H'!P13,'Входы H'!P17,'Входы H'!P21,'Входы H'!P25,'Входы H'!P29,'Входы H'!P33,'Входы H'!P37,'Входы H'!P41,'Входы H'!P45,'Входы H'!P49,'Входы H'!P53,'Входы H'!P57,'Входы H'!P61,'Входы H'!P65,'Входы H'!P69,'Входы H'!P73,'Входы H'!P77,'Входы H'!P81,'Входы H'!P85,'Входы H'!P89,'Входы H'!P93,'Входы H'!P97,'Входы H'!P101,'Входы H'!P105,'Входы H'!P109,'Входы H'!P113,'Входы H'!P117,'Входы H'!P121,'Входы H'!P125,'Входы H'!P129,'Входы H'!P133,'Входы H'!P137,'Входы H'!P141)</x:f>
        <x:v>1</x:v>
      </x:c>
      <x:c r="R5" s="10">
        <x:f>CHOOSE('Параметры'!$B$3,'Входы H'!Q5,'Входы H'!Q9,'Входы H'!Q13,'Входы H'!Q17,'Входы H'!Q21,'Входы H'!Q25,'Входы H'!Q29,'Входы H'!Q33,'Входы H'!Q37,'Входы H'!Q41,'Входы H'!Q45,'Входы H'!Q49,'Входы H'!Q53,'Входы H'!Q57,'Входы H'!Q61,'Входы H'!Q65,'Входы H'!Q69,'Входы H'!Q73,'Входы H'!Q77,'Входы H'!Q81,'Входы H'!Q85,'Входы H'!Q89,'Входы H'!Q93,'Входы H'!Q97,'Входы H'!Q101,'Входы H'!Q105,'Входы H'!Q109,'Входы H'!Q113,'Входы H'!Q117,'Входы H'!Q121,'Входы H'!Q125,'Входы H'!Q129,'Входы H'!Q133,'Входы H'!Q137,'Входы H'!Q141)</x:f>
        <x:v>0.29999999999999999</x:v>
      </x:c>
      <x:c r="S5" s="1">
        <x:f>L5*O5+M5*P5+K5*Q5+N5*R5</x:f>
        <x:v>1.0254000000000001</x:v>
      </x:c>
      <x:c r="T5" s="13">
        <x:f>'Сценарии'!U3</x:f>
        <x:v>1</x:v>
      </x:c>
      <x:c r="U5" s="12">
        <x:f>D5*H5</x:f>
        <x:v>8007999.9999999991</x:v>
      </x:c>
      <x:c r="V5" s="12">
        <x:f>D5*I5</x:f>
        <x:v>1601599.9999999998</x:v>
      </x:c>
      <x:c r="W5" s="12">
        <x:f>U5*G5</x:f>
        <x:v>8007999.9999999991</x:v>
      </x:c>
      <x:c r="X5" s="1">
        <x:f>IF(AND(COUNT(H5:J5)=3,COUNT(O5:R5)=4,ISNUMBER(T5),MIN(H5:N5)&gt;=0,MAX(H5:N5)&lt;=1,I5&lt;=G5,K5&lt;=H5*G5,ABS(SUM(K5:N5)-1)&lt;0.00000001,MIN(O5:R5)&gt;=0,S5&gt;0,T5&gt;=0,F5&gt;=0,F5&lt;=1,F5*MAX(O5:R5)/S5&lt;=1),1,0)</x:f>
        <x:v>1</x:v>
      </x:c>
    </x:row>
    <x:row r="6" ht="24" customHeight="1">
      <x:c r="A6" s="1" t="str">
        <x:v>S2</x:v>
      </x:c>
      <x:c r="B6" s="1" t="str">
        <x:v>Большая C / большая F</x:v>
      </x:c>
      <x:c r="C6" s="8">
        <x:f>'Параметры'!B16</x:f>
        <x:v>0.12</x:v>
      </x:c>
      <x:c r="D6" s="12">
        <x:f>C6*'Параметры'!$B$8</x:f>
        <x:v>5280000</x:v>
      </x:c>
      <x:c r="E6" s="1">
        <x:f>'Исходные'!B17</x:f>
        <x:v>-9</x:v>
      </x:c>
      <x:c r="F6" s="8">
        <x:f>'Параметры'!$B$26+E6/100</x:f>
        <x:v>0.14099999999999999</x:v>
      </x:c>
      <x:c r="G6" s="8">
        <x:f>1</x:f>
        <x:v>1</x:v>
      </x:c>
      <x:c r="H6" s="11">
        <x:f>CHOOSE('Параметры'!$B$3,'Входы H'!R6,'Входы H'!R10,'Входы H'!R14,'Входы H'!R18,'Входы H'!R22,'Входы H'!R26,'Входы H'!R30,'Входы H'!R34,'Входы H'!R38,'Входы H'!R42,'Входы H'!R46,'Входы H'!R50,'Входы H'!R54,'Входы H'!R58,'Входы H'!R62,'Входы H'!R66,'Входы H'!R70,'Входы H'!R74,'Входы H'!R78,'Входы H'!R82,'Входы H'!R86,'Входы H'!R90,'Входы H'!R94,'Входы H'!R98,'Входы H'!R102,'Входы H'!R106,'Входы H'!R110,'Входы H'!R114,'Входы H'!R118,'Входы H'!R122,'Входы H'!R126,'Входы H'!R130,'Входы H'!R134,'Входы H'!R138,'Входы H'!R142)</x:f>
        <x:v>0.65000000000000002</x:v>
      </x:c>
      <x:c r="I6" s="11">
        <x:f>CHOOSE('Параметры'!$B$3,'Входы H'!S6,'Входы H'!S10,'Входы H'!S14,'Входы H'!S18,'Входы H'!S22,'Входы H'!S26,'Входы H'!S30,'Входы H'!S34,'Входы H'!S38,'Входы H'!S42,'Входы H'!S46,'Входы H'!S50,'Входы H'!S54,'Входы H'!S58,'Входы H'!S62,'Входы H'!S66,'Входы H'!S70,'Входы H'!S74,'Входы H'!S78,'Входы H'!S82,'Входы H'!S86,'Входы H'!S90,'Входы H'!S94,'Входы H'!S98,'Входы H'!S102,'Входы H'!S106,'Входы H'!S110,'Входы H'!S114,'Входы H'!S118,'Входы H'!S122,'Входы H'!S126,'Входы H'!S130,'Входы H'!S134,'Входы H'!S138,'Входы H'!S142)</x:f>
        <x:v>0.13</x:v>
      </x:c>
      <x:c r="J6" s="11">
        <x:f>'Сценарии'!N3</x:f>
        <x:v>0.80000000000000004</x:v>
      </x:c>
      <x:c r="K6" s="8">
        <x:f>I6*J6</x:f>
        <x:v>0.10400000000000001</x:v>
      </x:c>
      <x:c r="L6" s="8">
        <x:f>H6-K6</x:f>
        <x:v>0.54600000000000004</x:v>
      </x:c>
      <x:c r="M6" s="8">
        <x:f>I6-K6</x:f>
        <x:v>0.025999999999999995</x:v>
      </x:c>
      <x:c r="N6" s="8">
        <x:f>1-H6-I6+K6</x:f>
        <x:v>0.32399999999999995</x:v>
      </x:c>
      <x:c r="O6" s="10">
        <x:f>CHOOSE('Параметры'!$B$3,'Входы H'!N6,'Входы H'!N10,'Входы H'!N14,'Входы H'!N18,'Входы H'!N22,'Входы H'!N26,'Входы H'!N30,'Входы H'!N34,'Входы H'!N38,'Входы H'!N42,'Входы H'!N46,'Входы H'!N50,'Входы H'!N54,'Входы H'!N58,'Входы H'!N62,'Входы H'!N66,'Входы H'!N70,'Входы H'!N74,'Входы H'!N78,'Входы H'!N82,'Входы H'!N86,'Входы H'!N90,'Входы H'!N94,'Входы H'!N98,'Входы H'!N102,'Входы H'!N106,'Входы H'!N110,'Входы H'!N114,'Входы H'!N118,'Входы H'!N122,'Входы H'!N126,'Входы H'!N130,'Входы H'!N134,'Входы H'!N138,'Входы H'!N142)</x:f>
        <x:v>1.5</x:v>
      </x:c>
      <x:c r="P6" s="10">
        <x:f>CHOOSE('Параметры'!$B$3,'Входы H'!O6,'Входы H'!O10,'Входы H'!O14,'Входы H'!O18,'Входы H'!O22,'Входы H'!O26,'Входы H'!O30,'Входы H'!O34,'Входы H'!O38,'Входы H'!O42,'Входы H'!O46,'Входы H'!O50,'Входы H'!O54,'Входы H'!O58,'Входы H'!O62,'Входы H'!O66,'Входы H'!O70,'Входы H'!O74,'Входы H'!O78,'Входы H'!O82,'Входы H'!O86,'Входы H'!O90,'Входы H'!O94,'Входы H'!O98,'Входы H'!O102,'Входы H'!O106,'Входы H'!O110,'Входы H'!O114,'Входы H'!O118,'Входы H'!O122,'Входы H'!O126,'Входы H'!O130,'Входы H'!O134,'Входы H'!O138,'Входы H'!O142)</x:f>
        <x:v>0.20000000000000001</x:v>
      </x:c>
      <x:c r="Q6" s="10">
        <x:f>CHOOSE('Параметры'!$B$3,'Входы H'!P6,'Входы H'!P10,'Входы H'!P14,'Входы H'!P18,'Входы H'!P22,'Входы H'!P26,'Входы H'!P30,'Входы H'!P34,'Входы H'!P38,'Входы H'!P42,'Входы H'!P46,'Входы H'!P50,'Входы H'!P54,'Входы H'!P58,'Входы H'!P62,'Входы H'!P66,'Входы H'!P70,'Входы H'!P74,'Входы H'!P78,'Входы H'!P82,'Входы H'!P86,'Входы H'!P90,'Входы H'!P94,'Входы H'!P98,'Входы H'!P102,'Входы H'!P106,'Входы H'!P110,'Входы H'!P114,'Входы H'!P118,'Входы H'!P122,'Входы H'!P126,'Входы H'!P130,'Входы H'!P134,'Входы H'!P138,'Входы H'!P142)</x:f>
        <x:v>1</x:v>
      </x:c>
      <x:c r="R6" s="10">
        <x:f>CHOOSE('Параметры'!$B$3,'Входы H'!Q6,'Входы H'!Q10,'Входы H'!Q14,'Входы H'!Q18,'Входы H'!Q22,'Входы H'!Q26,'Входы H'!Q30,'Входы H'!Q34,'Входы H'!Q38,'Входы H'!Q42,'Входы H'!Q46,'Входы H'!Q50,'Входы H'!Q54,'Входы H'!Q58,'Входы H'!Q62,'Входы H'!Q66,'Входы H'!Q70,'Входы H'!Q74,'Входы H'!Q78,'Входы H'!Q82,'Входы H'!Q86,'Входы H'!Q90,'Входы H'!Q94,'Входы H'!Q98,'Входы H'!Q102,'Входы H'!Q106,'Входы H'!Q110,'Входы H'!Q114,'Входы H'!Q118,'Входы H'!Q122,'Входы H'!Q126,'Входы H'!Q130,'Входы H'!Q134,'Входы H'!Q138,'Входы H'!Q142)</x:f>
        <x:v>0.29999999999999999</x:v>
      </x:c>
      <x:c r="S6" s="1">
        <x:f>L6*O6+M6*P6+K6*Q6+N6*R6</x:f>
        <x:v>1.0254000000000001</x:v>
      </x:c>
      <x:c r="T6" s="13">
        <x:f>'Сценарии'!U3</x:f>
        <x:v>1</x:v>
      </x:c>
      <x:c r="U6" s="12">
        <x:f>D6*H6</x:f>
        <x:v>3432000</x:v>
      </x:c>
      <x:c r="V6" s="12">
        <x:f>D6*I6</x:f>
        <x:v>686400</x:v>
      </x:c>
      <x:c r="W6" s="12">
        <x:f>U6*G6</x:f>
        <x:v>3432000</x:v>
      </x:c>
      <x:c r="X6" s="1">
        <x:f>IF(AND(COUNT(H6:J6)=3,COUNT(O6:R6)=4,ISNUMBER(T6),MIN(H6:N6)&gt;=0,MAX(H6:N6)&lt;=1,I6&lt;=G6,K6&lt;=H6*G6,ABS(SUM(K6:N6)-1)&lt;0.00000001,MIN(O6:R6)&gt;=0,S6&gt;0,T6&gt;=0,F6&gt;=0,F6&lt;=1,F6*MAX(O6:R6)/S6&lt;=1),1,0)</x:f>
        <x:v>1</x:v>
      </x:c>
    </x:row>
    <x:row r="7" ht="24" customHeight="1">
      <x:c r="A7" s="1" t="str">
        <x:v>S3</x:v>
      </x:c>
      <x:c r="B7" s="1" t="str">
        <x:v>Большая C / малая F</x:v>
      </x:c>
      <x:c r="C7" s="8">
        <x:f>'Параметры'!B17</x:f>
        <x:v>0.17999999999999999</x:v>
      </x:c>
      <x:c r="D7" s="12">
        <x:f>C7*'Параметры'!$B$8</x:f>
        <x:v>7920000</x:v>
      </x:c>
      <x:c r="E7" s="1">
        <x:f>'Исходные'!B18</x:f>
        <x:v>-18</x:v>
      </x:c>
      <x:c r="F7" s="8">
        <x:f>'Параметры'!$B$26+E7/100</x:f>
        <x:v>0.05099999999999999</x:v>
      </x:c>
      <x:c r="G7" s="8">
        <x:f>'Параметры'!$B$21</x:f>
        <x:v>0.5</x:v>
      </x:c>
      <x:c r="H7" s="11">
        <x:f>CHOOSE('Параметры'!$B$3,'Входы H'!R7,'Входы H'!R11,'Входы H'!R15,'Входы H'!R19,'Входы H'!R23,'Входы H'!R27,'Входы H'!R31,'Входы H'!R35,'Входы H'!R39,'Входы H'!R43,'Входы H'!R47,'Входы H'!R51,'Входы H'!R55,'Входы H'!R59,'Входы H'!R63,'Входы H'!R67,'Входы H'!R71,'Входы H'!R75,'Входы H'!R79,'Входы H'!R83,'Входы H'!R87,'Входы H'!R91,'Входы H'!R95,'Входы H'!R99,'Входы H'!R103,'Входы H'!R107,'Входы H'!R111,'Входы H'!R115,'Входы H'!R119,'Входы H'!R123,'Входы H'!R127,'Входы H'!R131,'Входы H'!R135,'Входы H'!R139,'Входы H'!R143)</x:f>
        <x:v>0.65000000000000002</x:v>
      </x:c>
      <x:c r="I7" s="11">
        <x:f>CHOOSE('Параметры'!$B$3,'Входы H'!S7,'Входы H'!S11,'Входы H'!S15,'Входы H'!S19,'Входы H'!S23,'Входы H'!S27,'Входы H'!S31,'Входы H'!S35,'Входы H'!S39,'Входы H'!S43,'Входы H'!S47,'Входы H'!S51,'Входы H'!S55,'Входы H'!S59,'Входы H'!S63,'Входы H'!S67,'Входы H'!S71,'Входы H'!S75,'Входы H'!S79,'Входы H'!S83,'Входы H'!S87,'Входы H'!S91,'Входы H'!S95,'Входы H'!S99,'Входы H'!S103,'Входы H'!S107,'Входы H'!S111,'Входы H'!S115,'Входы H'!S119,'Входы H'!S123,'Входы H'!S127,'Входы H'!S131,'Входы H'!S135,'Входы H'!S139,'Входы H'!S143)</x:f>
        <x:v>0.13</x:v>
      </x:c>
      <x:c r="J7" s="11">
        <x:f>'Сценарии'!N3</x:f>
        <x:v>0.80000000000000004</x:v>
      </x:c>
      <x:c r="K7" s="8">
        <x:f>I7*J7</x:f>
        <x:v>0.10400000000000001</x:v>
      </x:c>
      <x:c r="L7" s="8">
        <x:f>H7-K7</x:f>
        <x:v>0.54600000000000004</x:v>
      </x:c>
      <x:c r="M7" s="8">
        <x:f>I7-K7</x:f>
        <x:v>0.025999999999999995</x:v>
      </x:c>
      <x:c r="N7" s="8">
        <x:f>1-H7-I7+K7</x:f>
        <x:v>0.32399999999999995</x:v>
      </x:c>
      <x:c r="O7" s="10">
        <x:f>CHOOSE('Параметры'!$B$3,'Входы H'!N7,'Входы H'!N11,'Входы H'!N15,'Входы H'!N19,'Входы H'!N23,'Входы H'!N27,'Входы H'!N31,'Входы H'!N35,'Входы H'!N39,'Входы H'!N43,'Входы H'!N47,'Входы H'!N51,'Входы H'!N55,'Входы H'!N59,'Входы H'!N63,'Входы H'!N67,'Входы H'!N71,'Входы H'!N75,'Входы H'!N79,'Входы H'!N83,'Входы H'!N87,'Входы H'!N91,'Входы H'!N95,'Входы H'!N99,'Входы H'!N103,'Входы H'!N107,'Входы H'!N111,'Входы H'!N115,'Входы H'!N119,'Входы H'!N123,'Входы H'!N127,'Входы H'!N131,'Входы H'!N135,'Входы H'!N139,'Входы H'!N143)</x:f>
        <x:v>1.5</x:v>
      </x:c>
      <x:c r="P7" s="10">
        <x:f>CHOOSE('Параметры'!$B$3,'Входы H'!O7,'Входы H'!O11,'Входы H'!O15,'Входы H'!O19,'Входы H'!O23,'Входы H'!O27,'Входы H'!O31,'Входы H'!O35,'Входы H'!O39,'Входы H'!O43,'Входы H'!O47,'Входы H'!O51,'Входы H'!O55,'Входы H'!O59,'Входы H'!O63,'Входы H'!O67,'Входы H'!O71,'Входы H'!O75,'Входы H'!O79,'Входы H'!O83,'Входы H'!O87,'Входы H'!O91,'Входы H'!O95,'Входы H'!O99,'Входы H'!O103,'Входы H'!O107,'Входы H'!O111,'Входы H'!O115,'Входы H'!O119,'Входы H'!O123,'Входы H'!O127,'Входы H'!O131,'Входы H'!O135,'Входы H'!O139,'Входы H'!O143)</x:f>
        <x:v>0.20000000000000001</x:v>
      </x:c>
      <x:c r="Q7" s="10">
        <x:f>CHOOSE('Параметры'!$B$3,'Входы H'!P7,'Входы H'!P11,'Входы H'!P15,'Входы H'!P19,'Входы H'!P23,'Входы H'!P27,'Входы H'!P31,'Входы H'!P35,'Входы H'!P39,'Входы H'!P43,'Входы H'!P47,'Входы H'!P51,'Входы H'!P55,'Входы H'!P59,'Входы H'!P63,'Входы H'!P67,'Входы H'!P71,'Входы H'!P75,'Входы H'!P79,'Входы H'!P83,'Входы H'!P87,'Входы H'!P91,'Входы H'!P95,'Входы H'!P99,'Входы H'!P103,'Входы H'!P107,'Входы H'!P111,'Входы H'!P115,'Входы H'!P119,'Входы H'!P123,'Входы H'!P127,'Входы H'!P131,'Входы H'!P135,'Входы H'!P139,'Входы H'!P143)</x:f>
        <x:v>1</x:v>
      </x:c>
      <x:c r="R7" s="10">
        <x:f>CHOOSE('Параметры'!$B$3,'Входы H'!Q7,'Входы H'!Q11,'Входы H'!Q15,'Входы H'!Q19,'Входы H'!Q23,'Входы H'!Q27,'Входы H'!Q31,'Входы H'!Q35,'Входы H'!Q39,'Входы H'!Q43,'Входы H'!Q47,'Входы H'!Q51,'Входы H'!Q55,'Входы H'!Q59,'Входы H'!Q63,'Входы H'!Q67,'Входы H'!Q71,'Входы H'!Q75,'Входы H'!Q79,'Входы H'!Q83,'Входы H'!Q87,'Входы H'!Q91,'Входы H'!Q95,'Входы H'!Q99,'Входы H'!Q103,'Входы H'!Q107,'Входы H'!Q111,'Входы H'!Q115,'Входы H'!Q119,'Входы H'!Q123,'Входы H'!Q127,'Входы H'!Q131,'Входы H'!Q135,'Входы H'!Q139,'Входы H'!Q143)</x:f>
        <x:v>0.29999999999999999</x:v>
      </x:c>
      <x:c r="S7" s="1">
        <x:f>L7*O7+M7*P7+K7*Q7+N7*R7</x:f>
        <x:v>1.0254000000000001</x:v>
      </x:c>
      <x:c r="T7" s="13">
        <x:f>'Сценарии'!U3</x:f>
        <x:v>1</x:v>
      </x:c>
      <x:c r="U7" s="12">
        <x:f>D7*H7</x:f>
        <x:v>5148000</x:v>
      </x:c>
      <x:c r="V7" s="12">
        <x:f>D7*I7</x:f>
        <x:v>1029600</x:v>
      </x:c>
      <x:c r="W7" s="12">
        <x:f>U7*G7</x:f>
        <x:v>2574000</x:v>
      </x:c>
      <x:c r="X7" s="1">
        <x:f>IF(AND(COUNT(H7:J7)=3,COUNT(O7:R7)=4,ISNUMBER(T7),MIN(H7:N7)&gt;=0,MAX(H7:N7)&lt;=1,I7&lt;=G7,K7&lt;=H7*G7,ABS(SUM(K7:N7)-1)&lt;0.00000001,MIN(O7:R7)&gt;=0,S7&gt;0,T7&gt;=0,F7&gt;=0,F7&lt;=1,F7*MAX(O7:R7)/S7&lt;=1),1,0)</x:f>
        <x:v>1</x:v>
      </x:c>
    </x:row>
    <x:row r="8" ht="24" customHeight="1">
      <x:c r="A8" s="1" t="str">
        <x:v>S4</x:v>
      </x:c>
      <x:c r="B8" s="1" t="str">
        <x:v>Малая C / малая F</x:v>
      </x:c>
      <x:c r="C8" s="8">
        <x:f>'Параметры'!B18</x:f>
        <x:v>0.41999999999999998</x:v>
      </x:c>
      <x:c r="D8" s="12">
        <x:f>C8*'Параметры'!$B$8</x:f>
        <x:v>18480000</x:v>
      </x:c>
      <x:c r="E8" s="1">
        <x:f>'Исходные'!B19</x:f>
        <x:v>-9</x:v>
      </x:c>
      <x:c r="F8" s="8">
        <x:f>'Параметры'!$B$26+E8/100</x:f>
        <x:v>0.14099999999999999</x:v>
      </x:c>
      <x:c r="G8" s="8">
        <x:f>'Параметры'!$B$21</x:f>
        <x:v>0.5</x:v>
      </x:c>
      <x:c r="H8" s="11">
        <x:f>CHOOSE('Параметры'!$B$3,'Входы H'!R8,'Входы H'!R12,'Входы H'!R16,'Входы H'!R20,'Входы H'!R24,'Входы H'!R28,'Входы H'!R32,'Входы H'!R36,'Входы H'!R40,'Входы H'!R44,'Входы H'!R48,'Входы H'!R52,'Входы H'!R56,'Входы H'!R60,'Входы H'!R64,'Входы H'!R68,'Входы H'!R72,'Входы H'!R76,'Входы H'!R80,'Входы H'!R84,'Входы H'!R88,'Входы H'!R92,'Входы H'!R96,'Входы H'!R100,'Входы H'!R104,'Входы H'!R108,'Входы H'!R112,'Входы H'!R116,'Входы H'!R120,'Входы H'!R124,'Входы H'!R128,'Входы H'!R132,'Входы H'!R136,'Входы H'!R140,'Входы H'!R144)</x:f>
        <x:v>0.65000000000000002</x:v>
      </x:c>
      <x:c r="I8" s="11">
        <x:f>CHOOSE('Параметры'!$B$3,'Входы H'!S8,'Входы H'!S12,'Входы H'!S16,'Входы H'!S20,'Входы H'!S24,'Входы H'!S28,'Входы H'!S32,'Входы H'!S36,'Входы H'!S40,'Входы H'!S44,'Входы H'!S48,'Входы H'!S52,'Входы H'!S56,'Входы H'!S60,'Входы H'!S64,'Входы H'!S68,'Входы H'!S72,'Входы H'!S76,'Входы H'!S80,'Входы H'!S84,'Входы H'!S88,'Входы H'!S92,'Входы H'!S96,'Входы H'!S100,'Входы H'!S104,'Входы H'!S108,'Входы H'!S112,'Входы H'!S116,'Входы H'!S120,'Входы H'!S124,'Входы H'!S128,'Входы H'!S132,'Входы H'!S136,'Входы H'!S140,'Входы H'!S144)</x:f>
        <x:v>0.13</x:v>
      </x:c>
      <x:c r="J8" s="11">
        <x:f>'Сценарии'!N3</x:f>
        <x:v>0.80000000000000004</x:v>
      </x:c>
      <x:c r="K8" s="8">
        <x:f>I8*J8</x:f>
        <x:v>0.10400000000000001</x:v>
      </x:c>
      <x:c r="L8" s="8">
        <x:f>H8-K8</x:f>
        <x:v>0.54600000000000004</x:v>
      </x:c>
      <x:c r="M8" s="8">
        <x:f>I8-K8</x:f>
        <x:v>0.025999999999999995</x:v>
      </x:c>
      <x:c r="N8" s="8">
        <x:f>1-H8-I8+K8</x:f>
        <x:v>0.32399999999999995</x:v>
      </x:c>
      <x:c r="O8" s="10">
        <x:f>CHOOSE('Параметры'!$B$3,'Входы H'!N8,'Входы H'!N12,'Входы H'!N16,'Входы H'!N20,'Входы H'!N24,'Входы H'!N28,'Входы H'!N32,'Входы H'!N36,'Входы H'!N40,'Входы H'!N44,'Входы H'!N48,'Входы H'!N52,'Входы H'!N56,'Входы H'!N60,'Входы H'!N64,'Входы H'!N68,'Входы H'!N72,'Входы H'!N76,'Входы H'!N80,'Входы H'!N84,'Входы H'!N88,'Входы H'!N92,'Входы H'!N96,'Входы H'!N100,'Входы H'!N104,'Входы H'!N108,'Входы H'!N112,'Входы H'!N116,'Входы H'!N120,'Входы H'!N124,'Входы H'!N128,'Входы H'!N132,'Входы H'!N136,'Входы H'!N140,'Входы H'!N144)</x:f>
        <x:v>1.5</x:v>
      </x:c>
      <x:c r="P8" s="10">
        <x:f>CHOOSE('Параметры'!$B$3,'Входы H'!O8,'Входы H'!O12,'Входы H'!O16,'Входы H'!O20,'Входы H'!O24,'Входы H'!O28,'Входы H'!O32,'Входы H'!O36,'Входы H'!O40,'Входы H'!O44,'Входы H'!O48,'Входы H'!O52,'Входы H'!O56,'Входы H'!O60,'Входы H'!O64,'Входы H'!O68,'Входы H'!O72,'Входы H'!O76,'Входы H'!O80,'Входы H'!O84,'Входы H'!O88,'Входы H'!O92,'Входы H'!O96,'Входы H'!O100,'Входы H'!O104,'Входы H'!O108,'Входы H'!O112,'Входы H'!O116,'Входы H'!O120,'Входы H'!O124,'Входы H'!O128,'Входы H'!O132,'Входы H'!O136,'Входы H'!O140,'Входы H'!O144)</x:f>
        <x:v>0.20000000000000001</x:v>
      </x:c>
      <x:c r="Q8" s="10">
        <x:f>CHOOSE('Параметры'!$B$3,'Входы H'!P8,'Входы H'!P12,'Входы H'!P16,'Входы H'!P20,'Входы H'!P24,'Входы H'!P28,'Входы H'!P32,'Входы H'!P36,'Входы H'!P40,'Входы H'!P44,'Входы H'!P48,'Входы H'!P52,'Входы H'!P56,'Входы H'!P60,'Входы H'!P64,'Входы H'!P68,'Входы H'!P72,'Входы H'!P76,'Входы H'!P80,'Входы H'!P84,'Входы H'!P88,'Входы H'!P92,'Входы H'!P96,'Входы H'!P100,'Входы H'!P104,'Входы H'!P108,'Входы H'!P112,'Входы H'!P116,'Входы H'!P120,'Входы H'!P124,'Входы H'!P128,'Входы H'!P132,'Входы H'!P136,'Входы H'!P140,'Входы H'!P144)</x:f>
        <x:v>1</x:v>
      </x:c>
      <x:c r="R8" s="10">
        <x:f>CHOOSE('Параметры'!$B$3,'Входы H'!Q8,'Входы H'!Q12,'Входы H'!Q16,'Входы H'!Q20,'Входы H'!Q24,'Входы H'!Q28,'Входы H'!Q32,'Входы H'!Q36,'Входы H'!Q40,'Входы H'!Q44,'Входы H'!Q48,'Входы H'!Q52,'Входы H'!Q56,'Входы H'!Q60,'Входы H'!Q64,'Входы H'!Q68,'Входы H'!Q72,'Входы H'!Q76,'Входы H'!Q80,'Входы H'!Q84,'Входы H'!Q88,'Входы H'!Q92,'Входы H'!Q96,'Входы H'!Q100,'Входы H'!Q104,'Входы H'!Q108,'Входы H'!Q112,'Входы H'!Q116,'Входы H'!Q120,'Входы H'!Q124,'Входы H'!Q128,'Входы H'!Q132,'Входы H'!Q136,'Входы H'!Q140,'Входы H'!Q144)</x:f>
        <x:v>0.29999999999999999</x:v>
      </x:c>
      <x:c r="S8" s="1">
        <x:f>L8*O8+M8*P8+K8*Q8+N8*R8</x:f>
        <x:v>1.0254000000000001</x:v>
      </x:c>
      <x:c r="T8" s="13">
        <x:f>'Сценарии'!U3</x:f>
        <x:v>1</x:v>
      </x:c>
      <x:c r="U8" s="12">
        <x:f>D8*H8</x:f>
        <x:v>12012000</x:v>
      </x:c>
      <x:c r="V8" s="12">
        <x:f>D8*I8</x:f>
        <x:v>2402400</x:v>
      </x:c>
      <x:c r="W8" s="12">
        <x:f>U8*G8</x:f>
        <x:v>6006000</x:v>
      </x:c>
      <x:c r="X8" s="1">
        <x:f>IF(AND(COUNT(H8:J8)=3,COUNT(O8:R8)=4,ISNUMBER(T8),MIN(H8:N8)&gt;=0,MAX(H8:N8)&lt;=1,I8&lt;=G8,K8&lt;=H8*G8,ABS(SUM(K8:N8)-1)&lt;0.00000001,MIN(O8:R8)&gt;=0,S8&gt;0,T8&gt;=0,F8&gt;=0,F8&lt;=1,F8*MAX(O8:R8)/S8&lt;=1),1,0)</x:f>
        <x:v>1</x:v>
      </x:c>
    </x:row>
    <x:row r="9" ht="24" customHeight="1">
      <x:c r="A9" s="1"/>
      <x:c r="B9" s="1"/>
      <x:c r="C9" s="8"/>
      <x:c r="D9" s="12"/>
      <x:c r="E9" s="1"/>
      <x:c r="F9" s="1"/>
      <x:c r="G9" s="1"/>
      <x:c r="H9" s="1"/>
      <x:c r="I9" s="1"/>
      <x:c r="J9" s="1"/>
      <x:c r="K9" s="1"/>
      <x:c r="L9" s="1"/>
      <x:c r="M9" s="1"/>
      <x:c r="N9" s="1"/>
      <x:c r="O9" s="1"/>
      <x:c r="P9" s="1"/>
      <x:c r="Q9" s="1"/>
      <x:c r="R9" s="1"/>
      <x:c r="S9" s="1"/>
      <x:c r="T9" s="12"/>
      <x:c r="U9" s="12"/>
      <x:c r="V9" s="12"/>
      <x:c r="W9" s="12"/>
      <x:c r="X9" s="1"/>
    </x:row>
    <x:row r="10" ht="24" customHeight="1">
      <x:c r="A10" s="1" t="str">
        <x:v>Итого</x:v>
      </x:c>
      <x:c r="B10" s="1"/>
      <x:c r="C10" s="8">
        <x:f>SUM(C5:C8)</x:f>
        <x:v>1</x:v>
      </x:c>
      <x:c r="D10" s="12">
        <x:f>SUM(D5:D8)</x:f>
        <x:v>44000000</x:v>
      </x:c>
      <x:c r="E10" s="1"/>
      <x:c r="F10" s="8">
        <x:f>SUMPRODUCT(C5:C8,F5:F8)</x:f>
        <x:v>0.14999999999999997</x:v>
      </x:c>
      <x:c r="G10" s="1"/>
      <x:c r="H10" s="1"/>
      <x:c r="I10" s="1"/>
      <x:c r="J10" s="1"/>
      <x:c r="K10" s="1"/>
      <x:c r="L10" s="1"/>
      <x:c r="M10" s="1"/>
      <x:c r="N10" s="1"/>
      <x:c r="O10" s="1"/>
      <x:c r="P10" s="1"/>
      <x:c r="Q10" s="1"/>
      <x:c r="R10" s="1"/>
      <x:c r="S10" s="1"/>
      <x:c r="T10" s="12"/>
      <x:c r="U10" s="12">
        <x:f>SUM(U5:U8)</x:f>
        <x:v>28600000</x:v>
      </x:c>
      <x:c r="V10" s="12">
        <x:f>SUM(V5:V8)</x:f>
        <x:v>5720000</x:v>
      </x:c>
      <x:c r="W10" s="12">
        <x:f>SUM(W5:W8)</x:f>
        <x:v>20020000</x:v>
      </x:c>
      <x:c r="X10" s="1">
        <x:f>IF(AND(MIN(X5:X8)=1,ABS(C10-1)&lt;0.00000001,ABS(F10-'Параметры'!B27)&lt;0.00000001,ABS(U10-'Параметры'!B31)&lt;0.00001,ABS(V10-'Параметры'!B32)&lt;0.00001,U10&gt;0,OR('Сценарии'!V3=0,AND(OR('Сценарии'!V3=0,AND(OR('Сценарии'!V3=0,AND(W10/U10&gt;='Исходные'!B9,W10/U10&lt;='Исходные'!B10)))))),'Параметры'!B31&lt;='Параметры'!B33,'Параметры'!B32&lt;='Параметры'!B34),1,0)</x:f>
        <x:v>1</x:v>
      </x:c>
    </x:row>
    <x:row r="11" ht="24" customHeight="1">
      <x:c r="A11" s="1"/>
      <x:c r="B11" s="1"/>
      <x:c r="C11" s="1"/>
      <x:c r="D11" s="1"/>
      <x:c r="E11" s="1"/>
      <x:c r="F11" s="1"/>
      <x:c r="G11" s="1"/>
      <x:c r="H11" s="1"/>
      <x:c r="I11" s="1"/>
      <x:c r="J11" s="1"/>
      <x:c r="K11" s="1"/>
      <x:c r="L11" s="1"/>
      <x:c r="M11" s="1"/>
      <x:c r="N11" s="1"/>
      <x:c r="O11" s="1"/>
      <x:c r="P11" s="1"/>
      <x:c r="Q11" s="1"/>
      <x:c r="R11" s="1"/>
      <x:c r="S11" s="1"/>
      <x:c r="T11" s="1"/>
      <x:c r="U11" s="1"/>
      <x:c r="V11" s="1"/>
      <x:c r="W11" s="1"/>
      <x:c r="X11" s="1"/>
    </x:row>
    <x:row r="12" ht="24" customHeight="1">
      <x:c r="A12" s="1" t="str">
        <x:v>Жёлтые — допущения. Разрывы — факт кейса. Доли, CR, люди и пересечения — расчёт.</x:v>
      </x:c>
      <x:c r="B12" s="1"/>
      <x:c r="C12" s="1"/>
      <x:c r="D12" s="1"/>
      <x:c r="E12" s="1"/>
      <x:c r="F12" s="1"/>
      <x:c r="G12" s="1"/>
      <x:c r="H12" s="1"/>
      <x:c r="I12" s="1"/>
      <x:c r="J12" s="1"/>
      <x:c r="K12" s="1"/>
      <x:c r="L12" s="1"/>
      <x:c r="M12" s="1"/>
      <x:c r="N12" s="1"/>
      <x:c r="O12" s="1"/>
      <x:c r="P12" s="1"/>
      <x:c r="Q12" s="1"/>
      <x:c r="R12" s="1"/>
      <x:c r="S12" s="1"/>
      <x:c r="T12" s="1"/>
      <x:c r="U12" s="1"/>
      <x:c r="V12" s="1"/>
      <x:c r="W12" s="1"/>
      <x:c r="X12" s="1"/>
    </x:row>
    <x:row r="13" ht="24" customHeight="1">
      <x:c r="A13" s="1" t="str">
        <x:v>Веса O:R распределяют CR внутри когорты по посещению; нормировка сохраняет точную когортную CR.</x:v>
      </x:c>
      <x:c r="B13" s="1"/>
      <x:c r="C13" s="1"/>
      <x:c r="D13" s="1"/>
      <x:c r="E13" s="1"/>
      <x:c r="F13" s="1"/>
      <x:c r="G13" s="1"/>
      <x:c r="H13" s="1"/>
      <x:c r="I13" s="1"/>
      <x:c r="J13" s="1"/>
      <x:c r="K13" s="1"/>
      <x:c r="L13" s="1"/>
      <x:c r="M13" s="1"/>
      <x:c r="N13" s="1"/>
      <x:c r="O13" s="1"/>
      <x:c r="P13" s="1"/>
      <x:c r="Q13" s="1"/>
      <x:c r="R13" s="1"/>
      <x:c r="S13" s="1"/>
      <x:c r="T13" s="1"/>
      <x:c r="U13" s="1"/>
      <x:c r="V13" s="1"/>
      <x:c r="W13" s="1"/>
      <x:c r="X13" s="1"/>
    </x:row>
    <x:row r="14" ht="24" customHeight="1">
      <x:c r="A14" s="1" t="str">
        <x:v>Доли визитов и цель внутри них неизвестны. Малый список включает нулевой; большой F означает наличие товаров.</x:v>
      </x:c>
      <x:c r="B14" s="1"/>
      <x:c r="C14" s="1"/>
      <x:c r="D14" s="1"/>
      <x:c r="E14" s="1"/>
      <x:c r="F14" s="1"/>
      <x:c r="G14" s="1"/>
      <x:c r="H14" s="1"/>
      <x:c r="I14" s="1"/>
      <x:c r="J14" s="1"/>
      <x:c r="K14" s="1"/>
      <x:c r="L14" s="1"/>
      <x:c r="M14" s="1"/>
      <x:c r="N14" s="1"/>
      <x:c r="O14" s="1"/>
      <x:c r="P14" s="1"/>
      <x:c r="Q14" s="1"/>
      <x:c r="R14" s="1"/>
      <x:c r="S14" s="1"/>
      <x:c r="T14" s="1"/>
      <x:c r="U14" s="1"/>
      <x:c r="V14" s="1"/>
      <x:c r="W14" s="1"/>
      <x:c r="X14" s="1"/>
    </x:row>
    <x:row r="15" ht="24" customHeight="1">
      <x:c r="A15" s="1" t="str">
        <x:v>S2/S3: 40+ SKU. Большое Избранное и независимость размеров — допущения; владение F проверяется отдельно (60–80%).</x:v>
      </x:c>
      <x:c r="B15" s="1"/>
      <x:c r="C15" s="1"/>
      <x:c r="D15" s="1"/>
      <x:c r="E15" s="1"/>
      <x:c r="F15" s="1"/>
      <x:c r="G15" s="1"/>
      <x:c r="H15" s="1"/>
      <x:c r="I15" s="1"/>
      <x:c r="J15" s="1"/>
      <x:c r="K15" s="1"/>
      <x:c r="L15" s="1"/>
      <x:c r="M15" s="1"/>
      <x:c r="N15" s="1"/>
      <x:c r="O15" s="1"/>
      <x:c r="P15" s="1"/>
      <x:c r="Q15" s="1"/>
      <x:c r="R15" s="1"/>
      <x:c r="S15" s="1"/>
      <x:c r="T15" s="1"/>
      <x:c r="U15" s="1"/>
      <x:c r="V15" s="1"/>
      <x:c r="W15" s="1"/>
      <x:c r="X15" s="1"/>
    </x:row>
  </x:sheetData>
  <x:conditionalFormatting sqref="X5:X10">
    <x:cfRule type="cellIs" dxfId="1" priority="1" operator="equal">
      <x:formula>0</x:formula>
    </x:cfRule>
  </x:conditionalFormatting>
  <x:pageMargins left="0.7" right="0.7" top="0.75" bottom="0.75" header="0.3" footer="0.3"/>
</x:worksheet>
</file>

<file path=xl/worksheets/sheet4.xml><?xml version="1.0" encoding="utf-8"?>
<x:worksheet xmlns:x="http://schemas.openxmlformats.org/spreadsheetml/2006/main">
  <x:sheetPr>
    <x:tabColor rgb="FF3A5A8D"/>
  </x:sheetPr>
  <x:sheetViews>
    <x:sheetView showGridLines="0" workbookViewId="0">
      <x:pane xSplit="2" ySplit="4" topLeftCell="C5" activePane="bottomRight" state="frozen"/>
    </x:sheetView>
  </x:sheetViews>
  <x:sheetFormatPr defaultRowHeight="15"/>
  <x:cols>
    <x:col min="1" max="1" width="18" hidden="0" customWidth="1"/>
    <x:col min="2" max="2" width="37" hidden="0" customWidth="1"/>
    <x:col min="3" max="3" width="20" hidden="0" customWidth="1"/>
    <x:col min="4" max="4" width="18" hidden="0" customWidth="1"/>
    <x:col min="5" max="5" width="18" hidden="0" customWidth="1"/>
    <x:col min="6" max="6" width="85" hidden="0" customWidth="1"/>
    <x:col min="7" max="7" width="44" hidden="0" customWidth="1"/>
    <x:col min="8" max="8" width="36" hidden="0" customWidth="1"/>
    <x:col min="9" max="9" width="18" hidden="0" customWidth="1"/>
    <x:col min="11" max="11" width="20" hidden="0" customWidth="1"/>
    <x:col min="12" max="12" width="20" hidden="0" customWidth="1"/>
  </x:cols>
  <x:sheetData>
    <x:row r="1" ht="24" customHeight="1">
      <x:c r="A1" s="1" t="str">
        <x:v>Сценарий</x:v>
      </x:c>
      <x:c r="B1" s="1" t="str">
        <x:f>'Итоги'!B3</x:f>
        <x:v>Корзины 40+: 30%</x:v>
      </x:c>
      <x:c r="C1" s="1"/>
      <x:c r="D1" s="1"/>
      <x:c r="E1" s="1"/>
      <x:c r="F1" s="1"/>
      <x:c r="G1" s="1"/>
      <x:c r="H1" s="1"/>
      <x:c r="I1" s="1"/>
    </x:row>
    <x:row r="2" ht="32" customHeight="1">
      <x:c r="A2" s="2" t="str">
        <x:v>Гипотезы</x:v>
      </x:c>
      <x:c r="B2" s="1"/>
      <x:c r="C2" s="1"/>
      <x:c r="D2" s="1"/>
      <x:c r="E2" s="1"/>
      <x:c r="F2" s="1"/>
      <x:c r="G2" s="1"/>
      <x:c r="H2" s="1"/>
      <x:c r="I2" s="1"/>
    </x:row>
    <x:row r="3" ht="24" customHeight="1">
      <x:c r="A3" s="1"/>
      <x:c r="B3" s="1"/>
      <x:c r="C3" s="1"/>
      <x:c r="D3" s="1"/>
      <x:c r="E3" s="1"/>
      <x:c r="F3" s="1"/>
      <x:c r="G3" s="1"/>
      <x:c r="H3" s="1"/>
      <x:c r="I3" s="1"/>
    </x:row>
    <x:row r="4" ht="24" customHeight="1">
      <x:c r="A4" s="7" t="str">
        <x:v>ID</x:v>
      </x:c>
      <x:c r="B4" s="7" t="str">
        <x:v>Решение</x:v>
      </x:c>
      <x:c r="C4" s="7" t="str">
        <x:v>Вход</x:v>
      </x:c>
      <x:c r="D4" s="7" t="str">
        <x:v>Поведенч. штраф</x:v>
      </x:c>
      <x:c r="E4" s="7" t="str">
        <x:v>Продукт. штраф</x:v>
      </x:c>
      <x:c r="F4" s="7" t="str">
        <x:v>Риски и ограничения</x:v>
      </x:c>
      <x:c r="G4" s="7" t="str">
        <x:v>Источник</x:v>
      </x:c>
      <x:c r="H4" s="7" t="str">
        <x:v>Тип</x:v>
      </x:c>
      <x:c r="I4" s="7" t="str">
        <x:v>Допустимость</x:v>
      </x:c>
      <x:c r="K4" s="14" t="str">
        <x:v>Шкала штрафов</x:v>
      </x:c>
      <x:c r="L4" s="14" t="str">
        <x:v>Тип</x:v>
      </x:c>
    </x:row>
    <x:row r="5" ht="54" customHeight="1">
      <x:c r="A5" s="1" t="str">
        <x:v>H1</x:v>
      </x:c>
      <x:c r="B5" s="1" t="str">
        <x:v>Поиск и фильтры в Корзине</x:v>
      </x:c>
      <x:c r="C5" s="1" t="str">
        <x:v>Корзина</x:v>
      </x:c>
      <x:c r="D5" s="11">
        <x:f>'Сценарии'!P3</x:f>
        <x:v>0.25</x:v>
      </x:c>
      <x:c r="E5" s="11">
        <x:f>'Сценарии'!Q3</x:f>
        <x:v>0.25</x:v>
      </x:c>
      <x:c r="F5" s="26" t="str">
        <x:v>40+ SKU — лишь часть больших корзин. Дополнительные элементы и задержка загрузки.</x:v>
      </x:c>
      <x:c r="G5" s="26" t="str">
        <x:v>UX, этап 4, H1; PDF с. 13</x:v>
      </x:c>
      <x:c r="H5" s="1" t="str">
        <x:v>Допущение: гипотеза и штрафы</x:v>
      </x:c>
      <x:c r="I5" s="1">
        <x:f>IF(AND(ISNUMBER(D5),ISNUMBER(E5),D5&gt;=0,D5&lt;=1,E5&gt;=0,E5&lt;=1),1,0)</x:f>
        <x:v>1</x:v>
      </x:c>
      <x:c r="K5" s="15" t="n">
        <x:v>0</x:v>
      </x:c>
      <x:c r="L5" s="14" t="str">
        <x:v>Допущение</x:v>
      </x:c>
    </x:row>
    <x:row r="6" ht="54" customHeight="1">
      <x:c r="A6" s="1" t="str">
        <x:v>H2</x:v>
      </x:c>
      <x:c r="B6" s="1" t="str">
        <x:v>Сохранение выбранного SKU</x:v>
      </x:c>
      <x:c r="C6" s="1" t="str">
        <x:v>Оба раздела</x:v>
      </x:c>
      <x:c r="D6" s="11">
        <x:f>'Сценарии'!P3</x:f>
        <x:v>0.25</x:v>
      </x:c>
      <x:c r="E6" s="11">
        <x:f>'Сценарии'!Q3</x:f>
        <x:v>0.25</x:v>
      </x:c>
      <x:c r="F6" s="26" t="str">
        <x:v>Спрос отложен. Цена/наличие меняются. Не удалять товар из C автоматически; риск перераспределения трафика.</x:v>
      </x:c>
      <x:c r="G6" s="26" t="str">
        <x:v>UX, этап 4, H2; PDF с. 14</x:v>
      </x:c>
      <x:c r="H6" s="1" t="str">
        <x:v>Допущение: гипотеза и штрафы</x:v>
      </x:c>
      <x:c r="I6" s="1">
        <x:f>IF(AND(ISNUMBER(D6),ISNUMBER(E6),D6&gt;=0,D6&lt;=1,E6&gt;=0,E6&lt;=1),1,0)</x:f>
        <x:v>1</x:v>
      </x:c>
      <x:c r="K6" s="15" t="n">
        <x:v>0.25</x:v>
      </x:c>
      <x:c r="L6" s="14" t="str">
        <x:v>Допущение</x:v>
      </x:c>
    </x:row>
    <x:row r="7" ht="54" customHeight="1">
      <x:c r="A7" s="1" t="str">
        <x:v>H3</x:v>
      </x:c>
      <x:c r="B7" s="1" t="str">
        <x:v>Купить сейчас / На потом</x:v>
      </x:c>
      <x:c r="C7" s="1" t="str">
        <x:v>Корзина</x:v>
      </x:c>
      <x:c r="D7" s="11">
        <x:f>'Сценарии'!P3</x:f>
        <x:v>0.25</x:v>
      </x:c>
      <x:c r="E7" s="11">
        <x:f>'Сценарии'!Q3</x:f>
        <x:v>0.25</x:v>
      </x:c>
      <x:c r="F7" s="26" t="str">
        <x:v>Старые товары могут не иметь спроса. Скрытие лонгтейла не увеличило CR C. Группировка добровольная.</x:v>
      </x:c>
      <x:c r="G7" s="26" t="str">
        <x:v>UX, этап 4, H3; PDF с. 11–12</x:v>
      </x:c>
      <x:c r="H7" s="1" t="str">
        <x:v>Допущение: гипотеза и штрафы</x:v>
      </x:c>
      <x:c r="I7" s="1">
        <x:f>IF(AND(ISNUMBER(D7),ISNUMBER(E7),D7&gt;=0,D7&lt;=1,E7&gt;=0,E7&lt;=1),1,0)</x:f>
        <x:v>1</x:v>
      </x:c>
      <x:c r="K7" s="15" t="n">
        <x:v>0.5</x:v>
      </x:c>
      <x:c r="L7" s="14" t="str">
        <x:v>Допущение</x:v>
      </x:c>
    </x:row>
    <x:row r="8" ht="54" customHeight="1">
      <x:c r="A8" s="1" t="str">
        <x:v>H4</x:v>
      </x:c>
      <x:c r="B8" s="1" t="str">
        <x:v>Сквозной поиск</x:v>
      </x:c>
      <x:c r="C8" s="1" t="str">
        <x:v>Оба раздела</x:v>
      </x:c>
      <x:c r="D8" s="11">
        <x:f>'Сценарии'!P3</x:f>
        <x:v>0.25</x:v>
      </x:c>
      <x:c r="E8" s="11">
        <x:f>'Сценарии'!Q3</x:f>
        <x:v>0.25</x:v>
      </x:c>
      <x:c r="F8" s="26" t="str">
        <x:v>Задача может быть редкой; F уже имеет поиск. Владение двумя списками не равно двойному визиту.</x:v>
      </x:c>
      <x:c r="G8" s="26" t="str">
        <x:v>UX, этап 4, H4; PDF с. 8,14</x:v>
      </x:c>
      <x:c r="H8" s="1" t="str">
        <x:v>Допущение: гипотеза и штрафы</x:v>
      </x:c>
      <x:c r="I8" s="1">
        <x:f>IF(AND(ISNUMBER(D8),ISNUMBER(E8),D8&gt;=0,D8&lt;=1,E8&gt;=0,E8&lt;=1),1,0)</x:f>
        <x:v>1</x:v>
      </x:c>
      <x:c r="K8" t="n">
        <x:v>1</x:v>
      </x:c>
      <x:c r="L8" t="str">
        <x:v>Нулевая польза</x:v>
      </x:c>
    </x:row>
    <x:row r="9" ht="54" customHeight="1">
      <x:c r="A9" s="1" t="str">
        <x:v>H5</x:v>
      </x:c>
      <x:c r="B9" s="1" t="str">
        <x:v>Ускоренная покупка из F</x:v>
      </x:c>
      <x:c r="C9" s="1" t="str">
        <x:v>Избранное</x:v>
      </x:c>
      <x:c r="D9" s="11">
        <x:f>'Сценарии'!P3</x:f>
        <x:v>0.25</x:v>
      </x:c>
      <x:c r="E9" s="11">
        <x:f>'Сценарии'!Q3</x:f>
        <x:v>0.25</x:v>
      </x:c>
      <x:c r="F9" s="26" t="str">
        <x:v>Ограниченный дневной вход. Cart &amp; Fav снизил CR F; актуальность SKU, цены, наличия, доставки.</x:v>
      </x:c>
      <x:c r="G9" s="26" t="str">
        <x:v>UX, этап 4, H5; PDF с. 12,14</x:v>
      </x:c>
      <x:c r="H9" s="1" t="str">
        <x:v>Допущение: гипотеза и штрафы</x:v>
      </x:c>
      <x:c r="I9" s="1">
        <x:f>IF(AND(ISNUMBER(D9),ISNUMBER(E9),D9&gt;=0,D9&lt;=1,E9&gt;=0,E9&lt;=1),1,0)</x:f>
        <x:v>1</x:v>
      </x:c>
    </x:row>
    <x:row r="10" ht="54" customHeight="1">
      <x:c r="A10" s="1" t="str">
        <x:v>H6.1</x:v>
      </x:c>
      <x:c r="B10" s="1" t="str">
        <x:v>Сравнение сохранённых</x:v>
      </x:c>
      <x:c r="C10" s="1" t="str">
        <x:v>Избранное</x:v>
      </x:c>
      <x:c r="D10" s="11">
        <x:f>'Сценарии'!P3</x:f>
        <x:v>0.25</x:v>
      </x:c>
      <x:c r="E10" s="11">
        <x:f>'Сценарии'!Q3</x:f>
        <x:v>0.25</x:v>
      </x:c>
      <x:c r="F10" s="26" t="str">
        <x:v>Есть намерение купить не у всех. Переиспользовать сравнение; дополнительные шаги могут задержать решение.</x:v>
      </x:c>
      <x:c r="G10" s="26" t="str">
        <x:v>Приложенный текст H6, разделы 2,5</x:v>
      </x:c>
      <x:c r="H10" s="1" t="str">
        <x:v>Допущение: гипотеза и штрафы</x:v>
      </x:c>
      <x:c r="I10" s="1">
        <x:f>IF(AND(ISNUMBER(D10),ISNUMBER(E10),D10&gt;=0,D10&lt;=1,E10&gt;=0,E10&lt;=1),1,0)</x:f>
        <x:v>1</x:v>
      </x:c>
    </x:row>
    <x:row r="11" ht="54" customHeight="1">
      <x:c r="A11" s="1" t="str">
        <x:v>H6.2</x:v>
      </x:c>
      <x:c r="B11" s="1" t="str">
        <x:v>Отбор по условиям покупки</x:v>
      </x:c>
      <x:c r="C11" s="1" t="str">
        <x:v>Избранное</x:v>
      </x:c>
      <x:c r="D11" s="11">
        <x:f>'Сценарии'!P3</x:f>
        <x:v>0.25</x:v>
      </x:c>
      <x:c r="E11" s="11">
        <x:f>'Сценарии'!Q3</x:f>
        <x:v>0.25</x:v>
      </x:c>
      <x:c r="F11" s="26" t="str">
        <x:v>Поиск и фильтры F уже существуют. Добавить актуальные условия, не дублировать; нет доказанной массовости.</x:v>
      </x:c>
      <x:c r="G11" s="26" t="str">
        <x:v>Приложенный текст H6, разделы 2,5</x:v>
      </x:c>
      <x:c r="H11" s="1" t="str">
        <x:v>Допущение: гипотеза и штрафы</x:v>
      </x:c>
      <x:c r="I11" s="1">
        <x:f>IF(AND(ISNUMBER(D11),ISNUMBER(E11),D11&gt;=0,D11&lt;=1,E11&gt;=0,E11&lt;=1),1,0)</x:f>
        <x:v>1</x:v>
      </x:c>
    </x:row>
    <x:row r="12" ht="54" customHeight="1">
      <x:c r="A12" s="1" t="str">
        <x:v>H6.3</x:v>
      </x:c>
      <x:c r="B12" s="1" t="str">
        <x:v>Шорт-лист фаворитов</x:v>
      </x:c>
      <x:c r="C12" s="1" t="str">
        <x:v>Избранное</x:v>
      </x:c>
      <x:c r="D12" s="11">
        <x:f>'Сценарии'!P3</x:f>
        <x:v>0.25</x:v>
      </x:c>
      <x:c r="E12" s="11">
        <x:f>'Сценарии'!Q3</x:f>
        <x:v>0.25</x:v>
      </x:c>
      <x:c r="F12" s="26" t="str">
        <x:v>Требует самоорганизации. Большое F не доказывает готовность купить; покупки могли состояться и без функции.</x:v>
      </x:c>
      <x:c r="G12" s="26" t="str">
        <x:v>Приложенный текст H6, разделы 2,5</x:v>
      </x:c>
      <x:c r="H12" s="1" t="str">
        <x:v>Допущение: гипотеза и штрафы</x:v>
      </x:c>
      <x:c r="I12" s="1">
        <x:f>IF(AND(ISNUMBER(D12),ISNUMBER(E12),D12&gt;=0,D12&lt;=1,E12&gt;=0,E12&lt;=1),1,0)</x:f>
        <x:v>1</x:v>
      </x:c>
    </x:row>
    <x:row r="13" ht="24" customHeight="1">
      <x:c r="A13" s="1"/>
      <x:c r="B13" s="1"/>
      <x:c r="C13" s="1"/>
      <x:c r="D13" s="1"/>
      <x:c r="E13" s="1"/>
      <x:c r="F13" s="1"/>
      <x:c r="G13" s="1"/>
      <x:c r="H13" s="1"/>
      <x:c r="I13" s="1"/>
    </x:row>
    <x:row r="14" ht="24" customHeight="1">
      <x:c r="A14" s="1"/>
      <x:c r="B14" s="1"/>
      <x:c r="C14" s="1"/>
      <x:c r="D14" s="1"/>
      <x:c r="E14" s="1"/>
      <x:c r="F14" s="1"/>
      <x:c r="G14" s="1"/>
      <x:c r="H14" s="1"/>
      <x:c r="I14" s="1"/>
    </x:row>
    <x:row r="15" ht="24" customHeight="1">
      <x:c r="A15" s="1" t="str">
        <x:v>H6 «Помощь с выбором» = одна из H6.1/H6.2/H6.3. Выбор на Параметры!B5. Эффекты не складываются.</x:v>
      </x:c>
      <x:c r="B15" s="1"/>
      <x:c r="C15" s="1"/>
      <x:c r="D15" s="1"/>
      <x:c r="E15" s="1"/>
      <x:c r="F15" s="1"/>
      <x:c r="G15" s="1"/>
      <x:c r="H15" s="1"/>
      <x:c r="I15" s="1"/>
    </x:row>
    <x:row r="16" ht="24" customHeight="1">
      <x:c r="A16" s="1" t="str">
        <x:v>У всех +10% до штрафов. 100% штраф означает нулевую пользу; ущерб базовой CR задаётся отдельно.</x:v>
      </x:c>
      <x:c r="B16" s="1"/>
      <x:c r="C16" s="1"/>
      <x:c r="D16" s="1"/>
      <x:c r="E16" s="1"/>
      <x:c r="F16" s="1"/>
      <x:c r="G16" s="1"/>
      <x:c r="H16" s="1"/>
      <x:c r="I16" s="1"/>
    </x:row>
    <x:row r="17" ht="24" customHeight="1">
      <x:c r="A17" s="1"/>
      <x:c r="B17" s="1"/>
      <x:c r="C17" s="1"/>
      <x:c r="D17" s="1"/>
      <x:c r="E17" s="1"/>
      <x:c r="F17" s="1"/>
      <x:c r="G17" s="1"/>
      <x:c r="H17" s="1"/>
      <x:c r="I17" s="1"/>
    </x:row>
  </x:sheetData>
  <x:conditionalFormatting sqref="I5:I12">
    <x:cfRule type="cellIs" dxfId="2" priority="1" operator="equal">
      <x:formula>0</x:formula>
    </x:cfRule>
  </x:conditionalFormatting>
  <x:dataValidations count="1">
    <x:dataValidation type="list" sqref="D5:E12">
      <x:formula1>$K$5:$K$8</x:formula1>
    </x:dataValidation>
  </x:dataValidations>
  <x:pageMargins left="0.7" right="0.7" top="0.75" bottom="0.75" header="0.3" footer="0.3"/>
</x:worksheet>
</file>

<file path=xl/worksheets/sheet5.xml><?xml version="1.0" encoding="utf-8"?>
<x:worksheet xmlns:x="http://schemas.openxmlformats.org/spreadsheetml/2006/main">
  <x:sheetPr>
    <x:tabColor rgb="FF3A5A8D"/>
  </x:sheetPr>
  <x:sheetViews>
    <x:sheetView showGridLines="0" workbookViewId="0">
      <x:pane xSplit="2" ySplit="4" topLeftCell="C5" activePane="bottomRight" state="frozen"/>
    </x:sheetView>
  </x:sheetViews>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62" hidden="0" customWidth="1"/>
    <x:col min="10" max="10" width="18" hidden="0" customWidth="1"/>
    <x:col min="11" max="11" width="18" hidden="0" customWidth="1"/>
    <x:col min="12" max="12" width="18" hidden="0" customWidth="1"/>
    <x:col min="13" max="13" width="18" hidden="0" customWidth="1"/>
    <x:col min="14" max="14" width="18" hidden="0" customWidth="1"/>
  </x:cols>
  <x:sheetData>
    <x:row r="1" ht="24" customHeight="1">
      <x:c r="A1" s="1" t="str">
        <x:v>Сценарий</x:v>
      </x:c>
      <x:c r="B1" s="1" t="str">
        <x:f>'Итоги'!B3</x:f>
        <x:v>Корзины 40+: 30%</x:v>
      </x:c>
      <x:c r="C1" s="1"/>
      <x:c r="D1" s="1"/>
      <x:c r="E1" s="1"/>
      <x:c r="F1" s="1"/>
      <x:c r="G1" s="1"/>
      <x:c r="H1" s="1"/>
      <x:c r="I1" s="1"/>
      <x:c r="J1" s="1"/>
      <x:c r="K1" s="1"/>
      <x:c r="L1" s="1"/>
      <x:c r="M1" s="1"/>
      <x:c r="N1" s="1"/>
    </x:row>
    <x:row r="2" ht="32" customHeight="1">
      <x:c r="A2" s="2" t="str">
        <x:v>Воздействие</x:v>
      </x:c>
      <x:c r="B2" s="1"/>
      <x:c r="C2" s="1"/>
      <x:c r="D2" s="1"/>
      <x:c r="E2" s="1"/>
      <x:c r="F2" s="1"/>
      <x:c r="G2" s="1"/>
      <x:c r="H2" s="1"/>
      <x:c r="I2" s="1"/>
      <x:c r="J2" s="1"/>
      <x:c r="K2" s="1"/>
      <x:c r="L2" s="1"/>
      <x:c r="M2" s="1"/>
      <x:c r="N2" s="1"/>
    </x:row>
    <x:row r="3" ht="24" customHeight="1">
      <x:c r="A3" s="1"/>
      <x:c r="B3" s="1"/>
      <x:c r="C3" s="1"/>
      <x:c r="D3" s="1"/>
      <x:c r="E3" s="1"/>
      <x:c r="F3" s="1"/>
      <x:c r="G3" s="1"/>
      <x:c r="H3" s="1"/>
      <x:c r="I3" s="1"/>
      <x:c r="J3" s="1"/>
      <x:c r="K3" s="1"/>
      <x:c r="L3" s="1"/>
      <x:c r="M3" s="1"/>
      <x:c r="N3" s="1"/>
    </x:row>
    <x:row r="4" ht="50" customHeight="1">
      <x:c r="A4" s="7" t="str">
        <x:v>H</x:v>
      </x:c>
      <x:c r="B4" s="7" t="str">
        <x:v>Когорта</x:v>
      </x:c>
      <x:c r="C4" s="7" t="str">
        <x:v>Цель среди C</x:v>
      </x:c>
      <x:c r="D4" s="7" t="str">
        <x:v>Цель среди F</x:v>
      </x:c>
      <x:c r="E4" s="7" t="str">
        <x:v>Цель C∩F среди обоих</x:v>
      </x:c>
      <x:c r="F4" s="7" t="str">
        <x:v>Потеря базовой CR C</x:v>
      </x:c>
      <x:c r="G4" s="7" t="str">
        <x:v>Потеря базовой CR F</x:v>
      </x:c>
      <x:c r="H4" s="7" t="str">
        <x:v>Δ дохода на покупат.</x:v>
      </x:c>
      <x:c r="I4" s="7" t="str">
        <x:v>Причина / трактовка</x:v>
      </x:c>
      <x:c r="J4" s="7" t="str">
        <x:v>Тип вводов</x:v>
      </x:c>
      <x:c r="K4" s="7" t="str">
        <x:v>Допустимость</x:v>
      </x:c>
      <x:c r="L4" s="7" t="str">
        <x:v>Целевых, людей</x:v>
      </x:c>
      <x:c r="M4" s="7" t="str">
        <x:v>Δ покупателей</x:v>
      </x:c>
      <x:c r="N4" s="7" t="str">
        <x:v>Δ global CR, п.п.</x:v>
      </x:c>
    </x:row>
    <x:row r="5" ht="24" customHeight="1">
      <x:c r="A5" s="1" t="str">
        <x:v>H1</x:v>
      </x:c>
      <x:c r="B5" s="1" t="str">
        <x:v>S1</x:v>
      </x:c>
      <x:c r="C5" s="11">
        <x:f>'Входы H'!C5*'Сценарии'!$O$3</x:f>
        <x:v>0</x:v>
      </x:c>
      <x:c r="D5" s="11">
        <x:f>'Входы H'!D5*'Сценарии'!$O$3</x:f>
        <x:v>0</x:v>
      </x:c>
      <x:c r="E5" s="11">
        <x:f>'Входы H'!E5*'Сценарии'!$O$3</x:f>
        <x:v>0</x:v>
      </x:c>
      <x:c r="F5" s="11">
        <x:f>'Входы H'!F5+'Сценарии'!$R$3</x:f>
        <x:v>0</x:v>
      </x:c>
      <x:c r="G5" s="11">
        <x:f>'Входы H'!G5+'Сценарии'!$S$3</x:f>
        <x:v>0</x:v>
      </x:c>
      <x:c r="H5" s="11">
        <x:f>'Входы H'!H5+'Сценарии'!$T$3</x:f>
        <x:v>0</x:v>
      </x:c>
      <x:c r="I5" s="10" t="str">
        <x:v>40+ и актуальная потребность — неизвестная доля</x:v>
      </x:c>
      <x:c r="J5" s="1" t="str">
        <x:v>Допущение</x:v>
      </x:c>
      <x:c r="K5" s="1">
        <x:f>IF(AND(COUNT(C5:H5)=6,MIN(C5:G5)&gt;=0,MAX(C5:G5)&lt;=1,H5&gt;=-1,H5&lt;=1,E5&gt;=MAX(0,C5+D5-1),E5&lt;=MIN(C5,D5)),1,0)</x:f>
        <x:v>1</x:v>
      </x:c>
      <x:c r="L5" s="12">
        <x:f>IF('Расчёт'!S140=1,SUM('Расчёт'!Z5:Z8),"")</x:f>
        <x:v>0</x:v>
      </x:c>
      <x:c r="M5" s="12">
        <x:f>IF('Расчёт'!S140=1,SUM('Расчёт'!U5:U8),"")</x:f>
        <x:v>0</x:v>
      </x:c>
      <x:c r="N5" s="16">
        <x:f>IF('Расчёт'!S140=1,SUM('Расчёт'!U5:U8)/'Параметры'!$B$8*100,"")</x:f>
        <x:v>0</x:v>
      </x:c>
    </x:row>
    <x:row r="6" ht="24" customHeight="1">
      <x:c r="A6" s="1" t="str">
        <x:v>H1</x:v>
      </x:c>
      <x:c r="B6" s="1" t="str">
        <x:v>S2</x:v>
      </x:c>
      <x:c r="C6" s="11">
        <x:f>IF('Параметры'!$B$3&lt;=3,'Входы H'!C6,'Сценарии'!$AB$3)*'Сценарии'!$O$3</x:f>
        <x:v>0.40000000000000002</x:v>
      </x:c>
      <x:c r="D6" s="11">
        <x:f>'Входы H'!D6*'Сценарии'!$O$3</x:f>
        <x:v>0</x:v>
      </x:c>
      <x:c r="E6" s="11">
        <x:f>'Входы H'!E6*'Сценарии'!$O$3</x:f>
        <x:v>0</x:v>
      </x:c>
      <x:c r="F6" s="11">
        <x:f>'Входы H'!F6+'Сценарии'!$R$3</x:f>
        <x:v>0</x:v>
      </x:c>
      <x:c r="G6" s="11">
        <x:f>'Входы H'!G6+'Сценарии'!$S$3</x:f>
        <x:v>0</x:v>
      </x:c>
      <x:c r="H6" s="11">
        <x:f>'Входы H'!H6+'Сценарии'!$T$3</x:f>
        <x:v>0</x:v>
      </x:c>
      <x:c r="I6" s="10" t="str">
        <x:v>40+ и актуальная потребность — неизвестная доля</x:v>
      </x:c>
      <x:c r="J6" s="1" t="str">
        <x:v>Допущение</x:v>
      </x:c>
      <x:c r="K6" s="1">
        <x:f>IF(AND(COUNT(C6:H6)=6,MIN(C6:G6)&gt;=0,MAX(C6:G6)&lt;=1,H6&gt;=-1,H6&lt;=1,E6&gt;=MAX(0,C6+D6-1),E6&lt;=MIN(C6,D6)),1,0)</x:f>
        <x:v>1</x:v>
      </x:c>
      <x:c r="L6" s="12">
        <x:f>IF('Расчёт'!S140=1,SUM('Расчёт'!Z9:Z12),"")</x:f>
        <x:v>1372800</x:v>
      </x:c>
      <x:c r="M6" s="12">
        <x:f>IF('Расчёт'!S140=1,SUM('Расчёт'!U9:U12),"")</x:f>
        <x:v>15078.007021650104</x:v>
      </x:c>
      <x:c r="N6" s="16">
        <x:f>IF('Расчёт'!S140=1,SUM('Расчёт'!U9:U12)/'Параметры'!$B$8*100,"")</x:f>
        <x:v>0.034268197776477508</x:v>
      </x:c>
    </x:row>
    <x:row r="7" ht="24" customHeight="1">
      <x:c r="A7" s="1" t="str">
        <x:v>H1</x:v>
      </x:c>
      <x:c r="B7" s="1" t="str">
        <x:v>S3</x:v>
      </x:c>
      <x:c r="C7" s="11">
        <x:f>IF('Параметры'!$B$3&lt;=3,'Входы H'!C7,'Сценарии'!$AB$3)*'Сценарии'!$O$3</x:f>
        <x:v>0.40000000000000002</x:v>
      </x:c>
      <x:c r="D7" s="11">
        <x:f>'Входы H'!D7*'Сценарии'!$O$3</x:f>
        <x:v>0</x:v>
      </x:c>
      <x:c r="E7" s="11">
        <x:f>'Входы H'!E7*'Сценарии'!$O$3</x:f>
        <x:v>0</x:v>
      </x:c>
      <x:c r="F7" s="11">
        <x:f>'Входы H'!F7+'Сценарии'!$R$3</x:f>
        <x:v>0</x:v>
      </x:c>
      <x:c r="G7" s="11">
        <x:f>'Входы H'!G7+'Сценарии'!$S$3</x:f>
        <x:v>0</x:v>
      </x:c>
      <x:c r="H7" s="11">
        <x:f>'Входы H'!H7+'Сценарии'!$T$3</x:f>
        <x:v>0</x:v>
      </x:c>
      <x:c r="I7" s="10" t="str">
        <x:v>40+ и актуальная потребность — неизвестная доля</x:v>
      </x:c>
      <x:c r="J7" s="1" t="str">
        <x:v>Допущение</x:v>
      </x:c>
      <x:c r="K7" s="1">
        <x:f>IF(AND(COUNT(C7:H7)=6,MIN(C7:G7)&gt;=0,MAX(C7:G7)&lt;=1,H7&gt;=-1,H7&lt;=1,E7&gt;=MAX(0,C7+D7-1),E7&lt;=MIN(C7,D7)),1,0)</x:f>
        <x:v>1</x:v>
      </x:c>
      <x:c r="L7" s="12">
        <x:f>IF('Расчёт'!S140=1,SUM('Расчёт'!Z13:Z16),"")</x:f>
        <x:v>2059200</x:v>
      </x:c>
      <x:c r="M7" s="12">
        <x:f>IF('Расчёт'!S140=1,SUM('Расчёт'!U13:U16),"")</x:f>
        <x:v>8180.6208308952409</x:v>
      </x:c>
      <x:c r="N7" s="16">
        <x:f>IF('Расчёт'!S140=1,SUM('Расчёт'!U13:U16)/'Параметры'!$B$8*100,"")</x:f>
        <x:v>0.018592320070216457</x:v>
      </x:c>
    </x:row>
    <x:row r="8" ht="24" customHeight="1">
      <x:c r="A8" s="1" t="str">
        <x:v>H1</x:v>
      </x:c>
      <x:c r="B8" s="1" t="str">
        <x:v>S4</x:v>
      </x:c>
      <x:c r="C8" s="11">
        <x:f>'Входы H'!C8*'Сценарии'!$O$3</x:f>
        <x:v>0</x:v>
      </x:c>
      <x:c r="D8" s="11">
        <x:f>'Входы H'!D8*'Сценарии'!$O$3</x:f>
        <x:v>0</x:v>
      </x:c>
      <x:c r="E8" s="11">
        <x:f>'Входы H'!E8*'Сценарии'!$O$3</x:f>
        <x:v>0</x:v>
      </x:c>
      <x:c r="F8" s="11">
        <x:f>'Входы H'!F8+'Сценарии'!$R$3</x:f>
        <x:v>0</x:v>
      </x:c>
      <x:c r="G8" s="11">
        <x:f>'Входы H'!G8+'Сценарии'!$S$3</x:f>
        <x:v>0</x:v>
      </x:c>
      <x:c r="H8" s="11">
        <x:f>'Входы H'!H8+'Сценарии'!$T$3</x:f>
        <x:v>0</x:v>
      </x:c>
      <x:c r="I8" s="10" t="str">
        <x:v>40+ и актуальная потребность — неизвестная доля</x:v>
      </x:c>
      <x:c r="J8" s="1" t="str">
        <x:v>Допущение</x:v>
      </x:c>
      <x:c r="K8" s="1">
        <x:f>IF(AND(COUNT(C8:H8)=6,MIN(C8:G8)&gt;=0,MAX(C8:G8)&lt;=1,H8&gt;=-1,H8&lt;=1,E8&gt;=MAX(0,C8+D8-1),E8&lt;=MIN(C8,D8)),1,0)</x:f>
        <x:v>1</x:v>
      </x:c>
      <x:c r="L8" s="12">
        <x:f>IF('Расчёт'!S140=1,SUM('Расчёт'!Z17:Z20),"")</x:f>
        <x:v>0</x:v>
      </x:c>
      <x:c r="M8" s="12">
        <x:f>IF('Расчёт'!S140=1,SUM('Расчёт'!U17:U20),"")</x:f>
        <x:v>0</x:v>
      </x:c>
      <x:c r="N8" s="16">
        <x:f>IF('Расчёт'!S140=1,SUM('Расчёт'!U17:U20)/'Параметры'!$B$8*100,"")</x:f>
        <x:v>0</x:v>
      </x:c>
    </x:row>
    <x:row r="9" ht="24" customHeight="1">
      <x:c r="A9" s="1" t="str">
        <x:v>H2</x:v>
      </x:c>
      <x:c r="B9" s="1" t="str">
        <x:v>S1</x:v>
      </x:c>
      <x:c r="C9" s="11">
        <x:f>'Входы H'!C9*'Сценарии'!$O$3</x:f>
        <x:v>0.20000000000000001</x:v>
      </x:c>
      <x:c r="D9" s="11">
        <x:f>'Входы H'!D9*'Сценарии'!$O$3</x:f>
        <x:v>0.25</x:v>
      </x:c>
      <x:c r="E9" s="11">
        <x:f>'Входы H'!E9*'Сценарии'!$O$3</x:f>
        <x:v>0.10000000000000001</x:v>
      </x:c>
      <x:c r="F9" s="11">
        <x:f>'Входы H'!F9+'Сценарии'!$R$3</x:f>
        <x:v>0</x:v>
      </x:c>
      <x:c r="G9" s="11">
        <x:f>'Входы H'!G9+'Сценарии'!$S$3</x:f>
        <x:v>0</x:v>
      </x:c>
      <x:c r="H9" s="11">
        <x:f>'Входы H'!H9+'Сценарии'!$T$3</x:f>
        <x:v>0</x:v>
      </x:c>
      <x:c r="I9" s="10" t="str">
        <x:v>Нужный сценарий — неизвестная доля</x:v>
      </x:c>
      <x:c r="J9" s="1" t="str">
        <x:v>Допущение</x:v>
      </x:c>
      <x:c r="K9" s="1">
        <x:f>IF(AND(COUNT(C9:H9)=6,MIN(C9:G9)&gt;=0,MAX(C9:G9)&lt;=1,H9&gt;=-1,H9&lt;=1,E9&gt;=MAX(0,C9+D9-1),E9&lt;=MIN(C9,D9)),1,0)</x:f>
        <x:v>1</x:v>
      </x:c>
      <x:c r="L9" s="12">
        <x:f>IF('Расчёт'!S141=1,SUM('Расчёт'!Z21:Z24),"")</x:f>
        <x:v>1873872</x:v>
      </x:c>
      <x:c r="M9" s="12">
        <x:f>IF('Расчёт'!S141=1,SUM('Расчёт'!U21:U24),"")</x:f>
        <x:v>31457.698946752273</x:v>
      </x:c>
      <x:c r="N9" s="16">
        <x:f>IF('Расчёт'!S141=1,SUM('Расчёт'!U21:U24)/'Параметры'!$B$8*100,"")</x:f>
        <x:v>0.071494770333527899</x:v>
      </x:c>
    </x:row>
    <x:row r="10" ht="24" customHeight="1">
      <x:c r="A10" s="1" t="str">
        <x:v>H2</x:v>
      </x:c>
      <x:c r="B10" s="1" t="str">
        <x:v>S2</x:v>
      </x:c>
      <x:c r="C10" s="11">
        <x:f>'Входы H'!C10*'Сценарии'!$O$3</x:f>
        <x:v>0.20000000000000001</x:v>
      </x:c>
      <x:c r="D10" s="11">
        <x:f>'Входы H'!D10*'Сценарии'!$O$3</x:f>
        <x:v>0.25</x:v>
      </x:c>
      <x:c r="E10" s="11">
        <x:f>'Входы H'!E10*'Сценарии'!$O$3</x:f>
        <x:v>0.10000000000000001</x:v>
      </x:c>
      <x:c r="F10" s="11">
        <x:f>'Входы H'!F10+'Сценарии'!$R$3</x:f>
        <x:v>0</x:v>
      </x:c>
      <x:c r="G10" s="11">
        <x:f>'Входы H'!G10+'Сценарии'!$S$3</x:f>
        <x:v>0</x:v>
      </x:c>
      <x:c r="H10" s="11">
        <x:f>'Входы H'!H10+'Сценарии'!$T$3</x:f>
        <x:v>0</x:v>
      </x:c>
      <x:c r="I10" s="10" t="str">
        <x:v>Нужный сценарий — неизвестная доля</x:v>
      </x:c>
      <x:c r="J10" s="1" t="str">
        <x:v>Допущение</x:v>
      </x:c>
      <x:c r="K10" s="1">
        <x:f>IF(AND(COUNT(C10:H10)=6,MIN(C10:G10)&gt;=0,MAX(C10:G10)&lt;=1,H10&gt;=-1,H10&lt;=1,E10&gt;=MAX(0,C10+D10-1),E10&lt;=MIN(C10,D10)),1,0)</x:f>
        <x:v>1</x:v>
      </x:c>
      <x:c r="L10" s="12">
        <x:f>IF('Расчёт'!S141=1,SUM('Расчёт'!Z25:Z28),"")</x:f>
        <x:v>803088</x:v>
      </x:c>
      <x:c r="M10" s="12">
        <x:f>IF('Расчёт'!S141=1,SUM('Расчёт'!U25:U28),"")</x:f>
        <x:v>8229.1939730836857</x:v>
      </x:c>
      <x:c r="N10" s="16">
        <x:f>IF('Расчёт'!S141=1,SUM('Расчёт'!U25:U28)/'Параметры'!$B$8*100,"")</x:f>
        <x:v>0.018702713575190193</x:v>
      </x:c>
    </x:row>
    <x:row r="11" ht="24" customHeight="1">
      <x:c r="A11" s="1" t="str">
        <x:v>H2</x:v>
      </x:c>
      <x:c r="B11" s="1" t="str">
        <x:v>S3</x:v>
      </x:c>
      <x:c r="C11" s="11">
        <x:f>'Входы H'!C11*'Сценарии'!$O$3</x:f>
        <x:v>0.20000000000000001</x:v>
      </x:c>
      <x:c r="D11" s="11">
        <x:f>'Входы H'!D11*'Сценарии'!$O$3</x:f>
        <x:v>0.25</x:v>
      </x:c>
      <x:c r="E11" s="11">
        <x:f>'Входы H'!E11*'Сценарии'!$O$3</x:f>
        <x:v>0.10000000000000001</x:v>
      </x:c>
      <x:c r="F11" s="11">
        <x:f>'Входы H'!F11+'Сценарии'!$R$3</x:f>
        <x:v>0</x:v>
      </x:c>
      <x:c r="G11" s="11">
        <x:f>'Входы H'!G11+'Сценарии'!$S$3</x:f>
        <x:v>0</x:v>
      </x:c>
      <x:c r="H11" s="11">
        <x:f>'Входы H'!H11+'Сценарии'!$T$3</x:f>
        <x:v>0</x:v>
      </x:c>
      <x:c r="I11" s="10" t="str">
        <x:v>Нужный сценарий — неизвестная доля</x:v>
      </x:c>
      <x:c r="J11" s="1" t="str">
        <x:v>Допущение</x:v>
      </x:c>
      <x:c r="K11" s="1">
        <x:f>IF(AND(COUNT(C11:H11)=6,MIN(C11:G11)&gt;=0,MAX(C11:G11)&lt;=1,H11&gt;=-1,H11&lt;=1,E11&gt;=MAX(0,C11+D11-1),E11&lt;=MIN(C11,D11)),1,0)</x:f>
        <x:v>1</x:v>
      </x:c>
      <x:c r="L11" s="12">
        <x:f>IF('Расчёт'!S141=1,SUM('Расчёт'!Z29:Z32),"")</x:f>
        <x:v>1204632</x:v>
      </x:c>
      <x:c r="M11" s="12">
        <x:f>IF('Расчёт'!S141=1,SUM('Расчёт'!U29:U32),"")</x:f>
        <x:v>4464.7754534815567</x:v>
      </x:c>
      <x:c r="N11" s="16">
        <x:f>IF('Расчёт'!S141=1,SUM('Расчёт'!U29:U32)/'Параметры'!$B$8*100,"")</x:f>
        <x:v>0.010147216939730811</x:v>
      </x:c>
    </x:row>
    <x:row r="12" ht="24" customHeight="1">
      <x:c r="A12" s="1" t="str">
        <x:v>H2</x:v>
      </x:c>
      <x:c r="B12" s="1" t="str">
        <x:v>S4</x:v>
      </x:c>
      <x:c r="C12" s="11">
        <x:f>'Входы H'!C12*'Сценарии'!$O$3</x:f>
        <x:v>0.20000000000000001</x:v>
      </x:c>
      <x:c r="D12" s="11">
        <x:f>'Входы H'!D12*'Сценарии'!$O$3</x:f>
        <x:v>0.25</x:v>
      </x:c>
      <x:c r="E12" s="11">
        <x:f>'Входы H'!E12*'Сценарии'!$O$3</x:f>
        <x:v>0.10000000000000001</x:v>
      </x:c>
      <x:c r="F12" s="11">
        <x:f>'Входы H'!F12+'Сценарии'!$R$3</x:f>
        <x:v>0</x:v>
      </x:c>
      <x:c r="G12" s="11">
        <x:f>'Входы H'!G12+'Сценарии'!$S$3</x:f>
        <x:v>0</x:v>
      </x:c>
      <x:c r="H12" s="11">
        <x:f>'Входы H'!H12+'Сценарии'!$T$3</x:f>
        <x:v>0</x:v>
      </x:c>
      <x:c r="I12" s="10" t="str">
        <x:v>Нужный сценарий — неизвестная доля</x:v>
      </x:c>
      <x:c r="J12" s="1" t="str">
        <x:v>Допущение</x:v>
      </x:c>
      <x:c r="K12" s="1">
        <x:f>IF(AND(COUNT(C12:H12)=6,MIN(C12:G12)&gt;=0,MAX(C12:G12)&lt;=1,H12&gt;=-1,H12&lt;=1,E12&gt;=MAX(0,C12+D12-1),E12&lt;=MIN(C12,D12)),1,0)</x:f>
        <x:v>1</x:v>
      </x:c>
      <x:c r="L12" s="12">
        <x:f>IF('Расчёт'!S141=1,SUM('Расчёт'!Z33:Z36),"")</x:f>
        <x:v>2810808</x:v>
      </x:c>
      <x:c r="M12" s="12">
        <x:f>IF('Расчёт'!S141=1,SUM('Расчёт'!U33:U36),"")</x:f>
        <x:v>28802.178905792742</x:v>
      </x:c>
      <x:c r="N12" s="16">
        <x:f>IF('Расчёт'!S141=1,SUM('Расчёт'!U33:U36)/'Параметры'!$B$8*100,"")</x:f>
        <x:v>0.065459497513165321</x:v>
      </x:c>
    </x:row>
    <x:row r="13" ht="24" customHeight="1">
      <x:c r="A13" s="1" t="str">
        <x:v>H3</x:v>
      </x:c>
      <x:c r="B13" s="1" t="str">
        <x:v>S1</x:v>
      </x:c>
      <x:c r="C13" s="11">
        <x:f>'Входы H'!C13*'Сценарии'!$O$3</x:f>
        <x:v>0.10000000000000001</x:v>
      </x:c>
      <x:c r="D13" s="11">
        <x:f>'Входы H'!D13*'Сценарии'!$O$3</x:f>
        <x:v>0</x:v>
      </x:c>
      <x:c r="E13" s="11">
        <x:f>'Входы H'!E13*'Сценарии'!$O$3</x:f>
        <x:v>0</x:v>
      </x:c>
      <x:c r="F13" s="11">
        <x:f>'Входы H'!F13+'Сценарии'!$R$3</x:f>
        <x:v>0</x:v>
      </x:c>
      <x:c r="G13" s="11">
        <x:f>'Входы H'!G13+'Сценарии'!$S$3</x:f>
        <x:v>0</x:v>
      </x:c>
      <x:c r="H13" s="11">
        <x:f>'Входы H'!H13+'Сценарии'!$T$3</x:f>
        <x:v>0</x:v>
      </x:c>
      <x:c r="I13" s="10" t="str">
        <x:v>Нужный сценарий — неизвестная доля</x:v>
      </x:c>
      <x:c r="J13" s="1" t="str">
        <x:v>Допущение</x:v>
      </x:c>
      <x:c r="K13" s="1">
        <x:f>IF(AND(COUNT(C13:H13)=6,MIN(C13:G13)&gt;=0,MAX(C13:G13)&lt;=1,H13&gt;=-1,H13&lt;=1,E13&gt;=MAX(0,C13+D13-1),E13&lt;=MIN(C13,D13)),1,0)</x:f>
        <x:v>1</x:v>
      </x:c>
      <x:c r="L13" s="12">
        <x:f>IF('Расчёт'!S142=1,SUM('Расчёт'!Z37:Z40),"")</x:f>
        <x:v>800800</x:v>
      </x:c>
      <x:c r="M13" s="12">
        <x:f>IF('Расчёт'!S142=1,SUM('Расчёт'!U37:U40),"")</x:f>
        <x:v>14409.655646576837</x:v>
      </x:c>
      <x:c r="N13" s="16">
        <x:f>IF('Расчёт'!S142=1,SUM('Расчёт'!U37:U40)/'Параметры'!$B$8*100,"")</x:f>
        <x:v>0.032749217378583717</x:v>
      </x:c>
    </x:row>
    <x:row r="14" ht="24" customHeight="1">
      <x:c r="A14" s="1" t="str">
        <x:v>H3</x:v>
      </x:c>
      <x:c r="B14" s="1" t="str">
        <x:v>S2</x:v>
      </x:c>
      <x:c r="C14" s="11">
        <x:f>'Входы H'!C14*'Сценарии'!$O$3</x:f>
        <x:v>0.40000000000000002</x:v>
      </x:c>
      <x:c r="D14" s="11">
        <x:f>'Входы H'!D14*'Сценарии'!$O$3</x:f>
        <x:v>0</x:v>
      </x:c>
      <x:c r="E14" s="11">
        <x:f>'Входы H'!E14*'Сценарии'!$O$3</x:f>
        <x:v>0</x:v>
      </x:c>
      <x:c r="F14" s="11">
        <x:f>'Входы H'!F14+'Сценарии'!$R$3</x:f>
        <x:v>0</x:v>
      </x:c>
      <x:c r="G14" s="11">
        <x:f>'Входы H'!G14+'Сценарии'!$S$3</x:f>
        <x:v>0</x:v>
      </x:c>
      <x:c r="H14" s="11">
        <x:f>'Входы H'!H14+'Сценарии'!$T$3</x:f>
        <x:v>0</x:v>
      </x:c>
      <x:c r="I14" s="10" t="str">
        <x:v>Нужный сценарий — неизвестная доля</x:v>
      </x:c>
      <x:c r="J14" s="1" t="str">
        <x:v>Допущение</x:v>
      </x:c>
      <x:c r="K14" s="1">
        <x:f>IF(AND(COUNT(C14:H14)=6,MIN(C14:G14)&gt;=0,MAX(C14:G14)&lt;=1,H14&gt;=-1,H14&lt;=1,E14&gt;=MAX(0,C14+D14-1),E14&lt;=MIN(C14,D14)),1,0)</x:f>
        <x:v>1</x:v>
      </x:c>
      <x:c r="L14" s="12">
        <x:f>IF('Расчёт'!S142=1,SUM('Расчёт'!Z41:Z44),"")</x:f>
        <x:v>1372800</x:v>
      </x:c>
      <x:c r="M14" s="12">
        <x:f>IF('Расчёт'!S142=1,SUM('Расчёт'!U41:U44),"")</x:f>
        <x:v>15078.007021650104</x:v>
      </x:c>
      <x:c r="N14" s="16">
        <x:f>IF('Расчёт'!S142=1,SUM('Расчёт'!U41:U44)/'Параметры'!$B$8*100,"")</x:f>
        <x:v>0.034268197776477508</x:v>
      </x:c>
    </x:row>
    <x:row r="15" ht="24" customHeight="1">
      <x:c r="A15" s="1" t="str">
        <x:v>H3</x:v>
      </x:c>
      <x:c r="B15" s="1" t="str">
        <x:v>S3</x:v>
      </x:c>
      <x:c r="C15" s="11">
        <x:f>'Входы H'!C15*'Сценарии'!$O$3</x:f>
        <x:v>0.40000000000000002</x:v>
      </x:c>
      <x:c r="D15" s="11">
        <x:f>'Входы H'!D15*'Сценарии'!$O$3</x:f>
        <x:v>0</x:v>
      </x:c>
      <x:c r="E15" s="11">
        <x:f>'Входы H'!E15*'Сценарии'!$O$3</x:f>
        <x:v>0</x:v>
      </x:c>
      <x:c r="F15" s="11">
        <x:f>'Входы H'!F15+'Сценарии'!$R$3</x:f>
        <x:v>0</x:v>
      </x:c>
      <x:c r="G15" s="11">
        <x:f>'Входы H'!G15+'Сценарии'!$S$3</x:f>
        <x:v>0</x:v>
      </x:c>
      <x:c r="H15" s="11">
        <x:f>'Входы H'!H15+'Сценарии'!$T$3</x:f>
        <x:v>0</x:v>
      </x:c>
      <x:c r="I15" s="10" t="str">
        <x:v>Нужный сценарий — неизвестная доля</x:v>
      </x:c>
      <x:c r="J15" s="1" t="str">
        <x:v>Допущение</x:v>
      </x:c>
      <x:c r="K15" s="1">
        <x:f>IF(AND(COUNT(C15:H15)=6,MIN(C15:G15)&gt;=0,MAX(C15:G15)&lt;=1,H15&gt;=-1,H15&lt;=1,E15&gt;=MAX(0,C15+D15-1),E15&lt;=MIN(C15,D15)),1,0)</x:f>
        <x:v>1</x:v>
      </x:c>
      <x:c r="L15" s="12">
        <x:f>IF('Расчёт'!S142=1,SUM('Расчёт'!Z45:Z48),"")</x:f>
        <x:v>2059200</x:v>
      </x:c>
      <x:c r="M15" s="12">
        <x:f>IF('Расчёт'!S142=1,SUM('Расчёт'!U45:U48),"")</x:f>
        <x:v>8180.6208308952409</x:v>
      </x:c>
      <x:c r="N15" s="16">
        <x:f>IF('Расчёт'!S142=1,SUM('Расчёт'!U45:U48)/'Параметры'!$B$8*100,"")</x:f>
        <x:v>0.018592320070216457</x:v>
      </x:c>
    </x:row>
    <x:row r="16" ht="24" customHeight="1">
      <x:c r="A16" s="1" t="str">
        <x:v>H3</x:v>
      </x:c>
      <x:c r="B16" s="1" t="str">
        <x:v>S4</x:v>
      </x:c>
      <x:c r="C16" s="11">
        <x:f>'Входы H'!C16*'Сценарии'!$O$3</x:f>
        <x:v>0.10000000000000001</x:v>
      </x:c>
      <x:c r="D16" s="11">
        <x:f>'Входы H'!D16*'Сценарии'!$O$3</x:f>
        <x:v>0</x:v>
      </x:c>
      <x:c r="E16" s="11">
        <x:f>'Входы H'!E16*'Сценарии'!$O$3</x:f>
        <x:v>0</x:v>
      </x:c>
      <x:c r="F16" s="11">
        <x:f>'Входы H'!F16+'Сценарии'!$R$3</x:f>
        <x:v>0</x:v>
      </x:c>
      <x:c r="G16" s="11">
        <x:f>'Входы H'!G16+'Сценарии'!$S$3</x:f>
        <x:v>0</x:v>
      </x:c>
      <x:c r="H16" s="11">
        <x:f>'Входы H'!H16+'Сценарии'!$T$3</x:f>
        <x:v>0</x:v>
      </x:c>
      <x:c r="I16" s="10" t="str">
        <x:v>Нужный сценарий — неизвестная доля</x:v>
      </x:c>
      <x:c r="J16" s="1" t="str">
        <x:v>Допущение</x:v>
      </x:c>
      <x:c r="K16" s="1">
        <x:f>IF(AND(COUNT(C16:H16)=6,MIN(C16:G16)&gt;=0,MAX(C16:G16)&lt;=1,H16&gt;=-1,H16&lt;=1,E16&gt;=MAX(0,C16+D16-1),E16&lt;=MIN(C16,D16)),1,0)</x:f>
        <x:v>1</x:v>
      </x:c>
      <x:c r="L16" s="12">
        <x:f>IF('Расчёт'!S142=1,SUM('Расчёт'!Z49:Z52),"")</x:f>
        <x:v>1201200</x:v>
      </x:c>
      <x:c r="M16" s="12">
        <x:f>IF('Расчёт'!S142=1,SUM('Расчёт'!U49:U52),"")</x:f>
        <x:v>13193.256143943872</x:v>
      </x:c>
      <x:c r="N16" s="16">
        <x:f>IF('Расчёт'!S142=1,SUM('Расчёт'!U49:U52)/'Параметры'!$B$8*100,"")</x:f>
        <x:v>0.02998467305441789</x:v>
      </x:c>
    </x:row>
    <x:row r="17" ht="24" customHeight="1">
      <x:c r="A17" s="1" t="str">
        <x:v>H4</x:v>
      </x:c>
      <x:c r="B17" s="1" t="str">
        <x:v>S1</x:v>
      </x:c>
      <x:c r="C17" s="11">
        <x:f>'Входы H'!C17*'Сценарии'!$O$3*'Сценарии'!$AC$3</x:f>
        <x:v>0.20000000000000001</x:v>
      </x:c>
      <x:c r="D17" s="11">
        <x:f>'Входы H'!D17*'Сценарии'!$O$3*'Сценарии'!$AC$3</x:f>
        <x:v>0.20000000000000001</x:v>
      </x:c>
      <x:c r="E17" s="11">
        <x:f>'Входы H'!E17*'Сценарии'!$O$3*'Сценарии'!$AC$3</x:f>
        <x:v>0.10000000000000001</x:v>
      </x:c>
      <x:c r="F17" s="11">
        <x:f>'Входы H'!F17+'Сценарии'!$R$3</x:f>
        <x:v>0</x:v>
      </x:c>
      <x:c r="G17" s="11">
        <x:f>'Входы H'!G17+'Сценарии'!$S$3</x:f>
        <x:v>0</x:v>
      </x:c>
      <x:c r="H17" s="11">
        <x:f>'Входы H'!H17+'Сценарии'!$T$3</x:f>
        <x:v>0</x:v>
      </x:c>
      <x:c r="I17" s="10" t="str">
        <x:v>Нужный сценарий — неизвестная доля</x:v>
      </x:c>
      <x:c r="J17" s="1" t="str">
        <x:v>Допущение</x:v>
      </x:c>
      <x:c r="K17" s="1">
        <x:f>IF(AND(COUNT(C17:H17)=6,MIN(C17:G17)&gt;=0,MAX(C17:G17)&lt;=1,H17&gt;=-1,H17&lt;=1,E17&gt;=MAX(0,C17+D17-1),E17&lt;=MIN(C17,D17)),1,0)</x:f>
        <x:v>1</x:v>
      </x:c>
      <x:c r="L17" s="12">
        <x:f>IF('Расчёт'!S143=1,SUM('Расчёт'!Z53:Z56),"")</x:f>
        <x:v>1793792</x:v>
      </x:c>
      <x:c r="M17" s="12">
        <x:f>IF('Расчёт'!S143=1,SUM('Расчёт'!U53:U56),"")</x:f>
        <x:v>30605.296781743535</x:v>
      </x:c>
      <x:c r="N17" s="16">
        <x:f>IF('Расчёт'!S143=1,SUM('Расчёт'!U53:U56)/'Параметры'!$B$8*100,"")</x:f>
        <x:v>0.069557492685780764</x:v>
      </x:c>
    </x:row>
    <x:row r="18" ht="24" customHeight="1">
      <x:c r="A18" s="1" t="str">
        <x:v>H4</x:v>
      </x:c>
      <x:c r="B18" s="1" t="str">
        <x:v>S2</x:v>
      </x:c>
      <x:c r="C18" s="11">
        <x:f>'Входы H'!C18*'Сценарии'!$O$3*'Сценарии'!$AC$3</x:f>
        <x:v>0.29999999999999999</x:v>
      </x:c>
      <x:c r="D18" s="11">
        <x:f>'Входы H'!D18*'Сценарии'!$O$3*'Сценарии'!$AC$3</x:f>
        <x:v>0.29999999999999999</x:v>
      </x:c>
      <x:c r="E18" s="11">
        <x:f>'Входы H'!E18*'Сценарии'!$O$3*'Сценарии'!$AC$3</x:f>
        <x:v>0.10000000000000001</x:v>
      </x:c>
      <x:c r="F18" s="11">
        <x:f>'Входы H'!F18+'Сценарии'!$R$3</x:f>
        <x:v>0</x:v>
      </x:c>
      <x:c r="G18" s="11">
        <x:f>'Входы H'!G18+'Сценарии'!$S$3</x:f>
        <x:v>0</x:v>
      </x:c>
      <x:c r="H18" s="11">
        <x:f>'Входы H'!H18+'Сценарии'!$T$3</x:f>
        <x:v>0</x:v>
      </x:c>
      <x:c r="I18" s="10" t="str">
        <x:v>Нужный сценарий — неизвестная доля</x:v>
      </x:c>
      <x:c r="J18" s="1" t="str">
        <x:v>Допущение</x:v>
      </x:c>
      <x:c r="K18" s="1">
        <x:f>IF(AND(COUNT(C18:H18)=6,MIN(C18:G18)&gt;=0,MAX(C18:G18)&lt;=1,H18&gt;=-1,H18&lt;=1,E18&gt;=MAX(0,C18+D18-1),E18&lt;=MIN(C18,D18)),1,0)</x:f>
        <x:v>1</x:v>
      </x:c>
      <x:c r="L18" s="12">
        <x:f>IF('Расчёт'!S143=1,SUM('Расчёт'!Z57:Z60),"")</x:f>
        <x:v>1180608</x:v>
      </x:c>
      <x:c r="M18" s="12">
        <x:f>IF('Расчёт'!S143=1,SUM('Расчёт'!U57:U60),"")</x:f>
        <x:v>12221.680339379765</x:v>
      </x:c>
      <x:c r="N18" s="16">
        <x:f>IF('Расчёт'!S143=1,SUM('Расчёт'!U57:U60)/'Параметры'!$B$8*100,"")</x:f>
        <x:v>0.027776546225863102</x:v>
      </x:c>
    </x:row>
    <x:row r="19" ht="24" customHeight="1">
      <x:c r="A19" s="1" t="str">
        <x:v>H4</x:v>
      </x:c>
      <x:c r="B19" s="1" t="str">
        <x:v>S3</x:v>
      </x:c>
      <x:c r="C19" s="11">
        <x:f>'Входы H'!C19*'Сценарии'!$O$3*'Сценарии'!$AC$3</x:f>
        <x:v>0.29999999999999999</x:v>
      </x:c>
      <x:c r="D19" s="11">
        <x:f>'Входы H'!D19*'Сценарии'!$O$3*'Сценарии'!$AC$3</x:f>
        <x:v>0.29999999999999999</x:v>
      </x:c>
      <x:c r="E19" s="11">
        <x:f>'Входы H'!E19*'Сценарии'!$O$3*'Сценарии'!$AC$3</x:f>
        <x:v>0.10000000000000001</x:v>
      </x:c>
      <x:c r="F19" s="11">
        <x:f>'Входы H'!F19+'Сценарии'!$R$3</x:f>
        <x:v>0</x:v>
      </x:c>
      <x:c r="G19" s="11">
        <x:f>'Входы H'!G19+'Сценарии'!$S$3</x:f>
        <x:v>0</x:v>
      </x:c>
      <x:c r="H19" s="11">
        <x:f>'Входы H'!H19+'Сценарии'!$T$3</x:f>
        <x:v>0</x:v>
      </x:c>
      <x:c r="I19" s="10" t="str">
        <x:v>Нужный сценарий — неизвестная доля</x:v>
      </x:c>
      <x:c r="J19" s="1" t="str">
        <x:v>Допущение</x:v>
      </x:c>
      <x:c r="K19" s="1">
        <x:f>IF(AND(COUNT(C19:H19)=6,MIN(C19:G19)&gt;=0,MAX(C19:G19)&lt;=1,H19&gt;=-1,H19&lt;=1,E19&gt;=MAX(0,C19+D19-1),E19&lt;=MIN(C19,D19)),1,0)</x:f>
        <x:v>1</x:v>
      </x:c>
      <x:c r="L19" s="12">
        <x:f>IF('Расчёт'!S143=1,SUM('Расчёт'!Z61:Z64),"")</x:f>
        <x:v>1770912</x:v>
      </x:c>
      <x:c r="M19" s="12">
        <x:f>IF('Расчёт'!S143=1,SUM('Расчёт'!U61:U64),"")</x:f>
        <x:v>6630.9116734932559</x:v>
      </x:c>
      <x:c r="N19" s="16">
        <x:f>IF('Расчёт'!S143=1,SUM('Расчёт'!U61:U64)/'Параметры'!$B$8*100,"")</x:f>
        <x:v>0.015070253803393763</x:v>
      </x:c>
    </x:row>
    <x:row r="20" ht="24" customHeight="1">
      <x:c r="A20" s="1" t="str">
        <x:v>H4</x:v>
      </x:c>
      <x:c r="B20" s="1" t="str">
        <x:v>S4</x:v>
      </x:c>
      <x:c r="C20" s="11">
        <x:f>'Входы H'!C20*'Сценарии'!$O$3*'Сценарии'!$AC$3</x:f>
        <x:v>0.20000000000000001</x:v>
      </x:c>
      <x:c r="D20" s="11">
        <x:f>'Входы H'!D20*'Сценарии'!$O$3*'Сценарии'!$AC$3</x:f>
        <x:v>0.20000000000000001</x:v>
      </x:c>
      <x:c r="E20" s="11">
        <x:f>'Входы H'!E20*'Сценарии'!$O$3*'Сценарии'!$AC$3</x:f>
        <x:v>0.10000000000000001</x:v>
      </x:c>
      <x:c r="F20" s="11">
        <x:f>'Входы H'!F20+'Сценарии'!$R$3</x:f>
        <x:v>0</x:v>
      </x:c>
      <x:c r="G20" s="11">
        <x:f>'Входы H'!G20+'Сценарии'!$S$3</x:f>
        <x:v>0</x:v>
      </x:c>
      <x:c r="H20" s="11">
        <x:f>'Входы H'!H20+'Сценарии'!$T$3</x:f>
        <x:v>0</x:v>
      </x:c>
      <x:c r="I20" s="10" t="str">
        <x:v>Нужный сценарий — неизвестная доля</x:v>
      </x:c>
      <x:c r="J20" s="1" t="str">
        <x:v>Допущение</x:v>
      </x:c>
      <x:c r="K20" s="1">
        <x:f>IF(AND(COUNT(C20:H20)=6,MIN(C20:G20)&gt;=0,MAX(C20:G20)&lt;=1,H20&gt;=-1,H20&lt;=1,E20&gt;=MAX(0,C20+D20-1),E20&lt;=MIN(C20,D20)),1,0)</x:f>
        <x:v>1</x:v>
      </x:c>
      <x:c r="L20" s="12">
        <x:f>IF('Расчёт'!S143=1,SUM('Расчёт'!Z65:Z68),"")</x:f>
        <x:v>2690688</x:v>
      </x:c>
      <x:c r="M20" s="12">
        <x:f>IF('Расчёт'!S143=1,SUM('Расчёт'!U65:U68),"")</x:f>
        <x:v>28021.732767700301</x:v>
      </x:c>
      <x:c r="N20" s="16">
        <x:f>IF('Расчёт'!S143=1,SUM('Расчёт'!U65:U68)/'Параметры'!$B$8*100,"")</x:f>
        <x:v>0.063685756290227963</x:v>
      </x:c>
    </x:row>
    <x:row r="21" ht="24" customHeight="1">
      <x:c r="A21" s="1" t="str">
        <x:v>H5</x:v>
      </x:c>
      <x:c r="B21" s="1" t="str">
        <x:v>S1</x:v>
      </x:c>
      <x:c r="C21" s="11">
        <x:f>'Входы H'!C21*'Сценарии'!$O$3</x:f>
        <x:v>0</x:v>
      </x:c>
      <x:c r="D21" s="11">
        <x:f>'Входы H'!D21*'Сценарии'!$O$3</x:f>
        <x:v>0.5</x:v>
      </x:c>
      <x:c r="E21" s="11">
        <x:f>'Входы H'!E21*'Сценарии'!$O$3</x:f>
        <x:v>0</x:v>
      </x:c>
      <x:c r="F21" s="11">
        <x:f>'Входы H'!F21+'Сценарии'!$R$3</x:f>
        <x:v>0</x:v>
      </x:c>
      <x:c r="G21" s="11">
        <x:f>'Входы H'!G21+'Сценарии'!$S$3</x:f>
        <x:v>0</x:v>
      </x:c>
      <x:c r="H21" s="11">
        <x:f>'Входы H'!H21+'Сценарии'!$T$3</x:f>
        <x:v>0</x:v>
      </x:c>
      <x:c r="I21" s="10" t="str">
        <x:v>Нужный сценарий — неизвестная доля</x:v>
      </x:c>
      <x:c r="J21" s="1" t="str">
        <x:v>Допущение</x:v>
      </x:c>
      <x:c r="K21" s="1">
        <x:f>IF(AND(COUNT(C21:H21)=6,MIN(C21:G21)&gt;=0,MAX(C21:G21)&lt;=1,H21&gt;=-1,H21&lt;=1,E21&gt;=MAX(0,C21+D21-1),E21&lt;=MIN(C21,D21)),1,0)</x:f>
        <x:v>1</x:v>
      </x:c>
      <x:c r="L21" s="12">
        <x:f>IF('Расчёт'!S144=1,SUM('Расчёт'!Z69:Z72),"")</x:f>
        <x:v>800800</x:v>
      </x:c>
      <x:c r="M21" s="12">
        <x:f>IF('Расчёт'!S144=1,SUM('Расчёт'!U69:U72),"")</x:f>
        <x:v>8524.0216500877468</x:v>
      </x:c>
      <x:c r="N21" s="16">
        <x:f>IF('Расчёт'!S144=1,SUM('Расчёт'!U69:U72)/'Параметры'!$B$8*100,"")</x:f>
        <x:v>0.01937277647747215</x:v>
      </x:c>
    </x:row>
    <x:row r="22" ht="24" customHeight="1">
      <x:c r="A22" s="1" t="str">
        <x:v>H5</x:v>
      </x:c>
      <x:c r="B22" s="1" t="str">
        <x:v>S2</x:v>
      </x:c>
      <x:c r="C22" s="11">
        <x:f>'Входы H'!C22*'Сценарии'!$O$3</x:f>
        <x:v>0</x:v>
      </x:c>
      <x:c r="D22" s="11">
        <x:f>'Входы H'!D22*'Сценарии'!$O$3</x:f>
        <x:v>0.5</x:v>
      </x:c>
      <x:c r="E22" s="11">
        <x:f>'Входы H'!E22*'Сценарии'!$O$3</x:f>
        <x:v>0</x:v>
      </x:c>
      <x:c r="F22" s="11">
        <x:f>'Входы H'!F22+'Сценарии'!$R$3</x:f>
        <x:v>0</x:v>
      </x:c>
      <x:c r="G22" s="11">
        <x:f>'Входы H'!G22+'Сценарии'!$S$3</x:f>
        <x:v>0</x:v>
      </x:c>
      <x:c r="H22" s="11">
        <x:f>'Входы H'!H22+'Сценарии'!$T$3</x:f>
        <x:v>0</x:v>
      </x:c>
      <x:c r="I22" s="10" t="str">
        <x:v>Нужный сценарий — неизвестная доля</x:v>
      </x:c>
      <x:c r="J22" s="1" t="str">
        <x:v>Допущение</x:v>
      </x:c>
      <x:c r="K22" s="1">
        <x:f>IF(AND(COUNT(C22:H22)=6,MIN(C22:G22)&gt;=0,MAX(C22:G22)&lt;=1,H22&gt;=-1,H22&lt;=1,E22&gt;=MAX(0,C22+D22-1),E22&lt;=MIN(C22,D22)),1,0)</x:f>
        <x:v>1</x:v>
      </x:c>
      <x:c r="L22" s="12">
        <x:f>IF('Расчёт'!S144=1,SUM('Расчёт'!Z73:Z76),"")</x:f>
        <x:v>343200</x:v>
      </x:c>
      <x:c r="M22" s="12">
        <x:f>IF('Расчёт'!S144=1,SUM('Расчёт'!U73:U76),"")</x:f>
        <x:v>2229.8461088355766</x:v>
      </x:c>
      <x:c r="N22" s="16">
        <x:f>IF('Расчёт'!S144=1,SUM('Расчёт'!U73:U76)/'Параметры'!$B$8*100,"")</x:f>
        <x:v>0.0050678320655354013</x:v>
      </x:c>
    </x:row>
    <x:row r="23" ht="24" customHeight="1">
      <x:c r="A23" s="1" t="str">
        <x:v>H5</x:v>
      </x:c>
      <x:c r="B23" s="1" t="str">
        <x:v>S3</x:v>
      </x:c>
      <x:c r="C23" s="11">
        <x:f>'Входы H'!C23*'Сценарии'!$O$3</x:f>
        <x:v>0</x:v>
      </x:c>
      <x:c r="D23" s="11">
        <x:f>'Входы H'!D23*'Сценарии'!$O$3</x:f>
        <x:v>0.20000000000000001</x:v>
      </x:c>
      <x:c r="E23" s="11">
        <x:f>'Входы H'!E23*'Сценарии'!$O$3</x:f>
        <x:v>0</x:v>
      </x:c>
      <x:c r="F23" s="11">
        <x:f>'Входы H'!F23+'Сценарии'!$R$3</x:f>
        <x:v>0</x:v>
      </x:c>
      <x:c r="G23" s="11">
        <x:f>'Входы H'!G23+'Сценарии'!$S$3</x:f>
        <x:v>0</x:v>
      </x:c>
      <x:c r="H23" s="11">
        <x:f>'Входы H'!H23+'Сценарии'!$T$3</x:f>
        <x:v>0</x:v>
      </x:c>
      <x:c r="I23" s="10" t="str">
        <x:v>Нужный сценарий — неизвестная доля</x:v>
      </x:c>
      <x:c r="J23" s="1" t="str">
        <x:v>Допущение</x:v>
      </x:c>
      <x:c r="K23" s="1">
        <x:f>IF(AND(COUNT(C23:H23)=6,MIN(C23:G23)&gt;=0,MAX(C23:G23)&lt;=1,H23&gt;=-1,H23&lt;=1,E23&gt;=MAX(0,C23+D23-1),E23&lt;=MIN(C23,D23)),1,0)</x:f>
        <x:v>1</x:v>
      </x:c>
      <x:c r="L23" s="12">
        <x:f>IF('Расчёт'!S144=1,SUM('Расчёт'!Z77:Z80),"")</x:f>
        <x:v>205920.00000000003</x:v>
      </x:c>
      <x:c r="M23" s="12">
        <x:f>IF('Расчёт'!S144=1,SUM('Расчёт'!U77:U80),"")</x:f>
        <x:v>483.92404915154839</x:v>
      </x:c>
      <x:c r="N23" s="16">
        <x:f>IF('Расчёт'!S144=1,SUM('Расчёт'!U77:U80)/'Параметры'!$B$8*100,"")</x:f>
        <x:v>0.0010998273844353373</x:v>
      </x:c>
    </x:row>
    <x:row r="24" ht="24" customHeight="1">
      <x:c r="A24" s="1" t="str">
        <x:v>H5</x:v>
      </x:c>
      <x:c r="B24" s="1" t="str">
        <x:v>S4</x:v>
      </x:c>
      <x:c r="C24" s="11">
        <x:f>'Входы H'!C24*'Сценарии'!$O$3</x:f>
        <x:v>0</x:v>
      </x:c>
      <x:c r="D24" s="11">
        <x:f>'Входы H'!D24*'Сценарии'!$O$3</x:f>
        <x:v>0.20000000000000001</x:v>
      </x:c>
      <x:c r="E24" s="11">
        <x:f>'Входы H'!E24*'Сценарии'!$O$3</x:f>
        <x:v>0</x:v>
      </x:c>
      <x:c r="F24" s="11">
        <x:f>'Входы H'!F24+'Сценарии'!$R$3</x:f>
        <x:v>0</x:v>
      </x:c>
      <x:c r="G24" s="11">
        <x:f>'Входы H'!G24+'Сценарии'!$S$3</x:f>
        <x:v>0</x:v>
      </x:c>
      <x:c r="H24" s="11">
        <x:f>'Входы H'!H24+'Сценарии'!$T$3</x:f>
        <x:v>0</x:v>
      </x:c>
      <x:c r="I24" s="10" t="str">
        <x:v>Нужный сценарий — неизвестная доля</x:v>
      </x:c>
      <x:c r="J24" s="1" t="str">
        <x:v>Допущение</x:v>
      </x:c>
      <x:c r="K24" s="1">
        <x:f>IF(AND(COUNT(C24:H24)=6,MIN(C24:G24)&gt;=0,MAX(C24:G24)&lt;=1,H24&gt;=-1,H24&lt;=1,E24&gt;=MAX(0,C24+D24-1),E24&lt;=MIN(C24,D24)),1,0)</x:f>
        <x:v>1</x:v>
      </x:c>
      <x:c r="L24" s="12">
        <x:f>IF('Расчёт'!S144=1,SUM('Расчёт'!Z81:Z84),"")</x:f>
        <x:v>480480.00000000006</x:v>
      </x:c>
      <x:c r="M24" s="12">
        <x:f>IF('Расчёт'!S144=1,SUM('Расчёт'!U81:U84),"")</x:f>
        <x:v>3121.7845523698161</x:v>
      </x:c>
      <x:c r="N24" s="16">
        <x:f>IF('Расчёт'!S144=1,SUM('Расчёт'!U81:U84)/'Параметры'!$B$8*100,"")</x:f>
        <x:v>0.0070949648917495818</x:v>
      </x:c>
    </x:row>
    <x:row r="25" ht="24" customHeight="1">
      <x:c r="A25" s="1" t="str">
        <x:v>H6.1</x:v>
      </x:c>
      <x:c r="B25" s="1" t="str">
        <x:v>S1</x:v>
      </x:c>
      <x:c r="C25" s="11">
        <x:f>'Входы H'!C25*'Сценарии'!$O$3</x:f>
        <x:v>0</x:v>
      </x:c>
      <x:c r="D25" s="11">
        <x:f>'Входы H'!D25*'Сценарии'!$O$3</x:f>
        <x:v>0.29999999999999999</x:v>
      </x:c>
      <x:c r="E25" s="11">
        <x:f>'Входы H'!E25*'Сценарии'!$O$3</x:f>
        <x:v>0</x:v>
      </x:c>
      <x:c r="F25" s="11">
        <x:f>'Входы H'!F25+'Сценарии'!$R$3</x:f>
        <x:v>0</x:v>
      </x:c>
      <x:c r="G25" s="11">
        <x:f>'Входы H'!G25+'Сценарии'!$S$3</x:f>
        <x:v>0</x:v>
      </x:c>
      <x:c r="H25" s="11">
        <x:f>'Входы H'!H25+'Сценарии'!$T$3</x:f>
        <x:v>0</x:v>
      </x:c>
      <x:c r="I25" s="10" t="str">
        <x:v>Готовность покупать и трудность выбора неизвестны</x:v>
      </x:c>
      <x:c r="J25" s="1" t="str">
        <x:v>Допущение</x:v>
      </x:c>
      <x:c r="K25" s="1">
        <x:f>IF(AND(COUNT(C25:H25)=6,MIN(C25:G25)&gt;=0,MAX(C25:G25)&lt;=1,H25&gt;=-1,H25&lt;=1,E25&gt;=MAX(0,C25+D25-1),E25&lt;=MIN(C25,D25)),1,0)</x:f>
        <x:v>1</x:v>
      </x:c>
      <x:c r="L25" s="12">
        <x:f>IF('Расчёт'!S145=1,SUM('Расчёт'!Z85:Z88),"")</x:f>
        <x:v>480479.99999999994</x:v>
      </x:c>
      <x:c r="M25" s="12">
        <x:f>IF('Расчёт'!S145=1,SUM('Расчёт'!U85:U88),"")</x:f>
        <x:v>5114.4129900526714</x:v>
      </x:c>
      <x:c r="N25" s="16">
        <x:f>IF('Расчёт'!S145=1,SUM('Расчёт'!U85:U88)/'Параметры'!$B$8*100,"")</x:f>
        <x:v>0.011623665886483343</x:v>
      </x:c>
    </x:row>
    <x:row r="26" ht="24" customHeight="1">
      <x:c r="A26" s="1" t="str">
        <x:v>H6.1</x:v>
      </x:c>
      <x:c r="B26" s="1" t="str">
        <x:v>S2</x:v>
      </x:c>
      <x:c r="C26" s="11">
        <x:f>'Входы H'!C26*'Сценарии'!$O$3</x:f>
        <x:v>0</x:v>
      </x:c>
      <x:c r="D26" s="11">
        <x:f>'Входы H'!D26*'Сценарии'!$O$3</x:f>
        <x:v>0.29999999999999999</x:v>
      </x:c>
      <x:c r="E26" s="11">
        <x:f>'Входы H'!E26*'Сценарии'!$O$3</x:f>
        <x:v>0</x:v>
      </x:c>
      <x:c r="F26" s="11">
        <x:f>'Входы H'!F26+'Сценарии'!$R$3</x:f>
        <x:v>0</x:v>
      </x:c>
      <x:c r="G26" s="11">
        <x:f>'Входы H'!G26+'Сценарии'!$S$3</x:f>
        <x:v>0</x:v>
      </x:c>
      <x:c r="H26" s="11">
        <x:f>'Входы H'!H26+'Сценарии'!$T$3</x:f>
        <x:v>0</x:v>
      </x:c>
      <x:c r="I26" s="10" t="str">
        <x:v>Готовность покупать и трудность выбора неизвестны</x:v>
      </x:c>
      <x:c r="J26" s="1" t="str">
        <x:v>Допущение</x:v>
      </x:c>
      <x:c r="K26" s="1">
        <x:f>IF(AND(COUNT(C26:H26)=6,MIN(C26:G26)&gt;=0,MAX(C26:G26)&lt;=1,H26&gt;=-1,H26&lt;=1,E26&gt;=MAX(0,C26+D26-1),E26&lt;=MIN(C26,D26)),1,0)</x:f>
        <x:v>1</x:v>
      </x:c>
      <x:c r="L26" s="12">
        <x:f>IF('Расчёт'!S145=1,SUM('Расчёт'!Z89:Z92),"")</x:f>
        <x:v>205920</x:v>
      </x:c>
      <x:c r="M26" s="12">
        <x:f>IF('Расчёт'!S145=1,SUM('Расчёт'!U89:U92),"")</x:f>
        <x:v>1337.9076653013522</x:v>
      </x:c>
      <x:c r="N26" s="16">
        <x:f>IF('Расчёт'!S145=1,SUM('Расчёт'!U89:U92)/'Параметры'!$B$8*100,"")</x:f>
        <x:v>0.0030406992393212547</x:v>
      </x:c>
    </x:row>
    <x:row r="27" ht="24" customHeight="1">
      <x:c r="A27" s="1" t="str">
        <x:v>H6.1</x:v>
      </x:c>
      <x:c r="B27" s="1" t="str">
        <x:v>S3</x:v>
      </x:c>
      <x:c r="C27" s="11">
        <x:f>'Входы H'!C27*'Сценарии'!$O$3</x:f>
        <x:v>0</x:v>
      </x:c>
      <x:c r="D27" s="11">
        <x:f>'Входы H'!D27*'Сценарии'!$O$3</x:f>
        <x:v>0.10000000000000001</x:v>
      </x:c>
      <x:c r="E27" s="11">
        <x:f>'Входы H'!E27*'Сценарии'!$O$3</x:f>
        <x:v>0</x:v>
      </x:c>
      <x:c r="F27" s="11">
        <x:f>'Входы H'!F27+'Сценарии'!$R$3</x:f>
        <x:v>0</x:v>
      </x:c>
      <x:c r="G27" s="11">
        <x:f>'Входы H'!G27+'Сценарии'!$S$3</x:f>
        <x:v>0</x:v>
      </x:c>
      <x:c r="H27" s="11">
        <x:f>'Входы H'!H27+'Сценарии'!$T$3</x:f>
        <x:v>0</x:v>
      </x:c>
      <x:c r="I27" s="10" t="str">
        <x:v>Готовность покупать и трудность выбора неизвестны</x:v>
      </x:c>
      <x:c r="J27" s="1" t="str">
        <x:v>Допущение</x:v>
      </x:c>
      <x:c r="K27" s="1">
        <x:f>IF(AND(COUNT(C27:H27)=6,MIN(C27:G27)&gt;=0,MAX(C27:G27)&lt;=1,H27&gt;=-1,H27&lt;=1,E27&gt;=MAX(0,C27+D27-1),E27&lt;=MIN(C27,D27)),1,0)</x:f>
        <x:v>1</x:v>
      </x:c>
      <x:c r="L27" s="12">
        <x:f>IF('Расчёт'!S145=1,SUM('Расчёт'!Z93:Z96),"")</x:f>
        <x:v>102960.00000000001</x:v>
      </x:c>
      <x:c r="M27" s="12">
        <x:f>IF('Расчёт'!S145=1,SUM('Расчёт'!U93:U96),"")</x:f>
        <x:v>241.96202457577419</x:v>
      </x:c>
      <x:c r="N27" s="16">
        <x:f>IF('Расчёт'!S145=1,SUM('Расчёт'!U93:U96)/'Параметры'!$B$8*100,"")</x:f>
        <x:v>0.00054991369221766867</x:v>
      </x:c>
    </x:row>
    <x:row r="28" ht="24" customHeight="1">
      <x:c r="A28" s="1" t="str">
        <x:v>H6.1</x:v>
      </x:c>
      <x:c r="B28" s="1" t="str">
        <x:v>S4</x:v>
      </x:c>
      <x:c r="C28" s="11">
        <x:f>'Входы H'!C28*'Сценарии'!$O$3</x:f>
        <x:v>0</x:v>
      </x:c>
      <x:c r="D28" s="11">
        <x:f>'Входы H'!D28*'Сценарии'!$O$3</x:f>
        <x:v>0.10000000000000001</x:v>
      </x:c>
      <x:c r="E28" s="11">
        <x:f>'Входы H'!E28*'Сценарии'!$O$3</x:f>
        <x:v>0</x:v>
      </x:c>
      <x:c r="F28" s="11">
        <x:f>'Входы H'!F28+'Сценарии'!$R$3</x:f>
        <x:v>0</x:v>
      </x:c>
      <x:c r="G28" s="11">
        <x:f>'Входы H'!G28+'Сценарии'!$S$3</x:f>
        <x:v>0</x:v>
      </x:c>
      <x:c r="H28" s="11">
        <x:f>'Входы H'!H28+'Сценарии'!$T$3</x:f>
        <x:v>0</x:v>
      </x:c>
      <x:c r="I28" s="10" t="str">
        <x:v>Готовность покупать и трудность выбора неизвестны</x:v>
      </x:c>
      <x:c r="J28" s="1" t="str">
        <x:v>Допущение</x:v>
      </x:c>
      <x:c r="K28" s="1">
        <x:f>IF(AND(COUNT(C28:H28)=6,MIN(C28:G28)&gt;=0,MAX(C28:G28)&lt;=1,H28&gt;=-1,H28&lt;=1,E28&gt;=MAX(0,C28+D28-1),E28&lt;=MIN(C28,D28)),1,0)</x:f>
        <x:v>1</x:v>
      </x:c>
      <x:c r="L28" s="12">
        <x:f>IF('Расчёт'!S145=1,SUM('Расчёт'!Z97:Z100),"")</x:f>
        <x:v>240240.00000000003</x:v>
      </x:c>
      <x:c r="M28" s="12">
        <x:f>IF('Расчёт'!S145=1,SUM('Расчёт'!U97:U100),"")</x:f>
        <x:v>1560.8922761848789</x:v>
      </x:c>
      <x:c r="N28" s="16">
        <x:f>IF('Расчёт'!S145=1,SUM('Расчёт'!U97:U100)/'Параметры'!$B$8*100,"")</x:f>
        <x:v>0.003547482445874725</x:v>
      </x:c>
    </x:row>
    <x:row r="29" ht="24" customHeight="1">
      <x:c r="A29" s="1" t="str">
        <x:v>H6.2</x:v>
      </x:c>
      <x:c r="B29" s="1" t="str">
        <x:v>S1</x:v>
      </x:c>
      <x:c r="C29" s="11">
        <x:f>'Входы H'!C29*'Сценарии'!$O$3</x:f>
        <x:v>0</x:v>
      </x:c>
      <x:c r="D29" s="11">
        <x:f>'Входы H'!D29*'Сценарии'!$O$3</x:f>
        <x:v>0.29999999999999999</x:v>
      </x:c>
      <x:c r="E29" s="11">
        <x:f>'Входы H'!E29*'Сценарии'!$O$3</x:f>
        <x:v>0</x:v>
      </x:c>
      <x:c r="F29" s="11">
        <x:f>'Входы H'!F29+'Сценарии'!$R$3</x:f>
        <x:v>0</x:v>
      </x:c>
      <x:c r="G29" s="11">
        <x:f>'Входы H'!G29+'Сценарии'!$S$3</x:f>
        <x:v>0</x:v>
      </x:c>
      <x:c r="H29" s="11">
        <x:f>'Входы H'!H29+'Сценарии'!$T$3</x:f>
        <x:v>0</x:v>
      </x:c>
      <x:c r="I29" s="10" t="str">
        <x:v>Готовность покупать и трудность выбора неизвестны</x:v>
      </x:c>
      <x:c r="J29" s="1" t="str">
        <x:v>Допущение</x:v>
      </x:c>
      <x:c r="K29" s="1">
        <x:f>IF(AND(COUNT(C29:H29)=6,MIN(C29:G29)&gt;=0,MAX(C29:G29)&lt;=1,H29&gt;=-1,H29&lt;=1,E29&gt;=MAX(0,C29+D29-1),E29&lt;=MIN(C29,D29)),1,0)</x:f>
        <x:v>1</x:v>
      </x:c>
      <x:c r="L29" s="12">
        <x:f>IF('Расчёт'!S146=1,SUM('Расчёт'!Z101:Z104),"")</x:f>
        <x:v>480479.99999999994</x:v>
      </x:c>
      <x:c r="M29" s="12">
        <x:f>IF('Расчёт'!S146=1,SUM('Расчёт'!U101:U104),"")</x:f>
        <x:v>5114.4129900526714</x:v>
      </x:c>
      <x:c r="N29" s="16">
        <x:f>IF('Расчёт'!S146=1,SUM('Расчёт'!U101:U104)/'Параметры'!$B$8*100,"")</x:f>
        <x:v>0.011623665886483343</x:v>
      </x:c>
    </x:row>
    <x:row r="30" ht="24" customHeight="1">
      <x:c r="A30" s="1" t="str">
        <x:v>H6.2</x:v>
      </x:c>
      <x:c r="B30" s="1" t="str">
        <x:v>S2</x:v>
      </x:c>
      <x:c r="C30" s="11">
        <x:f>'Входы H'!C30*'Сценарии'!$O$3</x:f>
        <x:v>0</x:v>
      </x:c>
      <x:c r="D30" s="11">
        <x:f>'Входы H'!D30*'Сценарии'!$O$3</x:f>
        <x:v>0.29999999999999999</x:v>
      </x:c>
      <x:c r="E30" s="11">
        <x:f>'Входы H'!E30*'Сценарии'!$O$3</x:f>
        <x:v>0</x:v>
      </x:c>
      <x:c r="F30" s="11">
        <x:f>'Входы H'!F30+'Сценарии'!$R$3</x:f>
        <x:v>0</x:v>
      </x:c>
      <x:c r="G30" s="11">
        <x:f>'Входы H'!G30+'Сценарии'!$S$3</x:f>
        <x:v>0</x:v>
      </x:c>
      <x:c r="H30" s="11">
        <x:f>'Входы H'!H30+'Сценарии'!$T$3</x:f>
        <x:v>0</x:v>
      </x:c>
      <x:c r="I30" s="10" t="str">
        <x:v>Готовность покупать и трудность выбора неизвестны</x:v>
      </x:c>
      <x:c r="J30" s="1" t="str">
        <x:v>Допущение</x:v>
      </x:c>
      <x:c r="K30" s="1">
        <x:f>IF(AND(COUNT(C30:H30)=6,MIN(C30:G30)&gt;=0,MAX(C30:G30)&lt;=1,H30&gt;=-1,H30&lt;=1,E30&gt;=MAX(0,C30+D30-1),E30&lt;=MIN(C30,D30)),1,0)</x:f>
        <x:v>1</x:v>
      </x:c>
      <x:c r="L30" s="12">
        <x:f>IF('Расчёт'!S146=1,SUM('Расчёт'!Z105:Z108),"")</x:f>
        <x:v>205920</x:v>
      </x:c>
      <x:c r="M30" s="12">
        <x:f>IF('Расчёт'!S146=1,SUM('Расчёт'!U105:U108),"")</x:f>
        <x:v>1337.9076653013522</x:v>
      </x:c>
      <x:c r="N30" s="16">
        <x:f>IF('Расчёт'!S146=1,SUM('Расчёт'!U105:U108)/'Параметры'!$B$8*100,"")</x:f>
        <x:v>0.0030406992393212547</x:v>
      </x:c>
    </x:row>
    <x:row r="31" ht="24" customHeight="1">
      <x:c r="A31" s="1" t="str">
        <x:v>H6.2</x:v>
      </x:c>
      <x:c r="B31" s="1" t="str">
        <x:v>S3</x:v>
      </x:c>
      <x:c r="C31" s="11">
        <x:f>'Входы H'!C31*'Сценарии'!$O$3</x:f>
        <x:v>0</x:v>
      </x:c>
      <x:c r="D31" s="11">
        <x:f>'Входы H'!D31*'Сценарии'!$O$3</x:f>
        <x:v>0.10000000000000001</x:v>
      </x:c>
      <x:c r="E31" s="11">
        <x:f>'Входы H'!E31*'Сценарии'!$O$3</x:f>
        <x:v>0</x:v>
      </x:c>
      <x:c r="F31" s="11">
        <x:f>'Входы H'!F31+'Сценарии'!$R$3</x:f>
        <x:v>0</x:v>
      </x:c>
      <x:c r="G31" s="11">
        <x:f>'Входы H'!G31+'Сценарии'!$S$3</x:f>
        <x:v>0</x:v>
      </x:c>
      <x:c r="H31" s="11">
        <x:f>'Входы H'!H31+'Сценарии'!$T$3</x:f>
        <x:v>0</x:v>
      </x:c>
      <x:c r="I31" s="10" t="str">
        <x:v>Готовность покупать и трудность выбора неизвестны</x:v>
      </x:c>
      <x:c r="J31" s="1" t="str">
        <x:v>Допущение</x:v>
      </x:c>
      <x:c r="K31" s="1">
        <x:f>IF(AND(COUNT(C31:H31)=6,MIN(C31:G31)&gt;=0,MAX(C31:G31)&lt;=1,H31&gt;=-1,H31&lt;=1,E31&gt;=MAX(0,C31+D31-1),E31&lt;=MIN(C31,D31)),1,0)</x:f>
        <x:v>1</x:v>
      </x:c>
      <x:c r="L31" s="12">
        <x:f>IF('Расчёт'!S146=1,SUM('Расчёт'!Z109:Z112),"")</x:f>
        <x:v>102960.00000000001</x:v>
      </x:c>
      <x:c r="M31" s="12">
        <x:f>IF('Расчёт'!S146=1,SUM('Расчёт'!U109:U112),"")</x:f>
        <x:v>241.96202457577419</x:v>
      </x:c>
      <x:c r="N31" s="16">
        <x:f>IF('Расчёт'!S146=1,SUM('Расчёт'!U109:U112)/'Параметры'!$B$8*100,"")</x:f>
        <x:v>0.00054991369221766867</x:v>
      </x:c>
    </x:row>
    <x:row r="32" ht="24" customHeight="1">
      <x:c r="A32" s="1" t="str">
        <x:v>H6.2</x:v>
      </x:c>
      <x:c r="B32" s="1" t="str">
        <x:v>S4</x:v>
      </x:c>
      <x:c r="C32" s="11">
        <x:f>'Входы H'!C32*'Сценарии'!$O$3</x:f>
        <x:v>0</x:v>
      </x:c>
      <x:c r="D32" s="11">
        <x:f>'Входы H'!D32*'Сценарии'!$O$3</x:f>
        <x:v>0.10000000000000001</x:v>
      </x:c>
      <x:c r="E32" s="11">
        <x:f>'Входы H'!E32*'Сценарии'!$O$3</x:f>
        <x:v>0</x:v>
      </x:c>
      <x:c r="F32" s="11">
        <x:f>'Входы H'!F32+'Сценарии'!$R$3</x:f>
        <x:v>0</x:v>
      </x:c>
      <x:c r="G32" s="11">
        <x:f>'Входы H'!G32+'Сценарии'!$S$3</x:f>
        <x:v>0</x:v>
      </x:c>
      <x:c r="H32" s="11">
        <x:f>'Входы H'!H32+'Сценарии'!$T$3</x:f>
        <x:v>0</x:v>
      </x:c>
      <x:c r="I32" s="10" t="str">
        <x:v>Готовность покупать и трудность выбора неизвестны</x:v>
      </x:c>
      <x:c r="J32" s="1" t="str">
        <x:v>Допущение</x:v>
      </x:c>
      <x:c r="K32" s="1">
        <x:f>IF(AND(COUNT(C32:H32)=6,MIN(C32:G32)&gt;=0,MAX(C32:G32)&lt;=1,H32&gt;=-1,H32&lt;=1,E32&gt;=MAX(0,C32+D32-1),E32&lt;=MIN(C32,D32)),1,0)</x:f>
        <x:v>1</x:v>
      </x:c>
      <x:c r="L32" s="12">
        <x:f>IF('Расчёт'!S146=1,SUM('Расчёт'!Z113:Z116),"")</x:f>
        <x:v>240240.00000000003</x:v>
      </x:c>
      <x:c r="M32" s="12">
        <x:f>IF('Расчёт'!S146=1,SUM('Расчёт'!U113:U116),"")</x:f>
        <x:v>1560.8922761848789</x:v>
      </x:c>
      <x:c r="N32" s="16">
        <x:f>IF('Расчёт'!S146=1,SUM('Расчёт'!U113:U116)/'Параметры'!$B$8*100,"")</x:f>
        <x:v>0.003547482445874725</x:v>
      </x:c>
    </x:row>
    <x:row r="33" ht="24" customHeight="1">
      <x:c r="A33" s="1" t="str">
        <x:v>H6.3</x:v>
      </x:c>
      <x:c r="B33" s="1" t="str">
        <x:v>S1</x:v>
      </x:c>
      <x:c r="C33" s="11">
        <x:f>'Входы H'!C33*'Сценарии'!$O$3</x:f>
        <x:v>0</x:v>
      </x:c>
      <x:c r="D33" s="11">
        <x:f>'Входы H'!D33*'Сценарии'!$O$3</x:f>
        <x:v>0.29999999999999999</x:v>
      </x:c>
      <x:c r="E33" s="11">
        <x:f>'Входы H'!E33*'Сценарии'!$O$3</x:f>
        <x:v>0</x:v>
      </x:c>
      <x:c r="F33" s="11">
        <x:f>'Входы H'!F33+'Сценарии'!$R$3</x:f>
        <x:v>0</x:v>
      </x:c>
      <x:c r="G33" s="11">
        <x:f>'Входы H'!G33+'Сценарии'!$S$3</x:f>
        <x:v>0</x:v>
      </x:c>
      <x:c r="H33" s="11">
        <x:f>'Входы H'!H33+'Сценарии'!$T$3</x:f>
        <x:v>0</x:v>
      </x:c>
      <x:c r="I33" s="10" t="str">
        <x:v>Готовность покупать и трудность выбора неизвестны</x:v>
      </x:c>
      <x:c r="J33" s="1" t="str">
        <x:v>Допущение</x:v>
      </x:c>
      <x:c r="K33" s="1">
        <x:f>IF(AND(COUNT(C33:H33)=6,MIN(C33:G33)&gt;=0,MAX(C33:G33)&lt;=1,H33&gt;=-1,H33&lt;=1,E33&gt;=MAX(0,C33+D33-1),E33&lt;=MIN(C33,D33)),1,0)</x:f>
        <x:v>1</x:v>
      </x:c>
      <x:c r="L33" s="12">
        <x:f>IF('Расчёт'!S147=1,SUM('Расчёт'!Z117:Z120),"")</x:f>
        <x:v>480479.99999999994</x:v>
      </x:c>
      <x:c r="M33" s="12">
        <x:f>IF('Расчёт'!S147=1,SUM('Расчёт'!U117:U120),"")</x:f>
        <x:v>5114.4129900526714</x:v>
      </x:c>
      <x:c r="N33" s="16">
        <x:f>IF('Расчёт'!S147=1,SUM('Расчёт'!U117:U120)/'Параметры'!$B$8*100,"")</x:f>
        <x:v>0.011623665886483343</x:v>
      </x:c>
    </x:row>
    <x:row r="34" ht="24" customHeight="1">
      <x:c r="A34" s="1" t="str">
        <x:v>H6.3</x:v>
      </x:c>
      <x:c r="B34" s="1" t="str">
        <x:v>S2</x:v>
      </x:c>
      <x:c r="C34" s="11">
        <x:f>'Входы H'!C34*'Сценарии'!$O$3</x:f>
        <x:v>0</x:v>
      </x:c>
      <x:c r="D34" s="11">
        <x:f>'Входы H'!D34*'Сценарии'!$O$3</x:f>
        <x:v>0.29999999999999999</x:v>
      </x:c>
      <x:c r="E34" s="11">
        <x:f>'Входы H'!E34*'Сценарии'!$O$3</x:f>
        <x:v>0</x:v>
      </x:c>
      <x:c r="F34" s="11">
        <x:f>'Входы H'!F34+'Сценарии'!$R$3</x:f>
        <x:v>0</x:v>
      </x:c>
      <x:c r="G34" s="11">
        <x:f>'Входы H'!G34+'Сценарии'!$S$3</x:f>
        <x:v>0</x:v>
      </x:c>
      <x:c r="H34" s="11">
        <x:f>'Входы H'!H34+'Сценарии'!$T$3</x:f>
        <x:v>0</x:v>
      </x:c>
      <x:c r="I34" s="10" t="str">
        <x:v>Готовность покупать и трудность выбора неизвестны</x:v>
      </x:c>
      <x:c r="J34" s="1" t="str">
        <x:v>Допущение</x:v>
      </x:c>
      <x:c r="K34" s="1">
        <x:f>IF(AND(COUNT(C34:H34)=6,MIN(C34:G34)&gt;=0,MAX(C34:G34)&lt;=1,H34&gt;=-1,H34&lt;=1,E34&gt;=MAX(0,C34+D34-1),E34&lt;=MIN(C34,D34)),1,0)</x:f>
        <x:v>1</x:v>
      </x:c>
      <x:c r="L34" s="12">
        <x:f>IF('Расчёт'!S147=1,SUM('Расчёт'!Z121:Z124),"")</x:f>
        <x:v>205920</x:v>
      </x:c>
      <x:c r="M34" s="12">
        <x:f>IF('Расчёт'!S147=1,SUM('Расчёт'!U121:U124),"")</x:f>
        <x:v>1337.9076653013522</x:v>
      </x:c>
      <x:c r="N34" s="16">
        <x:f>IF('Расчёт'!S147=1,SUM('Расчёт'!U121:U124)/'Параметры'!$B$8*100,"")</x:f>
        <x:v>0.0030406992393212547</x:v>
      </x:c>
    </x:row>
    <x:row r="35" ht="24" customHeight="1">
      <x:c r="A35" s="1" t="str">
        <x:v>H6.3</x:v>
      </x:c>
      <x:c r="B35" s="1" t="str">
        <x:v>S3</x:v>
      </x:c>
      <x:c r="C35" s="11">
        <x:f>'Входы H'!C35*'Сценарии'!$O$3</x:f>
        <x:v>0</x:v>
      </x:c>
      <x:c r="D35" s="11">
        <x:f>'Входы H'!D35*'Сценарии'!$O$3</x:f>
        <x:v>0.10000000000000001</x:v>
      </x:c>
      <x:c r="E35" s="11">
        <x:f>'Входы H'!E35*'Сценарии'!$O$3</x:f>
        <x:v>0</x:v>
      </x:c>
      <x:c r="F35" s="11">
        <x:f>'Входы H'!F35+'Сценарии'!$R$3</x:f>
        <x:v>0</x:v>
      </x:c>
      <x:c r="G35" s="11">
        <x:f>'Входы H'!G35+'Сценарии'!$S$3</x:f>
        <x:v>0</x:v>
      </x:c>
      <x:c r="H35" s="11">
        <x:f>'Входы H'!H35+'Сценарии'!$T$3</x:f>
        <x:v>0</x:v>
      </x:c>
      <x:c r="I35" s="10" t="str">
        <x:v>Готовность покупать и трудность выбора неизвестны</x:v>
      </x:c>
      <x:c r="J35" s="1" t="str">
        <x:v>Допущение</x:v>
      </x:c>
      <x:c r="K35" s="1">
        <x:f>IF(AND(COUNT(C35:H35)=6,MIN(C35:G35)&gt;=0,MAX(C35:G35)&lt;=1,H35&gt;=-1,H35&lt;=1,E35&gt;=MAX(0,C35+D35-1),E35&lt;=MIN(C35,D35)),1,0)</x:f>
        <x:v>1</x:v>
      </x:c>
      <x:c r="L35" s="12">
        <x:f>IF('Расчёт'!S147=1,SUM('Расчёт'!Z125:Z128),"")</x:f>
        <x:v>102960.00000000001</x:v>
      </x:c>
      <x:c r="M35" s="12">
        <x:f>IF('Расчёт'!S147=1,SUM('Расчёт'!U125:U128),"")</x:f>
        <x:v>241.96202457577419</x:v>
      </x:c>
      <x:c r="N35" s="16">
        <x:f>IF('Расчёт'!S147=1,SUM('Расчёт'!U125:U128)/'Параметры'!$B$8*100,"")</x:f>
        <x:v>0.00054991369221766867</x:v>
      </x:c>
    </x:row>
    <x:row r="36" ht="24" customHeight="1">
      <x:c r="A36" s="1" t="str">
        <x:v>H6.3</x:v>
      </x:c>
      <x:c r="B36" s="1" t="str">
        <x:v>S4</x:v>
      </x:c>
      <x:c r="C36" s="11">
        <x:f>'Входы H'!C36*'Сценарии'!$O$3</x:f>
        <x:v>0</x:v>
      </x:c>
      <x:c r="D36" s="11">
        <x:f>'Входы H'!D36*'Сценарии'!$O$3</x:f>
        <x:v>0.10000000000000001</x:v>
      </x:c>
      <x:c r="E36" s="11">
        <x:f>'Входы H'!E36*'Сценарии'!$O$3</x:f>
        <x:v>0</x:v>
      </x:c>
      <x:c r="F36" s="11">
        <x:f>'Входы H'!F36+'Сценарии'!$R$3</x:f>
        <x:v>0</x:v>
      </x:c>
      <x:c r="G36" s="11">
        <x:f>'Входы H'!G36+'Сценарии'!$S$3</x:f>
        <x:v>0</x:v>
      </x:c>
      <x:c r="H36" s="11">
        <x:f>'Входы H'!H36+'Сценарии'!$T$3</x:f>
        <x:v>0</x:v>
      </x:c>
      <x:c r="I36" s="10" t="str">
        <x:v>Готовность покупать и трудность выбора неизвестны</x:v>
      </x:c>
      <x:c r="J36" s="1" t="str">
        <x:v>Допущение</x:v>
      </x:c>
      <x:c r="K36" s="1">
        <x:f>IF(AND(COUNT(C36:H36)=6,MIN(C36:G36)&gt;=0,MAX(C36:G36)&lt;=1,H36&gt;=-1,H36&lt;=1,E36&gt;=MAX(0,C36+D36-1),E36&lt;=MIN(C36,D36)),1,0)</x:f>
        <x:v>1</x:v>
      </x:c>
      <x:c r="L36" s="12">
        <x:f>IF('Расчёт'!S147=1,SUM('Расчёт'!Z129:Z132),"")</x:f>
        <x:v>240240.00000000003</x:v>
      </x:c>
      <x:c r="M36" s="12">
        <x:f>IF('Расчёт'!S147=1,SUM('Расчёт'!U129:U132),"")</x:f>
        <x:v>1560.8922761848789</x:v>
      </x:c>
      <x:c r="N36" s="16">
        <x:f>IF('Расчёт'!S147=1,SUM('Расчёт'!U129:U132)/'Параметры'!$B$8*100,"")</x:f>
        <x:v>0.003547482445874725</x:v>
      </x:c>
    </x:row>
    <x:row r="37" ht="24" customHeight="1">
      <x:c r="A37" s="1"/>
      <x:c r="B37" s="1"/>
      <x:c r="C37" s="1"/>
      <x:c r="D37" s="1"/>
      <x:c r="E37" s="1"/>
      <x:c r="F37" s="1"/>
      <x:c r="G37" s="1"/>
      <x:c r="H37" s="1"/>
      <x:c r="I37" s="1"/>
      <x:c r="J37" s="1"/>
      <x:c r="K37" s="1"/>
      <x:c r="L37" s="1"/>
      <x:c r="M37" s="1"/>
      <x:c r="N37" s="1"/>
    </x:row>
    <x:row r="38" ht="24" customHeight="1">
      <x:c r="A38" s="1"/>
      <x:c r="B38" s="1"/>
      <x:c r="C38" s="1"/>
      <x:c r="D38" s="1"/>
      <x:c r="E38" s="1"/>
      <x:c r="F38" s="1"/>
      <x:c r="G38" s="1"/>
      <x:c r="H38" s="1"/>
      <x:c r="I38" s="1"/>
      <x:c r="J38" s="1"/>
      <x:c r="K38" s="1"/>
      <x:c r="L38" s="1"/>
      <x:c r="M38" s="1"/>
      <x:c r="N38" s="1"/>
    </x:row>
    <x:row r="39" ht="24" customHeight="1">
      <x:c r="A39" s="1" t="str">
        <x:v>C:H — сценарные допущения. Нулевые потери CR и дохода не означают отсутствия риска.</x:v>
      </x:c>
      <x:c r="B39" s="1"/>
      <x:c r="C39" s="1"/>
      <x:c r="D39" s="1"/>
      <x:c r="E39" s="1"/>
      <x:c r="F39" s="1"/>
      <x:c r="G39" s="1"/>
      <x:c r="H39" s="1"/>
      <x:c r="I39" s="1"/>
      <x:c r="J39" s="1"/>
      <x:c r="K39" s="1"/>
      <x:c r="L39" s="1"/>
      <x:c r="M39" s="1"/>
      <x:c r="N39" s="1"/>
    </x:row>
    <x:row r="40" ht="24" customHeight="1">
      <x:c r="A40" s="1" t="str">
        <x:v>При двух входах E предотвращает двойной счёт: max(0,C+D−1) ≤ E ≤ min(C,D). Нет суммирования H.</x:v>
      </x:c>
      <x:c r="B40" s="1"/>
      <x:c r="C40" s="1"/>
      <x:c r="D40" s="1"/>
      <x:c r="E40" s="1"/>
      <x:c r="F40" s="1"/>
      <x:c r="G40" s="1"/>
      <x:c r="H40" s="1"/>
      <x:c r="I40" s="1"/>
      <x:c r="J40" s="1"/>
      <x:c r="K40" s="1"/>
      <x:c r="L40" s="1"/>
      <x:c r="M40" s="1"/>
      <x:c r="N40" s="1"/>
    </x:row>
    <x:row r="41" ht="24" customHeight="1">
      <x:c r="A41" s="1" t="str">
        <x:v>Большая C не равна 40+ SKU. H1 адресует 40% её посетителей только как пример; пороговые объёмы неизвестны.</x:v>
      </x:c>
      <x:c r="B41" s="1"/>
      <x:c r="C41" s="1"/>
      <x:c r="D41" s="1"/>
      <x:c r="E41" s="1"/>
      <x:c r="F41" s="1"/>
      <x:c r="G41" s="1"/>
      <x:c r="H41" s="1"/>
      <x:c r="I41" s="1"/>
      <x:c r="J41" s="1"/>
      <x:c r="K41" s="1"/>
      <x:c r="L41" s="1"/>
      <x:c r="M41" s="1"/>
      <x:c r="N41" s="1"/>
    </x:row>
  </x:sheetData>
  <x:conditionalFormatting sqref="K5:K36">
    <x:cfRule type="cellIs" dxfId="3" priority="1" operator="equal">
      <x:formula>0</x:formula>
    </x:cfRule>
  </x:conditionalFormatting>
  <x:pageMargins left="0.7" right="0.7" top="0.75" bottom="0.75" header="0.3" footer="0.3"/>
</x:worksheet>
</file>

<file path=xl/worksheets/sheet6.xml><?xml version="1.0" encoding="utf-8"?>
<x:worksheet xmlns:x="http://schemas.openxmlformats.org/spreadsheetml/2006/main">
  <x:sheetPr>
    <x:tabColor rgb="FF3A5A8D"/>
  </x:sheetPr>
  <x:sheetViews>
    <x:sheetView showGridLines="0" workbookViewId="0">
      <x:pane xSplit="2" ySplit="4" topLeftCell="C5" activePane="bottomRight" state="frozen"/>
    </x:sheetView>
  </x:sheetViews>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50" hidden="0" customWidth="1"/>
  </x:cols>
  <x:sheetData>
    <x:row r="1" ht="24" customHeight="1">
      <x:c r="A1" s="1" t="str">
        <x:v>Сценарий</x:v>
      </x:c>
      <x:c r="B1" s="1" t="str">
        <x:f>'Итоги'!B3</x:f>
        <x:v>Корзины 40+: 30%</x:v>
      </x:c>
      <x:c r="C1" s="1"/>
      <x:c r="D1" s="1"/>
      <x:c r="E1" s="1"/>
      <x:c r="F1" s="1"/>
      <x:c r="G1" s="1"/>
      <x:c r="H1" s="1"/>
      <x:c r="I1" s="1"/>
      <x:c r="J1" s="1"/>
      <x:c r="K1" s="1"/>
      <x:c r="L1" s="1"/>
    </x:row>
    <x:row r="2" ht="32" customHeight="1">
      <x:c r="A2" s="2" t="str">
        <x:v>Штрафы</x:v>
      </x:c>
      <x:c r="B2" s="1"/>
      <x:c r="C2" s="1"/>
      <x:c r="D2" s="1"/>
      <x:c r="E2" s="1"/>
      <x:c r="F2" s="1"/>
      <x:c r="G2" s="1"/>
      <x:c r="H2" s="1"/>
      <x:c r="I2" s="1"/>
      <x:c r="J2" s="1"/>
      <x:c r="K2" s="1"/>
      <x:c r="L2" s="1"/>
    </x:row>
    <x:row r="3" ht="24" customHeight="1">
      <x:c r="A3" s="1"/>
      <x:c r="B3" s="1"/>
      <x:c r="C3" s="1"/>
      <x:c r="D3" s="1"/>
      <x:c r="E3" s="1"/>
      <x:c r="F3" s="1"/>
      <x:c r="G3" s="1"/>
      <x:c r="H3" s="1"/>
      <x:c r="I3" s="1"/>
      <x:c r="J3" s="1"/>
      <x:c r="K3" s="1"/>
      <x:c r="L3" s="1"/>
    </x:row>
    <x:row r="4" ht="50" customHeight="1">
      <x:c r="A4" s="7" t="str">
        <x:v>H</x:v>
      </x:c>
      <x:c r="B4" s="7" t="str">
        <x:v>Поведенч. штраф</x:v>
      </x:c>
      <x:c r="C4" s="7" t="str">
        <x:v>Продукт. штраф</x:v>
      </x:c>
      <x:c r="D4" s="7" t="str">
        <x:v>Осталось uplift</x:v>
      </x:c>
      <x:c r="E4" s="7" t="str">
        <x:v>Δ покупателей</x:v>
      </x:c>
      <x:c r="F4" s="7" t="str">
        <x:v>Δ global CR, п.п.</x:v>
      </x:c>
      <x:c r="G4" s="7" t="str">
        <x:v>Δ global CR, %</x:v>
      </x:c>
      <x:c r="H4" s="7" t="str">
        <x:v>Guard CR C</x:v>
      </x:c>
      <x:c r="I4" s="7" t="str">
        <x:v>Guard CR F</x:v>
      </x:c>
      <x:c r="J4" s="7" t="str">
        <x:v>Guard ARPU</x:v>
      </x:c>
      <x:c r="K4" s="7" t="str">
        <x:v>Сценарий</x:v>
      </x:c>
      <x:c r="L4" s="7" t="str">
        <x:v>Тип</x:v>
      </x:c>
    </x:row>
    <x:row r="5" ht="24" customHeight="1">
      <x:c r="A5" s="1" t="str">
        <x:v>H1</x:v>
      </x:c>
      <x:c r="B5" s="8" t="n">
        <x:v>0</x:v>
      </x:c>
      <x:c r="C5" s="8" t="n">
        <x:v>0</x:v>
      </x:c>
      <x:c r="D5" s="8">
        <x:f>(1-B5)*(1-C5)</x:f>
        <x:v>1</x:v>
      </x:c>
      <x:c r="E5" s="12">
        <x:f>IF('Расчёт'!S140=1,'Расчёт'!E140+'Расчёт'!F140*D5-'Расчёт'!B140,"Исправить ввод")</x:f>
        <x:v>41348.671737858094</x:v>
      </x:c>
      <x:c r="F5" s="16">
        <x:f>IF('Расчёт'!S140=1,E5/'Параметры'!$B$8*100,"Исправить ввод")</x:f>
        <x:v>0.093974253949677483</x:v>
      </x:c>
      <x:c r="G5" s="8">
        <x:f>IF('Расчёт'!S140=1,IF('Расчёт'!B140=0,"n.a.",E5/'Расчёт'!B140),"Исправить ввод")</x:f>
        <x:v>0.0062649502633118342</x:v>
      </x:c>
      <x:c r="H5" s="24" t="str">
        <x:f>IF('Расчёт'!S140=1,IF('Расчёт'!K140+'Расчёт'!L140*D5+0.00000001&gt;='Расчёт'!J140,"OK","Падение"),"Исправить ввод")</x:f>
        <x:v>OK</x:v>
      </x:c>
      <x:c r="I5" s="24" t="str">
        <x:f>IF('Расчёт'!S140=1,IF('Расчёт'!N140+'Расчёт'!O140*D5+0.00000001&gt;='Расчёт'!M140,"OK","Падение"),"Исправить ввод")</x:f>
        <x:v>OK</x:v>
      </x:c>
      <x:c r="J5" s="24" t="str">
        <x:f>IF('Расчёт'!S140=1,IF('Расчёт'!H140+'Расчёт'!I140*D5+0.000001&gt;='Расчёт'!G140,"OK","Падение"),"Исправить ввод")</x:f>
        <x:v>OK</x:v>
      </x:c>
      <x:c r="K5" s="24" t="str">
        <x:f>IF('Расчёт'!S140=1,IF(AND(E5&gt;0,H5="OK",I5="OK",J5="OK"),"Проходит","Не проходит"),"Исправить ввод")</x:f>
        <x:v>Проходит</x:v>
      </x:c>
      <x:c r="L5" s="1" t="str">
        <x:v>Штрафы — допущение; эффект — расчёт</x:v>
      </x:c>
    </x:row>
    <x:row r="6" ht="24" customHeight="1">
      <x:c r="A6" s="1" t="str">
        <x:v>H1</x:v>
      </x:c>
      <x:c r="B6" s="8" t="n">
        <x:v>0</x:v>
      </x:c>
      <x:c r="C6" s="8" t="n">
        <x:v>0.25</x:v>
      </x:c>
      <x:c r="D6" s="8">
        <x:f>(1-B6)*(1-C6)</x:f>
        <x:v>0.75</x:v>
      </x:c>
      <x:c r="E6" s="12">
        <x:f>IF('Расчёт'!S140=1,'Расчёт'!E140+'Расчёт'!F140*D6-'Расчёт'!B140,"Исправить ввод")</x:f>
        <x:v>31011.503803393804</x:v>
      </x:c>
      <x:c r="F6" s="16">
        <x:f>IF('Расчёт'!S140=1,E6/'Параметры'!$B$8*100,"Исправить ввод")</x:f>
        <x:v>0.070480690462258647</x:v>
      </x:c>
      <x:c r="G6" s="8">
        <x:f>IF('Расчёт'!S140=1,IF('Расчёт'!B140=0,"n.a.",E6/'Расчёт'!B140),"Исправить ввод")</x:f>
        <x:v>0.0046987126974839108</x:v>
      </x:c>
      <x:c r="H6" s="24" t="str">
        <x:f>IF('Расчёт'!S140=1,IF('Расчёт'!K140+'Расчёт'!L140*D6+0.00000001&gt;='Расчёт'!J140,"OK","Падение"),"Исправить ввод")</x:f>
        <x:v>OK</x:v>
      </x:c>
      <x:c r="I6" s="24" t="str">
        <x:f>IF('Расчёт'!S140=1,IF('Расчёт'!N140+'Расчёт'!O140*D6+0.00000001&gt;='Расчёт'!M140,"OK","Падение"),"Исправить ввод")</x:f>
        <x:v>OK</x:v>
      </x:c>
      <x:c r="J6" s="24" t="str">
        <x:f>IF('Расчёт'!S140=1,IF('Расчёт'!H140+'Расчёт'!I140*D6+0.000001&gt;='Расчёт'!G140,"OK","Падение"),"Исправить ввод")</x:f>
        <x:v>OK</x:v>
      </x:c>
      <x:c r="K6" s="24" t="str">
        <x:f>IF('Расчёт'!S140=1,IF(AND(E6&gt;0,H6="OK",I6="OK",J6="OK"),"Проходит","Не проходит"),"Исправить ввод")</x:f>
        <x:v>Проходит</x:v>
      </x:c>
      <x:c r="L6" s="1" t="str">
        <x:v>Штрафы — допущение; эффект — расчёт</x:v>
      </x:c>
    </x:row>
    <x:row r="7" ht="24" customHeight="1">
      <x:c r="A7" s="1" t="str">
        <x:v>H1</x:v>
      </x:c>
      <x:c r="B7" s="8" t="n">
        <x:v>0</x:v>
      </x:c>
      <x:c r="C7" s="8" t="n">
        <x:v>0.5</x:v>
      </x:c>
      <x:c r="D7" s="8">
        <x:f>(1-B7)*(1-C7)</x:f>
        <x:v>0.5</x:v>
      </x:c>
      <x:c r="E7" s="12">
        <x:f>IF('Расчёт'!S140=1,'Расчёт'!E140+'Расчёт'!F140*D7-'Расчёт'!B140,"Исправить ввод")</x:f>
        <x:v>20674.335868929513</x:v>
      </x:c>
      <x:c r="F7" s="16">
        <x:f>IF('Расчёт'!S140=1,E7/'Параметры'!$B$8*100,"Исправить ввод")</x:f>
        <x:v>0.046987126974839803</x:v>
      </x:c>
      <x:c r="G7" s="8">
        <x:f>IF('Расчёт'!S140=1,IF('Расчёт'!B140=0,"n.a.",E7/'Расчёт'!B140),"Исправить ввод")</x:f>
        <x:v>0.0031324751316559878</x:v>
      </x:c>
      <x:c r="H7" s="24" t="str">
        <x:f>IF('Расчёт'!S140=1,IF('Расчёт'!K140+'Расчёт'!L140*D7+0.00000001&gt;='Расчёт'!J140,"OK","Падение"),"Исправить ввод")</x:f>
        <x:v>OK</x:v>
      </x:c>
      <x:c r="I7" s="24" t="str">
        <x:f>IF('Расчёт'!S140=1,IF('Расчёт'!N140+'Расчёт'!O140*D7+0.00000001&gt;='Расчёт'!M140,"OK","Падение"),"Исправить ввод")</x:f>
        <x:v>OK</x:v>
      </x:c>
      <x:c r="J7" s="24" t="str">
        <x:f>IF('Расчёт'!S140=1,IF('Расчёт'!H140+'Расчёт'!I140*D7+0.000001&gt;='Расчёт'!G140,"OK","Падение"),"Исправить ввод")</x:f>
        <x:v>OK</x:v>
      </x:c>
      <x:c r="K7" s="24" t="str">
        <x:f>IF('Расчёт'!S140=1,IF(AND(E7&gt;0,H7="OK",I7="OK",J7="OK"),"Проходит","Не проходит"),"Исправить ввод")</x:f>
        <x:v>Проходит</x:v>
      </x:c>
      <x:c r="L7" s="1" t="str">
        <x:v>Штрафы — допущение; эффект — расчёт</x:v>
      </x:c>
    </x:row>
    <x:row r="8" ht="24" customHeight="1">
      <x:c r="A8" s="1" t="str">
        <x:v>H1</x:v>
      </x:c>
      <x:c r="B8" s="8" t="n">
        <x:v>0.25</x:v>
      </x:c>
      <x:c r="C8" s="8" t="n">
        <x:v>0</x:v>
      </x:c>
      <x:c r="D8" s="8">
        <x:f>(1-B8)*(1-C8)</x:f>
        <x:v>0.75</x:v>
      </x:c>
      <x:c r="E8" s="12">
        <x:f>IF('Расчёт'!S140=1,'Расчёт'!E140+'Расчёт'!F140*D8-'Расчёт'!B140,"Исправить ввод")</x:f>
        <x:v>31011.503803393804</x:v>
      </x:c>
      <x:c r="F8" s="16">
        <x:f>IF('Расчёт'!S140=1,E8/'Параметры'!$B$8*100,"Исправить ввод")</x:f>
        <x:v>0.070480690462258647</x:v>
      </x:c>
      <x:c r="G8" s="8">
        <x:f>IF('Расчёт'!S140=1,IF('Расчёт'!B140=0,"n.a.",E8/'Расчёт'!B140),"Исправить ввод")</x:f>
        <x:v>0.0046987126974839108</x:v>
      </x:c>
      <x:c r="H8" s="24" t="str">
        <x:f>IF('Расчёт'!S140=1,IF('Расчёт'!K140+'Расчёт'!L140*D8+0.00000001&gt;='Расчёт'!J140,"OK","Падение"),"Исправить ввод")</x:f>
        <x:v>OK</x:v>
      </x:c>
      <x:c r="I8" s="24" t="str">
        <x:f>IF('Расчёт'!S140=1,IF('Расчёт'!N140+'Расчёт'!O140*D8+0.00000001&gt;='Расчёт'!M140,"OK","Падение"),"Исправить ввод")</x:f>
        <x:v>OK</x:v>
      </x:c>
      <x:c r="J8" s="24" t="str">
        <x:f>IF('Расчёт'!S140=1,IF('Расчёт'!H140+'Расчёт'!I140*D8+0.000001&gt;='Расчёт'!G140,"OK","Падение"),"Исправить ввод")</x:f>
        <x:v>OK</x:v>
      </x:c>
      <x:c r="K8" s="24" t="str">
        <x:f>IF('Расчёт'!S140=1,IF(AND(E8&gt;0,H8="OK",I8="OK",J8="OK"),"Проходит","Не проходит"),"Исправить ввод")</x:f>
        <x:v>Проходит</x:v>
      </x:c>
      <x:c r="L8" s="1" t="str">
        <x:v>Штрафы — допущение; эффект — расчёт</x:v>
      </x:c>
    </x:row>
    <x:row r="9" ht="24" customHeight="1">
      <x:c r="A9" s="1" t="str">
        <x:v>H1</x:v>
      </x:c>
      <x:c r="B9" s="8" t="n">
        <x:v>0.25</x:v>
      </x:c>
      <x:c r="C9" s="8" t="n">
        <x:v>0.25</x:v>
      </x:c>
      <x:c r="D9" s="8">
        <x:f>(1-B9)*(1-C9)</x:f>
        <x:v>0.5625</x:v>
      </x:c>
      <x:c r="E9" s="12">
        <x:f>IF('Расчёт'!S140=1,'Расчёт'!E140+'Расчёт'!F140*D9-'Расчёт'!B140,"Исправить ввод")</x:f>
        <x:v>23258.62785254512</x:v>
      </x:c>
      <x:c r="F9" s="16">
        <x:f>IF('Расчёт'!S140=1,E9/'Параметры'!$B$8*100,"Исправить ввод")</x:f>
        <x:v>0.052860517846693447</x:v>
      </x:c>
      <x:c r="G9" s="8">
        <x:f>IF('Расчёт'!S140=1,IF('Расчёт'!B140=0,"n.a.",E9/'Расчёт'!B140),"Исправить ввод")</x:f>
        <x:v>0.0035240345231128977</x:v>
      </x:c>
      <x:c r="H9" s="24" t="str">
        <x:f>IF('Расчёт'!S140=1,IF('Расчёт'!K140+'Расчёт'!L140*D9+0.00000001&gt;='Расчёт'!J140,"OK","Падение"),"Исправить ввод")</x:f>
        <x:v>OK</x:v>
      </x:c>
      <x:c r="I9" s="24" t="str">
        <x:f>IF('Расчёт'!S140=1,IF('Расчёт'!N140+'Расчёт'!O140*D9+0.00000001&gt;='Расчёт'!M140,"OK","Падение"),"Исправить ввод")</x:f>
        <x:v>OK</x:v>
      </x:c>
      <x:c r="J9" s="24" t="str">
        <x:f>IF('Расчёт'!S140=1,IF('Расчёт'!H140+'Расчёт'!I140*D9+0.000001&gt;='Расчёт'!G140,"OK","Падение"),"Исправить ввод")</x:f>
        <x:v>OK</x:v>
      </x:c>
      <x:c r="K9" s="24" t="str">
        <x:f>IF('Расчёт'!S140=1,IF(AND(E9&gt;0,H9="OK",I9="OK",J9="OK"),"Проходит","Не проходит"),"Исправить ввод")</x:f>
        <x:v>Проходит</x:v>
      </x:c>
      <x:c r="L9" s="1" t="str">
        <x:v>Штрафы — допущение; эффект — расчёт</x:v>
      </x:c>
    </x:row>
    <x:row r="10" ht="24" customHeight="1">
      <x:c r="A10" s="1" t="str">
        <x:v>H1</x:v>
      </x:c>
      <x:c r="B10" s="8" t="n">
        <x:v>0.25</x:v>
      </x:c>
      <x:c r="C10" s="8" t="n">
        <x:v>0.5</x:v>
      </x:c>
      <x:c r="D10" s="8">
        <x:f>(1-B10)*(1-C10)</x:f>
        <x:v>0.375</x:v>
      </x:c>
      <x:c r="E10" s="12">
        <x:f>IF('Расчёт'!S140=1,'Расчёт'!E140+'Расчёт'!F140*D10-'Расчёт'!B140,"Исправить ввод")</x:f>
        <x:v>15505.751901696436</x:v>
      </x:c>
      <x:c r="F10" s="16">
        <x:f>IF('Расчёт'!S140=1,E10/'Параметры'!$B$8*100,"Исправить ввод")</x:f>
        <x:v>0.035240345231128269</x:v>
      </x:c>
      <x:c r="G10" s="8">
        <x:f>IF('Расчёт'!S140=1,IF('Расчёт'!B140=0,"n.a.",E10/'Расчёт'!B140),"Исправить ввод")</x:f>
        <x:v>0.0023493563487418851</x:v>
      </x:c>
      <x:c r="H10" s="24" t="str">
        <x:f>IF('Расчёт'!S140=1,IF('Расчёт'!K140+'Расчёт'!L140*D10+0.00000001&gt;='Расчёт'!J140,"OK","Падение"),"Исправить ввод")</x:f>
        <x:v>OK</x:v>
      </x:c>
      <x:c r="I10" s="24" t="str">
        <x:f>IF('Расчёт'!S140=1,IF('Расчёт'!N140+'Расчёт'!O140*D10+0.00000001&gt;='Расчёт'!M140,"OK","Падение"),"Исправить ввод")</x:f>
        <x:v>OK</x:v>
      </x:c>
      <x:c r="J10" s="24" t="str">
        <x:f>IF('Расчёт'!S140=1,IF('Расчёт'!H140+'Расчёт'!I140*D10+0.000001&gt;='Расчёт'!G140,"OK","Падение"),"Исправить ввод")</x:f>
        <x:v>OK</x:v>
      </x:c>
      <x:c r="K10" s="24" t="str">
        <x:f>IF('Расчёт'!S140=1,IF(AND(E10&gt;0,H10="OK",I10="OK",J10="OK"),"Проходит","Не проходит"),"Исправить ввод")</x:f>
        <x:v>Проходит</x:v>
      </x:c>
      <x:c r="L10" s="1" t="str">
        <x:v>Штрафы — допущение; эффект — расчёт</x:v>
      </x:c>
    </x:row>
    <x:row r="11" ht="24" customHeight="1">
      <x:c r="A11" s="1" t="str">
        <x:v>H1</x:v>
      </x:c>
      <x:c r="B11" s="8" t="n">
        <x:v>0.5</x:v>
      </x:c>
      <x:c r="C11" s="8" t="n">
        <x:v>0</x:v>
      </x:c>
      <x:c r="D11" s="8">
        <x:f>(1-B11)*(1-C11)</x:f>
        <x:v>0.5</x:v>
      </x:c>
      <x:c r="E11" s="12">
        <x:f>IF('Расчёт'!S140=1,'Расчёт'!E140+'Расчёт'!F140*D11-'Расчёт'!B140,"Исправить ввод")</x:f>
        <x:v>20674.335868929513</x:v>
      </x:c>
      <x:c r="F11" s="16">
        <x:f>IF('Расчёт'!S140=1,E11/'Параметры'!$B$8*100,"Исправить ввод")</x:f>
        <x:v>0.046987126974839803</x:v>
      </x:c>
      <x:c r="G11" s="8">
        <x:f>IF('Расчёт'!S140=1,IF('Расчёт'!B140=0,"n.a.",E11/'Расчёт'!B140),"Исправить ввод")</x:f>
        <x:v>0.0031324751316559878</x:v>
      </x:c>
      <x:c r="H11" s="24" t="str">
        <x:f>IF('Расчёт'!S140=1,IF('Расчёт'!K140+'Расчёт'!L140*D11+0.00000001&gt;='Расчёт'!J140,"OK","Падение"),"Исправить ввод")</x:f>
        <x:v>OK</x:v>
      </x:c>
      <x:c r="I11" s="24" t="str">
        <x:f>IF('Расчёт'!S140=1,IF('Расчёт'!N140+'Расчёт'!O140*D11+0.00000001&gt;='Расчёт'!M140,"OK","Падение"),"Исправить ввод")</x:f>
        <x:v>OK</x:v>
      </x:c>
      <x:c r="J11" s="24" t="str">
        <x:f>IF('Расчёт'!S140=1,IF('Расчёт'!H140+'Расчёт'!I140*D11+0.000001&gt;='Расчёт'!G140,"OK","Падение"),"Исправить ввод")</x:f>
        <x:v>OK</x:v>
      </x:c>
      <x:c r="K11" s="24" t="str">
        <x:f>IF('Расчёт'!S140=1,IF(AND(E11&gt;0,H11="OK",I11="OK",J11="OK"),"Проходит","Не проходит"),"Исправить ввод")</x:f>
        <x:v>Проходит</x:v>
      </x:c>
      <x:c r="L11" s="1" t="str">
        <x:v>Штрафы — допущение; эффект — расчёт</x:v>
      </x:c>
    </x:row>
    <x:row r="12" ht="24" customHeight="1">
      <x:c r="A12" s="1" t="str">
        <x:v>H1</x:v>
      </x:c>
      <x:c r="B12" s="8" t="n">
        <x:v>0.5</x:v>
      </x:c>
      <x:c r="C12" s="8" t="n">
        <x:v>0.25</x:v>
      </x:c>
      <x:c r="D12" s="8">
        <x:f>(1-B12)*(1-C12)</x:f>
        <x:v>0.375</x:v>
      </x:c>
      <x:c r="E12" s="12">
        <x:f>IF('Расчёт'!S140=1,'Расчёт'!E140+'Расчёт'!F140*D12-'Расчёт'!B140,"Исправить ввод")</x:f>
        <x:v>15505.751901696436</x:v>
      </x:c>
      <x:c r="F12" s="16">
        <x:f>IF('Расчёт'!S140=1,E12/'Параметры'!$B$8*100,"Исправить ввод")</x:f>
        <x:v>0.035240345231128269</x:v>
      </x:c>
      <x:c r="G12" s="8">
        <x:f>IF('Расчёт'!S140=1,IF('Расчёт'!B140=0,"n.a.",E12/'Расчёт'!B140),"Исправить ввод")</x:f>
        <x:v>0.0023493563487418851</x:v>
      </x:c>
      <x:c r="H12" s="24" t="str">
        <x:f>IF('Расчёт'!S140=1,IF('Расчёт'!K140+'Расчёт'!L140*D12+0.00000001&gt;='Расчёт'!J140,"OK","Падение"),"Исправить ввод")</x:f>
        <x:v>OK</x:v>
      </x:c>
      <x:c r="I12" s="24" t="str">
        <x:f>IF('Расчёт'!S140=1,IF('Расчёт'!N140+'Расчёт'!O140*D12+0.00000001&gt;='Расчёт'!M140,"OK","Падение"),"Исправить ввод")</x:f>
        <x:v>OK</x:v>
      </x:c>
      <x:c r="J12" s="24" t="str">
        <x:f>IF('Расчёт'!S140=1,IF('Расчёт'!H140+'Расчёт'!I140*D12+0.000001&gt;='Расчёт'!G140,"OK","Падение"),"Исправить ввод")</x:f>
        <x:v>OK</x:v>
      </x:c>
      <x:c r="K12" s="24" t="str">
        <x:f>IF('Расчёт'!S140=1,IF(AND(E12&gt;0,H12="OK",I12="OK",J12="OK"),"Проходит","Не проходит"),"Исправить ввод")</x:f>
        <x:v>Проходит</x:v>
      </x:c>
      <x:c r="L12" s="1" t="str">
        <x:v>Штрафы — допущение; эффект — расчёт</x:v>
      </x:c>
    </x:row>
    <x:row r="13" ht="24" customHeight="1">
      <x:c r="A13" s="1" t="str">
        <x:v>H1</x:v>
      </x:c>
      <x:c r="B13" s="8" t="n">
        <x:v>0.5</x:v>
      </x:c>
      <x:c r="C13" s="8" t="n">
        <x:v>0.5</x:v>
      </x:c>
      <x:c r="D13" s="8">
        <x:f>(1-B13)*(1-C13)</x:f>
        <x:v>0.25</x:v>
      </x:c>
      <x:c r="E13" s="12">
        <x:f>IF('Расчёт'!S140=1,'Расчёт'!E140+'Расчёт'!F140*D13-'Расчёт'!B140,"Исправить ввод")</x:f>
        <x:v>10337.167934464291</x:v>
      </x:c>
      <x:c r="F13" s="16">
        <x:f>IF('Расчёт'!S140=1,E13/'Параметры'!$B$8*100,"Исправить ввод")</x:f>
        <x:v>0.023493563487418843</x:v>
      </x:c>
      <x:c r="G13" s="8">
        <x:f>IF('Расчёт'!S140=1,IF('Расчёт'!B140=0,"n.a.",E13/'Расчёт'!B140),"Исправить ввод")</x:f>
        <x:v>0.0015662375658279232</x:v>
      </x:c>
      <x:c r="H13" s="24" t="str">
        <x:f>IF('Расчёт'!S140=1,IF('Расчёт'!K140+'Расчёт'!L140*D13+0.00000001&gt;='Расчёт'!J140,"OK","Падение"),"Исправить ввод")</x:f>
        <x:v>OK</x:v>
      </x:c>
      <x:c r="I13" s="24" t="str">
        <x:f>IF('Расчёт'!S140=1,IF('Расчёт'!N140+'Расчёт'!O140*D13+0.00000001&gt;='Расчёт'!M140,"OK","Падение"),"Исправить ввод")</x:f>
        <x:v>OK</x:v>
      </x:c>
      <x:c r="J13" s="24" t="str">
        <x:f>IF('Расчёт'!S140=1,IF('Расчёт'!H140+'Расчёт'!I140*D13+0.000001&gt;='Расчёт'!G140,"OK","Падение"),"Исправить ввод")</x:f>
        <x:v>OK</x:v>
      </x:c>
      <x:c r="K13" s="24" t="str">
        <x:f>IF('Расчёт'!S140=1,IF(AND(E13&gt;0,H13="OK",I13="OK",J13="OK"),"Проходит","Не проходит"),"Исправить ввод")</x:f>
        <x:v>Проходит</x:v>
      </x:c>
      <x:c r="L13" s="1" t="str">
        <x:v>Штрафы — допущение; эффект — расчёт</x:v>
      </x:c>
    </x:row>
    <x:row r="14" ht="24" customHeight="1">
      <x:c r="A14" s="1" t="str">
        <x:v>H2</x:v>
      </x:c>
      <x:c r="B14" s="8" t="n">
        <x:v>0</x:v>
      </x:c>
      <x:c r="C14" s="8" t="n">
        <x:v>0</x:v>
      </x:c>
      <x:c r="D14" s="8">
        <x:f>(1-B14)*(1-C14)</x:f>
        <x:v>1</x:v>
      </x:c>
      <x:c r="E14" s="12">
        <x:f>IF('Расчёт'!S141=1,'Расчёт'!E141+'Расчёт'!F141*D14-'Расчёт'!B141,"Исправить ввод")</x:f>
        <x:v>129695.72849619668</x:v>
      </x:c>
      <x:c r="F14" s="16">
        <x:f>IF('Расчёт'!S141=1,E14/'Параметры'!$B$8*100,"Исправить ввод")</x:f>
        <x:v>0.29476301930953791</x:v>
      </x:c>
      <x:c r="G14" s="8">
        <x:f>IF('Расчёт'!S141=1,IF('Расчёт'!B141=0,"n.a.",E14/'Расчёт'!B141),"Исправить ввод")</x:f>
        <x:v>0.019650867953969198</x:v>
      </x:c>
      <x:c r="H14" s="24" t="str">
        <x:f>IF('Расчёт'!S141=1,IF('Расчёт'!K141+'Расчёт'!L141*D14+0.00000001&gt;='Расчёт'!J141,"OK","Падение"),"Исправить ввод")</x:f>
        <x:v>OK</x:v>
      </x:c>
      <x:c r="I14" s="24" t="str">
        <x:f>IF('Расчёт'!S141=1,IF('Расчёт'!N141+'Расчёт'!O141*D14+0.00000001&gt;='Расчёт'!M141,"OK","Падение"),"Исправить ввод")</x:f>
        <x:v>OK</x:v>
      </x:c>
      <x:c r="J14" s="24" t="str">
        <x:f>IF('Расчёт'!S141=1,IF('Расчёт'!H141+'Расчёт'!I141*D14+0.000001&gt;='Расчёт'!G141,"OK","Падение"),"Исправить ввод")</x:f>
        <x:v>OK</x:v>
      </x:c>
      <x:c r="K14" s="24" t="str">
        <x:f>IF('Расчёт'!S141=1,IF(AND(E14&gt;0,H14="OK",I14="OK",J14="OK"),"Проходит","Не проходит"),"Исправить ввод")</x:f>
        <x:v>Проходит</x:v>
      </x:c>
      <x:c r="L14" s="1" t="str">
        <x:v>Штрафы — допущение; эффект — расчёт</x:v>
      </x:c>
    </x:row>
    <x:row r="15" ht="24" customHeight="1">
      <x:c r="A15" s="1" t="str">
        <x:v>H2</x:v>
      </x:c>
      <x:c r="B15" s="8" t="n">
        <x:v>0</x:v>
      </x:c>
      <x:c r="C15" s="8" t="n">
        <x:v>0.25</x:v>
      </x:c>
      <x:c r="D15" s="8">
        <x:f>(1-B15)*(1-C15)</x:f>
        <x:v>0.75</x:v>
      </x:c>
      <x:c r="E15" s="12">
        <x:f>IF('Расчёт'!S141=1,'Расчёт'!E141+'Расчёт'!F141*D15-'Расчёт'!B141,"Исправить ввод")</x:f>
        <x:v>97271.796372147277</x:v>
      </x:c>
      <x:c r="F15" s="16">
        <x:f>IF('Расчёт'!S141=1,E15/'Параметры'!$B$8*100,"Исправить ввод")</x:f>
        <x:v>0.22107226448215292</x:v>
      </x:c>
      <x:c r="G15" s="8">
        <x:f>IF('Расчёт'!S141=1,IF('Расчёт'!B141=0,"n.a.",E15/'Расчёт'!B141),"Исправить ввод")</x:f>
        <x:v>0.014738150965476864</x:v>
      </x:c>
      <x:c r="H15" s="24" t="str">
        <x:f>IF('Расчёт'!S141=1,IF('Расчёт'!K141+'Расчёт'!L141*D15+0.00000001&gt;='Расчёт'!J141,"OK","Падение"),"Исправить ввод")</x:f>
        <x:v>OK</x:v>
      </x:c>
      <x:c r="I15" s="24" t="str">
        <x:f>IF('Расчёт'!S141=1,IF('Расчёт'!N141+'Расчёт'!O141*D15+0.00000001&gt;='Расчёт'!M141,"OK","Падение"),"Исправить ввод")</x:f>
        <x:v>OK</x:v>
      </x:c>
      <x:c r="J15" s="24" t="str">
        <x:f>IF('Расчёт'!S141=1,IF('Расчёт'!H141+'Расчёт'!I141*D15+0.000001&gt;='Расчёт'!G141,"OK","Падение"),"Исправить ввод")</x:f>
        <x:v>OK</x:v>
      </x:c>
      <x:c r="K15" s="24" t="str">
        <x:f>IF('Расчёт'!S141=1,IF(AND(E15&gt;0,H15="OK",I15="OK",J15="OK"),"Проходит","Не проходит"),"Исправить ввод")</x:f>
        <x:v>Проходит</x:v>
      </x:c>
      <x:c r="L15" s="1" t="str">
        <x:v>Штрафы — допущение; эффект — расчёт</x:v>
      </x:c>
    </x:row>
    <x:row r="16" ht="24" customHeight="1">
      <x:c r="A16" s="1" t="str">
        <x:v>H2</x:v>
      </x:c>
      <x:c r="B16" s="8" t="n">
        <x:v>0</x:v>
      </x:c>
      <x:c r="C16" s="8" t="n">
        <x:v>0.5</x:v>
      </x:c>
      <x:c r="D16" s="8">
        <x:f>(1-B16)*(1-C16)</x:f>
        <x:v>0.5</x:v>
      </x:c>
      <x:c r="E16" s="12">
        <x:f>IF('Расчёт'!S141=1,'Расчёт'!E141+'Расчёт'!F141*D16-'Расчёт'!B141,"Исправить ввод")</x:f>
        <x:v>64847.864248097874</x:v>
      </x:c>
      <x:c r="F16" s="16">
        <x:f>IF('Расчёт'!S141=1,E16/'Параметры'!$B$8*100,"Исправить ввод")</x:f>
        <x:v>0.1473815096547679</x:v>
      </x:c>
      <x:c r="G16" s="8">
        <x:f>IF('Расчёт'!S141=1,IF('Расчёт'!B141=0,"n.a.",E16/'Расчёт'!B141),"Исправить ввод")</x:f>
        <x:v>0.0098254339769845295</x:v>
      </x:c>
      <x:c r="H16" s="24" t="str">
        <x:f>IF('Расчёт'!S141=1,IF('Расчёт'!K141+'Расчёт'!L141*D16+0.00000001&gt;='Расчёт'!J141,"OK","Падение"),"Исправить ввод")</x:f>
        <x:v>OK</x:v>
      </x:c>
      <x:c r="I16" s="24" t="str">
        <x:f>IF('Расчёт'!S141=1,IF('Расчёт'!N141+'Расчёт'!O141*D16+0.00000001&gt;='Расчёт'!M141,"OK","Падение"),"Исправить ввод")</x:f>
        <x:v>OK</x:v>
      </x:c>
      <x:c r="J16" s="24" t="str">
        <x:f>IF('Расчёт'!S141=1,IF('Расчёт'!H141+'Расчёт'!I141*D16+0.000001&gt;='Расчёт'!G141,"OK","Падение"),"Исправить ввод")</x:f>
        <x:v>OK</x:v>
      </x:c>
      <x:c r="K16" s="24" t="str">
        <x:f>IF('Расчёт'!S141=1,IF(AND(E16&gt;0,H16="OK",I16="OK",J16="OK"),"Проходит","Не проходит"),"Исправить ввод")</x:f>
        <x:v>Проходит</x:v>
      </x:c>
      <x:c r="L16" s="1" t="str">
        <x:v>Штрафы — допущение; эффект — расчёт</x:v>
      </x:c>
    </x:row>
    <x:row r="17" ht="24" customHeight="1">
      <x:c r="A17" s="1" t="str">
        <x:v>H2</x:v>
      </x:c>
      <x:c r="B17" s="8" t="n">
        <x:v>0.25</x:v>
      </x:c>
      <x:c r="C17" s="8" t="n">
        <x:v>0</x:v>
      </x:c>
      <x:c r="D17" s="8">
        <x:f>(1-B17)*(1-C17)</x:f>
        <x:v>0.75</x:v>
      </x:c>
      <x:c r="E17" s="12">
        <x:f>IF('Расчёт'!S141=1,'Расчёт'!E141+'Расчёт'!F141*D17-'Расчёт'!B141,"Исправить ввод")</x:f>
        <x:v>97271.796372147277</x:v>
      </x:c>
      <x:c r="F17" s="16">
        <x:f>IF('Расчёт'!S141=1,E17/'Параметры'!$B$8*100,"Исправить ввод")</x:f>
        <x:v>0.22107226448215292</x:v>
      </x:c>
      <x:c r="G17" s="8">
        <x:f>IF('Расчёт'!S141=1,IF('Расчёт'!B141=0,"n.a.",E17/'Расчёт'!B141),"Исправить ввод")</x:f>
        <x:v>0.014738150965476864</x:v>
      </x:c>
      <x:c r="H17" s="24" t="str">
        <x:f>IF('Расчёт'!S141=1,IF('Расчёт'!K141+'Расчёт'!L141*D17+0.00000001&gt;='Расчёт'!J141,"OK","Падение"),"Исправить ввод")</x:f>
        <x:v>OK</x:v>
      </x:c>
      <x:c r="I17" s="24" t="str">
        <x:f>IF('Расчёт'!S141=1,IF('Расчёт'!N141+'Расчёт'!O141*D17+0.00000001&gt;='Расчёт'!M141,"OK","Падение"),"Исправить ввод")</x:f>
        <x:v>OK</x:v>
      </x:c>
      <x:c r="J17" s="24" t="str">
        <x:f>IF('Расчёт'!S141=1,IF('Расчёт'!H141+'Расчёт'!I141*D17+0.000001&gt;='Расчёт'!G141,"OK","Падение"),"Исправить ввод")</x:f>
        <x:v>OK</x:v>
      </x:c>
      <x:c r="K17" s="24" t="str">
        <x:f>IF('Расчёт'!S141=1,IF(AND(E17&gt;0,H17="OK",I17="OK",J17="OK"),"Проходит","Не проходит"),"Исправить ввод")</x:f>
        <x:v>Проходит</x:v>
      </x:c>
      <x:c r="L17" s="1" t="str">
        <x:v>Штрафы — допущение; эффект — расчёт</x:v>
      </x:c>
    </x:row>
    <x:row r="18" ht="24" customHeight="1">
      <x:c r="A18" s="1" t="str">
        <x:v>H2</x:v>
      </x:c>
      <x:c r="B18" s="8" t="n">
        <x:v>0.25</x:v>
      </x:c>
      <x:c r="C18" s="8" t="n">
        <x:v>0.25</x:v>
      </x:c>
      <x:c r="D18" s="8">
        <x:f>(1-B18)*(1-C18)</x:f>
        <x:v>0.5625</x:v>
      </x:c>
      <x:c r="E18" s="12">
        <x:f>IF('Расчёт'!S141=1,'Расчёт'!E141+'Расчёт'!F141*D18-'Расчёт'!B141,"Исправить ввод")</x:f>
        <x:v>72953.847279110923</x:v>
      </x:c>
      <x:c r="F18" s="16">
        <x:f>IF('Расчёт'!S141=1,E18/'Параметры'!$B$8*100,"Исправить ввод")</x:f>
        <x:v>0.16580419836161572</x:v>
      </x:c>
      <x:c r="G18" s="8">
        <x:f>IF('Расчёт'!S141=1,IF('Расчёт'!B141=0,"n.a.",E18/'Расчёт'!B141),"Исправить ввод")</x:f>
        <x:v>0.011053613224107719</x:v>
      </x:c>
      <x:c r="H18" s="24" t="str">
        <x:f>IF('Расчёт'!S141=1,IF('Расчёт'!K141+'Расчёт'!L141*D18+0.00000001&gt;='Расчёт'!J141,"OK","Падение"),"Исправить ввод")</x:f>
        <x:v>OK</x:v>
      </x:c>
      <x:c r="I18" s="24" t="str">
        <x:f>IF('Расчёт'!S141=1,IF('Расчёт'!N141+'Расчёт'!O141*D18+0.00000001&gt;='Расчёт'!M141,"OK","Падение"),"Исправить ввод")</x:f>
        <x:v>OK</x:v>
      </x:c>
      <x:c r="J18" s="24" t="str">
        <x:f>IF('Расчёт'!S141=1,IF('Расчёт'!H141+'Расчёт'!I141*D18+0.000001&gt;='Расчёт'!G141,"OK","Падение"),"Исправить ввод")</x:f>
        <x:v>OK</x:v>
      </x:c>
      <x:c r="K18" s="24" t="str">
        <x:f>IF('Расчёт'!S141=1,IF(AND(E18&gt;0,H18="OK",I18="OK",J18="OK"),"Проходит","Не проходит"),"Исправить ввод")</x:f>
        <x:v>Проходит</x:v>
      </x:c>
      <x:c r="L18" s="1" t="str">
        <x:v>Штрафы — допущение; эффект — расчёт</x:v>
      </x:c>
    </x:row>
    <x:row r="19" ht="24" customHeight="1">
      <x:c r="A19" s="1" t="str">
        <x:v>H2</x:v>
      </x:c>
      <x:c r="B19" s="8" t="n">
        <x:v>0.25</x:v>
      </x:c>
      <x:c r="C19" s="8" t="n">
        <x:v>0.5</x:v>
      </x:c>
      <x:c r="D19" s="8">
        <x:f>(1-B19)*(1-C19)</x:f>
        <x:v>0.375</x:v>
      </x:c>
      <x:c r="E19" s="12">
        <x:f>IF('Расчёт'!S141=1,'Расчёт'!E141+'Расчёт'!F141*D19-'Расчёт'!B141,"Исправить ввод")</x:f>
        <x:v>48635.898186073638</x:v>
      </x:c>
      <x:c r="F19" s="16">
        <x:f>IF('Расчёт'!S141=1,E19/'Параметры'!$B$8*100,"Исправить ввод")</x:f>
        <x:v>0.11053613224107646</x:v>
      </x:c>
      <x:c r="G19" s="8">
        <x:f>IF('Расчёт'!S141=1,IF('Расчёт'!B141=0,"n.a.",E19/'Расчёт'!B141),"Исправить ввод")</x:f>
        <x:v>0.0073690754827384318</x:v>
      </x:c>
      <x:c r="H19" s="24" t="str">
        <x:f>IF('Расчёт'!S141=1,IF('Расчёт'!K141+'Расчёт'!L141*D19+0.00000001&gt;='Расчёт'!J141,"OK","Падение"),"Исправить ввод")</x:f>
        <x:v>OK</x:v>
      </x:c>
      <x:c r="I19" s="24" t="str">
        <x:f>IF('Расчёт'!S141=1,IF('Расчёт'!N141+'Расчёт'!O141*D19+0.00000001&gt;='Расчёт'!M141,"OK","Падение"),"Исправить ввод")</x:f>
        <x:v>OK</x:v>
      </x:c>
      <x:c r="J19" s="24" t="str">
        <x:f>IF('Расчёт'!S141=1,IF('Расчёт'!H141+'Расчёт'!I141*D19+0.000001&gt;='Расчёт'!G141,"OK","Падение"),"Исправить ввод")</x:f>
        <x:v>OK</x:v>
      </x:c>
      <x:c r="K19" s="24" t="str">
        <x:f>IF('Расчёт'!S141=1,IF(AND(E19&gt;0,H19="OK",I19="OK",J19="OK"),"Проходит","Не проходит"),"Исправить ввод")</x:f>
        <x:v>Проходит</x:v>
      </x:c>
      <x:c r="L19" s="1" t="str">
        <x:v>Штрафы — допущение; эффект — расчёт</x:v>
      </x:c>
    </x:row>
    <x:row r="20" ht="24" customHeight="1">
      <x:c r="A20" s="1" t="str">
        <x:v>H2</x:v>
      </x:c>
      <x:c r="B20" s="8" t="n">
        <x:v>0.5</x:v>
      </x:c>
      <x:c r="C20" s="8" t="n">
        <x:v>0</x:v>
      </x:c>
      <x:c r="D20" s="8">
        <x:f>(1-B20)*(1-C20)</x:f>
        <x:v>0.5</x:v>
      </x:c>
      <x:c r="E20" s="12">
        <x:f>IF('Расчёт'!S141=1,'Расчёт'!E141+'Расчёт'!F141*D20-'Расчёт'!B141,"Исправить ввод")</x:f>
        <x:v>64847.864248097874</x:v>
      </x:c>
      <x:c r="F20" s="16">
        <x:f>IF('Расчёт'!S141=1,E20/'Параметры'!$B$8*100,"Исправить ввод")</x:f>
        <x:v>0.1473815096547679</x:v>
      </x:c>
      <x:c r="G20" s="8">
        <x:f>IF('Расчёт'!S141=1,IF('Расчёт'!B141=0,"n.a.",E20/'Расчёт'!B141),"Исправить ввод")</x:f>
        <x:v>0.0098254339769845295</x:v>
      </x:c>
      <x:c r="H20" s="24" t="str">
        <x:f>IF('Расчёт'!S141=1,IF('Расчёт'!K141+'Расчёт'!L141*D20+0.00000001&gt;='Расчёт'!J141,"OK","Падение"),"Исправить ввод")</x:f>
        <x:v>OK</x:v>
      </x:c>
      <x:c r="I20" s="24" t="str">
        <x:f>IF('Расчёт'!S141=1,IF('Расчёт'!N141+'Расчёт'!O141*D20+0.00000001&gt;='Расчёт'!M141,"OK","Падение"),"Исправить ввод")</x:f>
        <x:v>OK</x:v>
      </x:c>
      <x:c r="J20" s="24" t="str">
        <x:f>IF('Расчёт'!S141=1,IF('Расчёт'!H141+'Расчёт'!I141*D20+0.000001&gt;='Расчёт'!G141,"OK","Падение"),"Исправить ввод")</x:f>
        <x:v>OK</x:v>
      </x:c>
      <x:c r="K20" s="24" t="str">
        <x:f>IF('Расчёт'!S141=1,IF(AND(E20&gt;0,H20="OK",I20="OK",J20="OK"),"Проходит","Не проходит"),"Исправить ввод")</x:f>
        <x:v>Проходит</x:v>
      </x:c>
      <x:c r="L20" s="1" t="str">
        <x:v>Штрафы — допущение; эффект — расчёт</x:v>
      </x:c>
    </x:row>
    <x:row r="21" ht="24" customHeight="1">
      <x:c r="A21" s="1" t="str">
        <x:v>H2</x:v>
      </x:c>
      <x:c r="B21" s="8" t="n">
        <x:v>0.5</x:v>
      </x:c>
      <x:c r="C21" s="8" t="n">
        <x:v>0.25</x:v>
      </x:c>
      <x:c r="D21" s="8">
        <x:f>(1-B21)*(1-C21)</x:f>
        <x:v>0.375</x:v>
      </x:c>
      <x:c r="E21" s="12">
        <x:f>IF('Расчёт'!S141=1,'Расчёт'!E141+'Расчёт'!F141*D21-'Расчёт'!B141,"Исправить ввод")</x:f>
        <x:v>48635.898186073638</x:v>
      </x:c>
      <x:c r="F21" s="16">
        <x:f>IF('Расчёт'!S141=1,E21/'Параметры'!$B$8*100,"Исправить ввод")</x:f>
        <x:v>0.11053613224107646</x:v>
      </x:c>
      <x:c r="G21" s="8">
        <x:f>IF('Расчёт'!S141=1,IF('Расчёт'!B141=0,"n.a.",E21/'Расчёт'!B141),"Исправить ввод")</x:f>
        <x:v>0.0073690754827384318</x:v>
      </x:c>
      <x:c r="H21" s="24" t="str">
        <x:f>IF('Расчёт'!S141=1,IF('Расчёт'!K141+'Расчёт'!L141*D21+0.00000001&gt;='Расчёт'!J141,"OK","Падение"),"Исправить ввод")</x:f>
        <x:v>OK</x:v>
      </x:c>
      <x:c r="I21" s="24" t="str">
        <x:f>IF('Расчёт'!S141=1,IF('Расчёт'!N141+'Расчёт'!O141*D21+0.00000001&gt;='Расчёт'!M141,"OK","Падение"),"Исправить ввод")</x:f>
        <x:v>OK</x:v>
      </x:c>
      <x:c r="J21" s="24" t="str">
        <x:f>IF('Расчёт'!S141=1,IF('Расчёт'!H141+'Расчёт'!I141*D21+0.000001&gt;='Расчёт'!G141,"OK","Падение"),"Исправить ввод")</x:f>
        <x:v>OK</x:v>
      </x:c>
      <x:c r="K21" s="24" t="str">
        <x:f>IF('Расчёт'!S141=1,IF(AND(E21&gt;0,H21="OK",I21="OK",J21="OK"),"Проходит","Не проходит"),"Исправить ввод")</x:f>
        <x:v>Проходит</x:v>
      </x:c>
      <x:c r="L21" s="1" t="str">
        <x:v>Штрафы — допущение; эффект — расчёт</x:v>
      </x:c>
    </x:row>
    <x:row r="22" ht="24" customHeight="1">
      <x:c r="A22" s="1" t="str">
        <x:v>H2</x:v>
      </x:c>
      <x:c r="B22" s="8" t="n">
        <x:v>0.5</x:v>
      </x:c>
      <x:c r="C22" s="8" t="n">
        <x:v>0.5</x:v>
      </x:c>
      <x:c r="D22" s="8">
        <x:f>(1-B22)*(1-C22)</x:f>
        <x:v>0.25</x:v>
      </x:c>
      <x:c r="E22" s="12">
        <x:f>IF('Расчёт'!S141=1,'Расчёт'!E141+'Расчёт'!F141*D22-'Расчёт'!B141,"Исправить ввод")</x:f>
        <x:v>32423.932124049403</x:v>
      </x:c>
      <x:c r="F22" s="16">
        <x:f>IF('Расчёт'!S141=1,E22/'Параметры'!$B$8*100,"Исправить ввод")</x:f>
        <x:v>0.073690754827385005</x:v>
      </x:c>
      <x:c r="G22" s="8">
        <x:f>IF('Расчёт'!S141=1,IF('Расчёт'!B141=0,"n.a.",E22/'Расчёт'!B141),"Исправить ввод")</x:f>
        <x:v>0.004912716988492335</x:v>
      </x:c>
      <x:c r="H22" s="24" t="str">
        <x:f>IF('Расчёт'!S141=1,IF('Расчёт'!K141+'Расчёт'!L141*D22+0.00000001&gt;='Расчёт'!J141,"OK","Падение"),"Исправить ввод")</x:f>
        <x:v>OK</x:v>
      </x:c>
      <x:c r="I22" s="24" t="str">
        <x:f>IF('Расчёт'!S141=1,IF('Расчёт'!N141+'Расчёт'!O141*D22+0.00000001&gt;='Расчёт'!M141,"OK","Падение"),"Исправить ввод")</x:f>
        <x:v>OK</x:v>
      </x:c>
      <x:c r="J22" s="24" t="str">
        <x:f>IF('Расчёт'!S141=1,IF('Расчёт'!H141+'Расчёт'!I141*D22+0.000001&gt;='Расчёт'!G141,"OK","Падение"),"Исправить ввод")</x:f>
        <x:v>OK</x:v>
      </x:c>
      <x:c r="K22" s="24" t="str">
        <x:f>IF('Расчёт'!S141=1,IF(AND(E22&gt;0,H22="OK",I22="OK",J22="OK"),"Проходит","Не проходит"),"Исправить ввод")</x:f>
        <x:v>Проходит</x:v>
      </x:c>
      <x:c r="L22" s="1" t="str">
        <x:v>Штрафы — допущение; эффект — расчёт</x:v>
      </x:c>
    </x:row>
    <x:row r="23" ht="24" customHeight="1">
      <x:c r="A23" s="1" t="str">
        <x:v>H3</x:v>
      </x:c>
      <x:c r="B23" s="8" t="n">
        <x:v>0</x:v>
      </x:c>
      <x:c r="C23" s="8" t="n">
        <x:v>0</x:v>
      </x:c>
      <x:c r="D23" s="8">
        <x:f>(1-B23)*(1-C23)</x:f>
        <x:v>1</x:v>
      </x:c>
      <x:c r="E23" s="12">
        <x:f>IF('Расчёт'!S142=1,'Расчёт'!E142+'Расчёт'!F142*D23-'Расчёт'!B142,"Исправить ввод")</x:f>
        <x:v>90420.514921006747</x:v>
      </x:c>
      <x:c r="F23" s="16">
        <x:f>IF('Расчёт'!S142=1,E23/'Параметры'!$B$8*100,"Исправить ввод")</x:f>
        <x:v>0.20550117027501535</x:v>
      </x:c>
      <x:c r="G23" s="8">
        <x:f>IF('Расчёт'!S142=1,IF('Расчёт'!B142=0,"n.a.",E23/'Расчёт'!B142),"Исправить ввод")</x:f>
        <x:v>0.013700078018334359</x:v>
      </x:c>
      <x:c r="H23" s="24" t="str">
        <x:f>IF('Расчёт'!S142=1,IF('Расчёт'!K142+'Расчёт'!L142*D23+0.00000001&gt;='Расчёт'!J142,"OK","Падение"),"Исправить ввод")</x:f>
        <x:v>OK</x:v>
      </x:c>
      <x:c r="I23" s="24" t="str">
        <x:f>IF('Расчёт'!S142=1,IF('Расчёт'!N142+'Расчёт'!O142*D23+0.00000001&gt;='Расчёт'!M142,"OK","Падение"),"Исправить ввод")</x:f>
        <x:v>OK</x:v>
      </x:c>
      <x:c r="J23" s="24" t="str">
        <x:f>IF('Расчёт'!S142=1,IF('Расчёт'!H142+'Расчёт'!I142*D23+0.000001&gt;='Расчёт'!G142,"OK","Падение"),"Исправить ввод")</x:f>
        <x:v>OK</x:v>
      </x:c>
      <x:c r="K23" s="24" t="str">
        <x:f>IF('Расчёт'!S142=1,IF(AND(E23&gt;0,H23="OK",I23="OK",J23="OK"),"Проходит","Не проходит"),"Исправить ввод")</x:f>
        <x:v>Проходит</x:v>
      </x:c>
      <x:c r="L23" s="1" t="str">
        <x:v>Штрафы — допущение; эффект — расчёт</x:v>
      </x:c>
    </x:row>
    <x:row r="24" ht="24" customHeight="1">
      <x:c r="A24" s="1" t="str">
        <x:v>H3</x:v>
      </x:c>
      <x:c r="B24" s="8" t="n">
        <x:v>0</x:v>
      </x:c>
      <x:c r="C24" s="8" t="n">
        <x:v>0.25</x:v>
      </x:c>
      <x:c r="D24" s="8">
        <x:f>(1-B24)*(1-C24)</x:f>
        <x:v>0.75</x:v>
      </x:c>
      <x:c r="E24" s="12">
        <x:f>IF('Расчёт'!S142=1,'Расчёт'!E142+'Расчёт'!F142*D24-'Расчёт'!B142,"Исправить ввод")</x:f>
        <x:v>67815.386190755293</x:v>
      </x:c>
      <x:c r="F24" s="16">
        <x:f>IF('Расчёт'!S142=1,E24/'Параметры'!$B$8*100,"Исправить ввод")</x:f>
        <x:v>0.15412587770626202</x:v>
      </x:c>
      <x:c r="G24" s="8">
        <x:f>IF('Расчёт'!S142=1,IF('Расчёт'!B142=0,"n.a.",E24/'Расчёт'!B142),"Исправить ввод")</x:f>
        <x:v>0.010275058513750804</x:v>
      </x:c>
      <x:c r="H24" s="24" t="str">
        <x:f>IF('Расчёт'!S142=1,IF('Расчёт'!K142+'Расчёт'!L142*D24+0.00000001&gt;='Расчёт'!J142,"OK","Падение"),"Исправить ввод")</x:f>
        <x:v>OK</x:v>
      </x:c>
      <x:c r="I24" s="24" t="str">
        <x:f>IF('Расчёт'!S142=1,IF('Расчёт'!N142+'Расчёт'!O142*D24+0.00000001&gt;='Расчёт'!M142,"OK","Падение"),"Исправить ввод")</x:f>
        <x:v>OK</x:v>
      </x:c>
      <x:c r="J24" s="24" t="str">
        <x:f>IF('Расчёт'!S142=1,IF('Расчёт'!H142+'Расчёт'!I142*D24+0.000001&gt;='Расчёт'!G142,"OK","Падение"),"Исправить ввод")</x:f>
        <x:v>OK</x:v>
      </x:c>
      <x:c r="K24" s="24" t="str">
        <x:f>IF('Расчёт'!S142=1,IF(AND(E24&gt;0,H24="OK",I24="OK",J24="OK"),"Проходит","Не проходит"),"Исправить ввод")</x:f>
        <x:v>Проходит</x:v>
      </x:c>
      <x:c r="L24" s="1" t="str">
        <x:v>Штрафы — допущение; эффект — расчёт</x:v>
      </x:c>
    </x:row>
    <x:row r="25" ht="24" customHeight="1">
      <x:c r="A25" s="1" t="str">
        <x:v>H3</x:v>
      </x:c>
      <x:c r="B25" s="8" t="n">
        <x:v>0</x:v>
      </x:c>
      <x:c r="C25" s="8" t="n">
        <x:v>0.5</x:v>
      </x:c>
      <x:c r="D25" s="8">
        <x:f>(1-B25)*(1-C25)</x:f>
        <x:v>0.5</x:v>
      </x:c>
      <x:c r="E25" s="12">
        <x:f>IF('Расчёт'!S142=1,'Расчёт'!E142+'Расчёт'!F142*D25-'Расчёт'!B142,"Исправить ввод")</x:f>
        <x:v>45210.257460502908</x:v>
      </x:c>
      <x:c r="F25" s="16">
        <x:f>IF('Расчёт'!S142=1,E25/'Параметры'!$B$8*100,"Исправить ввод")</x:f>
        <x:v>0.10275058513750661</x:v>
      </x:c>
      <x:c r="G25" s="8">
        <x:f>IF('Расчёт'!S142=1,IF('Расчёт'!B142=0,"n.a.",E25/'Расчёт'!B142),"Исправить ввод")</x:f>
        <x:v>0.0068500390091671094</x:v>
      </x:c>
      <x:c r="H25" s="24" t="str">
        <x:f>IF('Расчёт'!S142=1,IF('Расчёт'!K142+'Расчёт'!L142*D25+0.00000001&gt;='Расчёт'!J142,"OK","Падение"),"Исправить ввод")</x:f>
        <x:v>OK</x:v>
      </x:c>
      <x:c r="I25" s="24" t="str">
        <x:f>IF('Расчёт'!S142=1,IF('Расчёт'!N142+'Расчёт'!O142*D25+0.00000001&gt;='Расчёт'!M142,"OK","Падение"),"Исправить ввод")</x:f>
        <x:v>OK</x:v>
      </x:c>
      <x:c r="J25" s="24" t="str">
        <x:f>IF('Расчёт'!S142=1,IF('Расчёт'!H142+'Расчёт'!I142*D25+0.000001&gt;='Расчёт'!G142,"OK","Падение"),"Исправить ввод")</x:f>
        <x:v>OK</x:v>
      </x:c>
      <x:c r="K25" s="24" t="str">
        <x:f>IF('Расчёт'!S142=1,IF(AND(E25&gt;0,H25="OK",I25="OK",J25="OK"),"Проходит","Не проходит"),"Исправить ввод")</x:f>
        <x:v>Проходит</x:v>
      </x:c>
      <x:c r="L25" s="1" t="str">
        <x:v>Штрафы — допущение; эффект — расчёт</x:v>
      </x:c>
    </x:row>
    <x:row r="26" ht="24" customHeight="1">
      <x:c r="A26" s="1" t="str">
        <x:v>H3</x:v>
      </x:c>
      <x:c r="B26" s="8" t="n">
        <x:v>0.25</x:v>
      </x:c>
      <x:c r="C26" s="8" t="n">
        <x:v>0</x:v>
      </x:c>
      <x:c r="D26" s="8">
        <x:f>(1-B26)*(1-C26)</x:f>
        <x:v>0.75</x:v>
      </x:c>
      <x:c r="E26" s="12">
        <x:f>IF('Расчёт'!S142=1,'Расчёт'!E142+'Расчёт'!F142*D26-'Расчёт'!B142,"Исправить ввод")</x:f>
        <x:v>67815.386190755293</x:v>
      </x:c>
      <x:c r="F26" s="16">
        <x:f>IF('Расчёт'!S142=1,E26/'Параметры'!$B$8*100,"Исправить ввод")</x:f>
        <x:v>0.15412587770626202</x:v>
      </x:c>
      <x:c r="G26" s="8">
        <x:f>IF('Расчёт'!S142=1,IF('Расчёт'!B142=0,"n.a.",E26/'Расчёт'!B142),"Исправить ввод")</x:f>
        <x:v>0.010275058513750804</x:v>
      </x:c>
      <x:c r="H26" s="24" t="str">
        <x:f>IF('Расчёт'!S142=1,IF('Расчёт'!K142+'Расчёт'!L142*D26+0.00000001&gt;='Расчёт'!J142,"OK","Падение"),"Исправить ввод")</x:f>
        <x:v>OK</x:v>
      </x:c>
      <x:c r="I26" s="24" t="str">
        <x:f>IF('Расчёт'!S142=1,IF('Расчёт'!N142+'Расчёт'!O142*D26+0.00000001&gt;='Расчёт'!M142,"OK","Падение"),"Исправить ввод")</x:f>
        <x:v>OK</x:v>
      </x:c>
      <x:c r="J26" s="24" t="str">
        <x:f>IF('Расчёт'!S142=1,IF('Расчёт'!H142+'Расчёт'!I142*D26+0.000001&gt;='Расчёт'!G142,"OK","Падение"),"Исправить ввод")</x:f>
        <x:v>OK</x:v>
      </x:c>
      <x:c r="K26" s="24" t="str">
        <x:f>IF('Расчёт'!S142=1,IF(AND(E26&gt;0,H26="OK",I26="OK",J26="OK"),"Проходит","Не проходит"),"Исправить ввод")</x:f>
        <x:v>Проходит</x:v>
      </x:c>
      <x:c r="L26" s="1" t="str">
        <x:v>Штрафы — допущение; эффект — расчёт</x:v>
      </x:c>
    </x:row>
    <x:row r="27" ht="24" customHeight="1">
      <x:c r="A27" s="1" t="str">
        <x:v>H3</x:v>
      </x:c>
      <x:c r="B27" s="8" t="n">
        <x:v>0.25</x:v>
      </x:c>
      <x:c r="C27" s="8" t="n">
        <x:v>0.25</x:v>
      </x:c>
      <x:c r="D27" s="8">
        <x:f>(1-B27)*(1-C27)</x:f>
        <x:v>0.5625</x:v>
      </x:c>
      <x:c r="E27" s="12">
        <x:f>IF('Расчёт'!S142=1,'Расчёт'!E142+'Расчёт'!F142*D27-'Расчёт'!B142,"Исправить ввод")</x:f>
        <x:v>50861.539643066004</x:v>
      </x:c>
      <x:c r="F27" s="16">
        <x:f>IF('Расчёт'!S142=1,E27/'Параметры'!$B$8*100,"Исправить ввод")</x:f>
        <x:v>0.11559440827969547</x:v>
      </x:c>
      <x:c r="G27" s="8">
        <x:f>IF('Расчёт'!S142=1,IF('Расчёт'!B142=0,"n.a.",E27/'Расчёт'!B142),"Исправить ввод")</x:f>
        <x:v>0.0077062938853130333</x:v>
      </x:c>
      <x:c r="H27" s="24" t="str">
        <x:f>IF('Расчёт'!S142=1,IF('Расчёт'!K142+'Расчёт'!L142*D27+0.00000001&gt;='Расчёт'!J142,"OK","Падение"),"Исправить ввод")</x:f>
        <x:v>OK</x:v>
      </x:c>
      <x:c r="I27" s="24" t="str">
        <x:f>IF('Расчёт'!S142=1,IF('Расчёт'!N142+'Расчёт'!O142*D27+0.00000001&gt;='Расчёт'!M142,"OK","Падение"),"Исправить ввод")</x:f>
        <x:v>OK</x:v>
      </x:c>
      <x:c r="J27" s="24" t="str">
        <x:f>IF('Расчёт'!S142=1,IF('Расчёт'!H142+'Расчёт'!I142*D27+0.000001&gt;='Расчёт'!G142,"OK","Падение"),"Исправить ввод")</x:f>
        <x:v>OK</x:v>
      </x:c>
      <x:c r="K27" s="24" t="str">
        <x:f>IF('Расчёт'!S142=1,IF(AND(E27&gt;0,H27="OK",I27="OK",J27="OK"),"Проходит","Не проходит"),"Исправить ввод")</x:f>
        <x:v>Проходит</x:v>
      </x:c>
      <x:c r="L27" s="1" t="str">
        <x:v>Штрафы — допущение; эффект — расчёт</x:v>
      </x:c>
    </x:row>
    <x:row r="28" ht="24" customHeight="1">
      <x:c r="A28" s="1" t="str">
        <x:v>H3</x:v>
      </x:c>
      <x:c r="B28" s="8" t="n">
        <x:v>0.25</x:v>
      </x:c>
      <x:c r="C28" s="8" t="n">
        <x:v>0.5</x:v>
      </x:c>
      <x:c r="D28" s="8">
        <x:f>(1-B28)*(1-C28)</x:f>
        <x:v>0.375</x:v>
      </x:c>
      <x:c r="E28" s="12">
        <x:f>IF('Расчёт'!S142=1,'Расчёт'!E142+'Расчёт'!F142*D28-'Расчёт'!B142,"Исправить ввод")</x:f>
        <x:v>33907.693095377646</x:v>
      </x:c>
      <x:c r="F28" s="16">
        <x:f>IF('Расчёт'!S142=1,E28/'Параметры'!$B$8*100,"Исправить ввод")</x:f>
        <x:v>0.077062938853131008</x:v>
      </x:c>
      <x:c r="G28" s="8">
        <x:f>IF('Расчёт'!S142=1,IF('Расчёт'!B142=0,"n.a.",E28/'Расчёт'!B142),"Исправить ввод")</x:f>
        <x:v>0.0051375292568754021</x:v>
      </x:c>
      <x:c r="H28" s="24" t="str">
        <x:f>IF('Расчёт'!S142=1,IF('Расчёт'!K142+'Расчёт'!L142*D28+0.00000001&gt;='Расчёт'!J142,"OK","Падение"),"Исправить ввод")</x:f>
        <x:v>OK</x:v>
      </x:c>
      <x:c r="I28" s="24" t="str">
        <x:f>IF('Расчёт'!S142=1,IF('Расчёт'!N142+'Расчёт'!O142*D28+0.00000001&gt;='Расчёт'!M142,"OK","Падение"),"Исправить ввод")</x:f>
        <x:v>OK</x:v>
      </x:c>
      <x:c r="J28" s="24" t="str">
        <x:f>IF('Расчёт'!S142=1,IF('Расчёт'!H142+'Расчёт'!I142*D28+0.000001&gt;='Расчёт'!G142,"OK","Падение"),"Исправить ввод")</x:f>
        <x:v>OK</x:v>
      </x:c>
      <x:c r="K28" s="24" t="str">
        <x:f>IF('Расчёт'!S142=1,IF(AND(E28&gt;0,H28="OK",I28="OK",J28="OK"),"Проходит","Не проходит"),"Исправить ввод")</x:f>
        <x:v>Проходит</x:v>
      </x:c>
      <x:c r="L28" s="1" t="str">
        <x:v>Штрафы — допущение; эффект — расчёт</x:v>
      </x:c>
    </x:row>
    <x:row r="29" ht="24" customHeight="1">
      <x:c r="A29" s="1" t="str">
        <x:v>H3</x:v>
      </x:c>
      <x:c r="B29" s="8" t="n">
        <x:v>0.5</x:v>
      </x:c>
      <x:c r="C29" s="8" t="n">
        <x:v>0</x:v>
      </x:c>
      <x:c r="D29" s="8">
        <x:f>(1-B29)*(1-C29)</x:f>
        <x:v>0.5</x:v>
      </x:c>
      <x:c r="E29" s="12">
        <x:f>IF('Расчёт'!S142=1,'Расчёт'!E142+'Расчёт'!F142*D29-'Расчёт'!B142,"Исправить ввод")</x:f>
        <x:v>45210.257460502908</x:v>
      </x:c>
      <x:c r="F29" s="16">
        <x:f>IF('Расчёт'!S142=1,E29/'Параметры'!$B$8*100,"Исправить ввод")</x:f>
        <x:v>0.10275058513750661</x:v>
      </x:c>
      <x:c r="G29" s="8">
        <x:f>IF('Расчёт'!S142=1,IF('Расчёт'!B142=0,"n.a.",E29/'Расчёт'!B142),"Исправить ввод")</x:f>
        <x:v>0.0068500390091671094</x:v>
      </x:c>
      <x:c r="H29" s="24" t="str">
        <x:f>IF('Расчёт'!S142=1,IF('Расчёт'!K142+'Расчёт'!L142*D29+0.00000001&gt;='Расчёт'!J142,"OK","Падение"),"Исправить ввод")</x:f>
        <x:v>OK</x:v>
      </x:c>
      <x:c r="I29" s="24" t="str">
        <x:f>IF('Расчёт'!S142=1,IF('Расчёт'!N142+'Расчёт'!O142*D29+0.00000001&gt;='Расчёт'!M142,"OK","Падение"),"Исправить ввод")</x:f>
        <x:v>OK</x:v>
      </x:c>
      <x:c r="J29" s="24" t="str">
        <x:f>IF('Расчёт'!S142=1,IF('Расчёт'!H142+'Расчёт'!I142*D29+0.000001&gt;='Расчёт'!G142,"OK","Падение"),"Исправить ввод")</x:f>
        <x:v>OK</x:v>
      </x:c>
      <x:c r="K29" s="24" t="str">
        <x:f>IF('Расчёт'!S142=1,IF(AND(E29&gt;0,H29="OK",I29="OK",J29="OK"),"Проходит","Не проходит"),"Исправить ввод")</x:f>
        <x:v>Проходит</x:v>
      </x:c>
      <x:c r="L29" s="1" t="str">
        <x:v>Штрафы — допущение; эффект — расчёт</x:v>
      </x:c>
    </x:row>
    <x:row r="30" ht="24" customHeight="1">
      <x:c r="A30" s="1" t="str">
        <x:v>H3</x:v>
      </x:c>
      <x:c r="B30" s="8" t="n">
        <x:v>0.5</x:v>
      </x:c>
      <x:c r="C30" s="8" t="n">
        <x:v>0.25</x:v>
      </x:c>
      <x:c r="D30" s="8">
        <x:f>(1-B30)*(1-C30)</x:f>
        <x:v>0.375</x:v>
      </x:c>
      <x:c r="E30" s="12">
        <x:f>IF('Расчёт'!S142=1,'Расчёт'!E142+'Расчёт'!F142*D30-'Расчёт'!B142,"Исправить ввод")</x:f>
        <x:v>33907.693095377646</x:v>
      </x:c>
      <x:c r="F30" s="16">
        <x:f>IF('Расчёт'!S142=1,E30/'Параметры'!$B$8*100,"Исправить ввод")</x:f>
        <x:v>0.077062938853131008</x:v>
      </x:c>
      <x:c r="G30" s="8">
        <x:f>IF('Расчёт'!S142=1,IF('Расчёт'!B142=0,"n.a.",E30/'Расчёт'!B142),"Исправить ввод")</x:f>
        <x:v>0.0051375292568754021</x:v>
      </x:c>
      <x:c r="H30" s="24" t="str">
        <x:f>IF('Расчёт'!S142=1,IF('Расчёт'!K142+'Расчёт'!L142*D30+0.00000001&gt;='Расчёт'!J142,"OK","Падение"),"Исправить ввод")</x:f>
        <x:v>OK</x:v>
      </x:c>
      <x:c r="I30" s="24" t="str">
        <x:f>IF('Расчёт'!S142=1,IF('Расчёт'!N142+'Расчёт'!O142*D30+0.00000001&gt;='Расчёт'!M142,"OK","Падение"),"Исправить ввод")</x:f>
        <x:v>OK</x:v>
      </x:c>
      <x:c r="J30" s="24" t="str">
        <x:f>IF('Расчёт'!S142=1,IF('Расчёт'!H142+'Расчёт'!I142*D30+0.000001&gt;='Расчёт'!G142,"OK","Падение"),"Исправить ввод")</x:f>
        <x:v>OK</x:v>
      </x:c>
      <x:c r="K30" s="24" t="str">
        <x:f>IF('Расчёт'!S142=1,IF(AND(E30&gt;0,H30="OK",I30="OK",J30="OK"),"Проходит","Не проходит"),"Исправить ввод")</x:f>
        <x:v>Проходит</x:v>
      </x:c>
      <x:c r="L30" s="1" t="str">
        <x:v>Штрафы — допущение; эффект — расчёт</x:v>
      </x:c>
    </x:row>
    <x:row r="31" ht="24" customHeight="1">
      <x:c r="A31" s="1" t="str">
        <x:v>H3</x:v>
      </x:c>
      <x:c r="B31" s="8" t="n">
        <x:v>0.5</x:v>
      </x:c>
      <x:c r="C31" s="8" t="n">
        <x:v>0.5</x:v>
      </x:c>
      <x:c r="D31" s="8">
        <x:f>(1-B31)*(1-C31)</x:f>
        <x:v>0.25</x:v>
      </x:c>
      <x:c r="E31" s="12">
        <x:f>IF('Расчёт'!S142=1,'Расчёт'!E142+'Расчёт'!F142*D31-'Расчёт'!B142,"Исправить ввод")</x:f>
        <x:v>22605.128730251454</x:v>
      </x:c>
      <x:c r="F31" s="16">
        <x:f>IF('Расчёт'!S142=1,E31/'Параметры'!$B$8*100,"Исправить ввод")</x:f>
        <x:v>0.051375292568753304</x:v>
      </x:c>
      <x:c r="G31" s="8">
        <x:f>IF('Расчёт'!S142=1,IF('Расчёт'!B142=0,"n.a.",E31/'Расчёт'!B142),"Исправить ввод")</x:f>
        <x:v>0.0034250195045835547</x:v>
      </x:c>
      <x:c r="H31" s="24" t="str">
        <x:f>IF('Расчёт'!S142=1,IF('Расчёт'!K142+'Расчёт'!L142*D31+0.00000001&gt;='Расчёт'!J142,"OK","Падение"),"Исправить ввод")</x:f>
        <x:v>OK</x:v>
      </x:c>
      <x:c r="I31" s="24" t="str">
        <x:f>IF('Расчёт'!S142=1,IF('Расчёт'!N142+'Расчёт'!O142*D31+0.00000001&gt;='Расчёт'!M142,"OK","Падение"),"Исправить ввод")</x:f>
        <x:v>OK</x:v>
      </x:c>
      <x:c r="J31" s="24" t="str">
        <x:f>IF('Расчёт'!S142=1,IF('Расчёт'!H142+'Расчёт'!I142*D31+0.000001&gt;='Расчёт'!G142,"OK","Падение"),"Исправить ввод")</x:f>
        <x:v>OK</x:v>
      </x:c>
      <x:c r="K31" s="24" t="str">
        <x:f>IF('Расчёт'!S142=1,IF(AND(E31&gt;0,H31="OK",I31="OK",J31="OK"),"Проходит","Не проходит"),"Исправить ввод")</x:f>
        <x:v>Проходит</x:v>
      </x:c>
      <x:c r="L31" s="1" t="str">
        <x:v>Штрафы — допущение; эффект — расчёт</x:v>
      </x:c>
    </x:row>
    <x:row r="32" ht="24" customHeight="1">
      <x:c r="A32" s="1" t="str">
        <x:v>H4</x:v>
      </x:c>
      <x:c r="B32" s="8" t="n">
        <x:v>0</x:v>
      </x:c>
      <x:c r="C32" s="8" t="n">
        <x:v>0</x:v>
      </x:c>
      <x:c r="D32" s="8">
        <x:f>(1-B32)*(1-C32)</x:f>
        <x:v>1</x:v>
      </x:c>
      <x:c r="E32" s="12">
        <x:f>IF('Расчёт'!S143=1,'Расчёт'!E143+'Расчёт'!F143*D32-'Расчёт'!B143,"Исправить ввод")</x:f>
        <x:v>137741.54944411945</x:v>
      </x:c>
      <x:c r="F32" s="16">
        <x:f>IF('Расчёт'!S143=1,E32/'Параметры'!$B$8*100,"Исправить ввод")</x:f>
        <x:v>0.31304897600936238</x:v>
      </x:c>
      <x:c r="G32" s="8">
        <x:f>IF('Расчёт'!S143=1,IF('Расчёт'!B143=0,"n.a.",E32/'Расчёт'!B143),"Исправить ввод")</x:f>
        <x:v>0.020869931733957497</x:v>
      </x:c>
      <x:c r="H32" s="24" t="str">
        <x:f>IF('Расчёт'!S143=1,IF('Расчёт'!K143+'Расчёт'!L143*D32+0.00000001&gt;='Расчёт'!J143,"OK","Падение"),"Исправить ввод")</x:f>
        <x:v>OK</x:v>
      </x:c>
      <x:c r="I32" s="24" t="str">
        <x:f>IF('Расчёт'!S143=1,IF('Расчёт'!N143+'Расчёт'!O143*D32+0.00000001&gt;='Расчёт'!M143,"OK","Падение"),"Исправить ввод")</x:f>
        <x:v>OK</x:v>
      </x:c>
      <x:c r="J32" s="24" t="str">
        <x:f>IF('Расчёт'!S143=1,IF('Расчёт'!H143+'Расчёт'!I143*D32+0.000001&gt;='Расчёт'!G143,"OK","Падение"),"Исправить ввод")</x:f>
        <x:v>OK</x:v>
      </x:c>
      <x:c r="K32" s="24" t="str">
        <x:f>IF('Расчёт'!S143=1,IF(AND(E32&gt;0,H32="OK",I32="OK",J32="OK"),"Проходит","Не проходит"),"Исправить ввод")</x:f>
        <x:v>Проходит</x:v>
      </x:c>
      <x:c r="L32" s="1" t="str">
        <x:v>Штрафы — допущение; эффект — расчёт</x:v>
      </x:c>
    </x:row>
    <x:row r="33" ht="24" customHeight="1">
      <x:c r="A33" s="1" t="str">
        <x:v>H4</x:v>
      </x:c>
      <x:c r="B33" s="8" t="n">
        <x:v>0</x:v>
      </x:c>
      <x:c r="C33" s="8" t="n">
        <x:v>0.25</x:v>
      </x:c>
      <x:c r="D33" s="8">
        <x:f>(1-B33)*(1-C33)</x:f>
        <x:v>0.75</x:v>
      </x:c>
      <x:c r="E33" s="12">
        <x:f>IF('Расчёт'!S143=1,'Расчёт'!E143+'Расчёт'!F143*D33-'Расчёт'!B143,"Исправить ввод")</x:f>
        <x:v>103306.16208308935</x:v>
      </x:c>
      <x:c r="F33" s="16">
        <x:f>IF('Расчёт'!S143=1,E33/'Параметры'!$B$8*100,"Исправить ввод")</x:f>
        <x:v>0.23478673200702124</x:v>
      </x:c>
      <x:c r="G33" s="8">
        <x:f>IF('Расчёт'!S143=1,IF('Расчёт'!B143=0,"n.a.",E33/'Расчёт'!B143),"Исправить ввод")</x:f>
        <x:v>0.015652448800468087</x:v>
      </x:c>
      <x:c r="H33" s="24" t="str">
        <x:f>IF('Расчёт'!S143=1,IF('Расчёт'!K143+'Расчёт'!L143*D33+0.00000001&gt;='Расчёт'!J143,"OK","Падение"),"Исправить ввод")</x:f>
        <x:v>OK</x:v>
      </x:c>
      <x:c r="I33" s="24" t="str">
        <x:f>IF('Расчёт'!S143=1,IF('Расчёт'!N143+'Расчёт'!O143*D33+0.00000001&gt;='Расчёт'!M143,"OK","Падение"),"Исправить ввод")</x:f>
        <x:v>OK</x:v>
      </x:c>
      <x:c r="J33" s="24" t="str">
        <x:f>IF('Расчёт'!S143=1,IF('Расчёт'!H143+'Расчёт'!I143*D33+0.000001&gt;='Расчёт'!G143,"OK","Падение"),"Исправить ввод")</x:f>
        <x:v>OK</x:v>
      </x:c>
      <x:c r="K33" s="24" t="str">
        <x:f>IF('Расчёт'!S143=1,IF(AND(E33&gt;0,H33="OK",I33="OK",J33="OK"),"Проходит","Не проходит"),"Исправить ввод")</x:f>
        <x:v>Проходит</x:v>
      </x:c>
      <x:c r="L33" s="1" t="str">
        <x:v>Штрафы — допущение; эффект — расчёт</x:v>
      </x:c>
    </x:row>
    <x:row r="34" ht="24" customHeight="1">
      <x:c r="A34" s="1" t="str">
        <x:v>H4</x:v>
      </x:c>
      <x:c r="B34" s="8" t="n">
        <x:v>0</x:v>
      </x:c>
      <x:c r="C34" s="8" t="n">
        <x:v>0.5</x:v>
      </x:c>
      <x:c r="D34" s="8">
        <x:f>(1-B34)*(1-C34)</x:f>
        <x:v>0.5</x:v>
      </x:c>
      <x:c r="E34" s="12">
        <x:f>IF('Расчёт'!S143=1,'Расчёт'!E143+'Расчёт'!F143*D34-'Расчёт'!B143,"Исправить ввод")</x:f>
        <x:v>68870.774722059257</x:v>
      </x:c>
      <x:c r="F34" s="16">
        <x:f>IF('Расчёт'!S143=1,E34/'Параметры'!$B$8*100,"Исправить ввод")</x:f>
        <x:v>0.15652448800468011</x:v>
      </x:c>
      <x:c r="G34" s="8">
        <x:f>IF('Расчёт'!S143=1,IF('Расчёт'!B143=0,"n.a.",E34/'Расчёт'!B143),"Исправить ввод")</x:f>
        <x:v>0.010434965866978679</x:v>
      </x:c>
      <x:c r="H34" s="24" t="str">
        <x:f>IF('Расчёт'!S143=1,IF('Расчёт'!K143+'Расчёт'!L143*D34+0.00000001&gt;='Расчёт'!J143,"OK","Падение"),"Исправить ввод")</x:f>
        <x:v>OK</x:v>
      </x:c>
      <x:c r="I34" s="24" t="str">
        <x:f>IF('Расчёт'!S143=1,IF('Расчёт'!N143+'Расчёт'!O143*D34+0.00000001&gt;='Расчёт'!M143,"OK","Падение"),"Исправить ввод")</x:f>
        <x:v>OK</x:v>
      </x:c>
      <x:c r="J34" s="24" t="str">
        <x:f>IF('Расчёт'!S143=1,IF('Расчёт'!H143+'Расчёт'!I143*D34+0.000001&gt;='Расчёт'!G143,"OK","Падение"),"Исправить ввод")</x:f>
        <x:v>OK</x:v>
      </x:c>
      <x:c r="K34" s="24" t="str">
        <x:f>IF('Расчёт'!S143=1,IF(AND(E34&gt;0,H34="OK",I34="OK",J34="OK"),"Проходит","Не проходит"),"Исправить ввод")</x:f>
        <x:v>Проходит</x:v>
      </x:c>
      <x:c r="L34" s="1" t="str">
        <x:v>Штрафы — допущение; эффект — расчёт</x:v>
      </x:c>
    </x:row>
    <x:row r="35" ht="24" customHeight="1">
      <x:c r="A35" s="1" t="str">
        <x:v>H4</x:v>
      </x:c>
      <x:c r="B35" s="8" t="n">
        <x:v>0.25</x:v>
      </x:c>
      <x:c r="C35" s="8" t="n">
        <x:v>0</x:v>
      </x:c>
      <x:c r="D35" s="8">
        <x:f>(1-B35)*(1-C35)</x:f>
        <x:v>0.75</x:v>
      </x:c>
      <x:c r="E35" s="12">
        <x:f>IF('Расчёт'!S143=1,'Расчёт'!E143+'Расчёт'!F143*D35-'Расчёт'!B143,"Исправить ввод")</x:f>
        <x:v>103306.16208308935</x:v>
      </x:c>
      <x:c r="F35" s="16">
        <x:f>IF('Расчёт'!S143=1,E35/'Параметры'!$B$8*100,"Исправить ввод")</x:f>
        <x:v>0.23478673200702124</x:v>
      </x:c>
      <x:c r="G35" s="8">
        <x:f>IF('Расчёт'!S143=1,IF('Расчёт'!B143=0,"n.a.",E35/'Расчёт'!B143),"Исправить ввод")</x:f>
        <x:v>0.015652448800468087</x:v>
      </x:c>
      <x:c r="H35" s="24" t="str">
        <x:f>IF('Расчёт'!S143=1,IF('Расчёт'!K143+'Расчёт'!L143*D35+0.00000001&gt;='Расчёт'!J143,"OK","Падение"),"Исправить ввод")</x:f>
        <x:v>OK</x:v>
      </x:c>
      <x:c r="I35" s="24" t="str">
        <x:f>IF('Расчёт'!S143=1,IF('Расчёт'!N143+'Расчёт'!O143*D35+0.00000001&gt;='Расчёт'!M143,"OK","Падение"),"Исправить ввод")</x:f>
        <x:v>OK</x:v>
      </x:c>
      <x:c r="J35" s="24" t="str">
        <x:f>IF('Расчёт'!S143=1,IF('Расчёт'!H143+'Расчёт'!I143*D35+0.000001&gt;='Расчёт'!G143,"OK","Падение"),"Исправить ввод")</x:f>
        <x:v>OK</x:v>
      </x:c>
      <x:c r="K35" s="24" t="str">
        <x:f>IF('Расчёт'!S143=1,IF(AND(E35&gt;0,H35="OK",I35="OK",J35="OK"),"Проходит","Не проходит"),"Исправить ввод")</x:f>
        <x:v>Проходит</x:v>
      </x:c>
      <x:c r="L35" s="1" t="str">
        <x:v>Штрафы — допущение; эффект — расчёт</x:v>
      </x:c>
    </x:row>
    <x:row r="36" ht="24" customHeight="1">
      <x:c r="A36" s="1" t="str">
        <x:v>H4</x:v>
      </x:c>
      <x:c r="B36" s="8" t="n">
        <x:v>0.25</x:v>
      </x:c>
      <x:c r="C36" s="8" t="n">
        <x:v>0.25</x:v>
      </x:c>
      <x:c r="D36" s="8">
        <x:f>(1-B36)*(1-C36)</x:f>
        <x:v>0.5625</x:v>
      </x:c>
      <x:c r="E36" s="12">
        <x:f>IF('Расчёт'!S143=1,'Расчёт'!E143+'Расчёт'!F143*D36-'Расчёт'!B143,"Исправить ввод")</x:f>
        <x:v>77479.621562317014</x:v>
      </x:c>
      <x:c r="F36" s="16">
        <x:f>IF('Расчёт'!S143=1,E36/'Параметры'!$B$8*100,"Исправить ввод")</x:f>
        <x:v>0.17609004900526595</x:v>
      </x:c>
      <x:c r="G36" s="8">
        <x:f>IF('Расчёт'!S143=1,IF('Расчёт'!B143=0,"n.a.",E36/'Расчёт'!B143),"Исправить ввод")</x:f>
        <x:v>0.011739336600351065</x:v>
      </x:c>
      <x:c r="H36" s="24" t="str">
        <x:f>IF('Расчёт'!S143=1,IF('Расчёт'!K143+'Расчёт'!L143*D36+0.00000001&gt;='Расчёт'!J143,"OK","Падение"),"Исправить ввод")</x:f>
        <x:v>OK</x:v>
      </x:c>
      <x:c r="I36" s="24" t="str">
        <x:f>IF('Расчёт'!S143=1,IF('Расчёт'!N143+'Расчёт'!O143*D36+0.00000001&gt;='Расчёт'!M143,"OK","Падение"),"Исправить ввод")</x:f>
        <x:v>OK</x:v>
      </x:c>
      <x:c r="J36" s="24" t="str">
        <x:f>IF('Расчёт'!S143=1,IF('Расчёт'!H143+'Расчёт'!I143*D36+0.000001&gt;='Расчёт'!G143,"OK","Падение"),"Исправить ввод")</x:f>
        <x:v>OK</x:v>
      </x:c>
      <x:c r="K36" s="24" t="str">
        <x:f>IF('Расчёт'!S143=1,IF(AND(E36&gt;0,H36="OK",I36="OK",J36="OK"),"Проходит","Не проходит"),"Исправить ввод")</x:f>
        <x:v>Проходит</x:v>
      </x:c>
      <x:c r="L36" s="1" t="str">
        <x:v>Штрафы — допущение; эффект — расчёт</x:v>
      </x:c>
    </x:row>
    <x:row r="37" ht="24" customHeight="1">
      <x:c r="A37" s="1" t="str">
        <x:v>H4</x:v>
      </x:c>
      <x:c r="B37" s="8" t="n">
        <x:v>0.25</x:v>
      </x:c>
      <x:c r="C37" s="8" t="n">
        <x:v>0.5</x:v>
      </x:c>
      <x:c r="D37" s="8">
        <x:f>(1-B37)*(1-C37)</x:f>
        <x:v>0.375</x:v>
      </x:c>
      <x:c r="E37" s="12">
        <x:f>IF('Расчёт'!S143=1,'Расчёт'!E143+'Расчёт'!F143*D37-'Расчёт'!B143,"Исправить ввод")</x:f>
        <x:v>51653.081041544676</x:v>
      </x:c>
      <x:c r="F37" s="16">
        <x:f>IF('Расчёт'!S143=1,E37/'Параметры'!$B$8*100,"Исправить ввод")</x:f>
        <x:v>0.11739336600351062</x:v>
      </x:c>
      <x:c r="G37" s="8">
        <x:f>IF('Расчёт'!S143=1,IF('Расчёт'!B143=0,"n.a.",E37/'Расчёт'!B143),"Исправить ввод")</x:f>
        <x:v>0.0078262244002340435</x:v>
      </x:c>
      <x:c r="H37" s="24" t="str">
        <x:f>IF('Расчёт'!S143=1,IF('Расчёт'!K143+'Расчёт'!L143*D37+0.00000001&gt;='Расчёт'!J143,"OK","Падение"),"Исправить ввод")</x:f>
        <x:v>OK</x:v>
      </x:c>
      <x:c r="I37" s="24" t="str">
        <x:f>IF('Расчёт'!S143=1,IF('Расчёт'!N143+'Расчёт'!O143*D37+0.00000001&gt;='Расчёт'!M143,"OK","Падение"),"Исправить ввод")</x:f>
        <x:v>OK</x:v>
      </x:c>
      <x:c r="J37" s="24" t="str">
        <x:f>IF('Расчёт'!S143=1,IF('Расчёт'!H143+'Расчёт'!I143*D37+0.000001&gt;='Расчёт'!G143,"OK","Падение"),"Исправить ввод")</x:f>
        <x:v>OK</x:v>
      </x:c>
      <x:c r="K37" s="24" t="str">
        <x:f>IF('Расчёт'!S143=1,IF(AND(E37&gt;0,H37="OK",I37="OK",J37="OK"),"Проходит","Не проходит"),"Исправить ввод")</x:f>
        <x:v>Проходит</x:v>
      </x:c>
      <x:c r="L37" s="1" t="str">
        <x:v>Штрафы — допущение; эффект — расчёт</x:v>
      </x:c>
    </x:row>
    <x:row r="38" ht="24" customHeight="1">
      <x:c r="A38" s="1" t="str">
        <x:v>H4</x:v>
      </x:c>
      <x:c r="B38" s="8" t="n">
        <x:v>0.5</x:v>
      </x:c>
      <x:c r="C38" s="8" t="n">
        <x:v>0</x:v>
      </x:c>
      <x:c r="D38" s="8">
        <x:f>(1-B38)*(1-C38)</x:f>
        <x:v>0.5</x:v>
      </x:c>
      <x:c r="E38" s="12">
        <x:f>IF('Расчёт'!S143=1,'Расчёт'!E143+'Расчёт'!F143*D38-'Расчёт'!B143,"Исправить ввод")</x:f>
        <x:v>68870.774722059257</x:v>
      </x:c>
      <x:c r="F38" s="16">
        <x:f>IF('Расчёт'!S143=1,E38/'Параметры'!$B$8*100,"Исправить ввод")</x:f>
        <x:v>0.15652448800468011</x:v>
      </x:c>
      <x:c r="G38" s="8">
        <x:f>IF('Расчёт'!S143=1,IF('Расчёт'!B143=0,"n.a.",E38/'Расчёт'!B143),"Исправить ввод")</x:f>
        <x:v>0.010434965866978679</x:v>
      </x:c>
      <x:c r="H38" s="24" t="str">
        <x:f>IF('Расчёт'!S143=1,IF('Расчёт'!K143+'Расчёт'!L143*D38+0.00000001&gt;='Расчёт'!J143,"OK","Падение"),"Исправить ввод")</x:f>
        <x:v>OK</x:v>
      </x:c>
      <x:c r="I38" s="24" t="str">
        <x:f>IF('Расчёт'!S143=1,IF('Расчёт'!N143+'Расчёт'!O143*D38+0.00000001&gt;='Расчёт'!M143,"OK","Падение"),"Исправить ввод")</x:f>
        <x:v>OK</x:v>
      </x:c>
      <x:c r="J38" s="24" t="str">
        <x:f>IF('Расчёт'!S143=1,IF('Расчёт'!H143+'Расчёт'!I143*D38+0.000001&gt;='Расчёт'!G143,"OK","Падение"),"Исправить ввод")</x:f>
        <x:v>OK</x:v>
      </x:c>
      <x:c r="K38" s="24" t="str">
        <x:f>IF('Расчёт'!S143=1,IF(AND(E38&gt;0,H38="OK",I38="OK",J38="OK"),"Проходит","Не проходит"),"Исправить ввод")</x:f>
        <x:v>Проходит</x:v>
      </x:c>
      <x:c r="L38" s="1" t="str">
        <x:v>Штрафы — допущение; эффект — расчёт</x:v>
      </x:c>
    </x:row>
    <x:row r="39" ht="24" customHeight="1">
      <x:c r="A39" s="1" t="str">
        <x:v>H4</x:v>
      </x:c>
      <x:c r="B39" s="8" t="n">
        <x:v>0.5</x:v>
      </x:c>
      <x:c r="C39" s="8" t="n">
        <x:v>0.25</x:v>
      </x:c>
      <x:c r="D39" s="8">
        <x:f>(1-B39)*(1-C39)</x:f>
        <x:v>0.375</x:v>
      </x:c>
      <x:c r="E39" s="12">
        <x:f>IF('Расчёт'!S143=1,'Расчёт'!E143+'Расчёт'!F143*D39-'Расчёт'!B143,"Исправить ввод")</x:f>
        <x:v>51653.081041544676</x:v>
      </x:c>
      <x:c r="F39" s="16">
        <x:f>IF('Расчёт'!S143=1,E39/'Параметры'!$B$8*100,"Исправить ввод")</x:f>
        <x:v>0.11739336600351062</x:v>
      </x:c>
      <x:c r="G39" s="8">
        <x:f>IF('Расчёт'!S143=1,IF('Расчёт'!B143=0,"n.a.",E39/'Расчёт'!B143),"Исправить ввод")</x:f>
        <x:v>0.0078262244002340435</x:v>
      </x:c>
      <x:c r="H39" s="24" t="str">
        <x:f>IF('Расчёт'!S143=1,IF('Расчёт'!K143+'Расчёт'!L143*D39+0.00000001&gt;='Расчёт'!J143,"OK","Падение"),"Исправить ввод")</x:f>
        <x:v>OK</x:v>
      </x:c>
      <x:c r="I39" s="24" t="str">
        <x:f>IF('Расчёт'!S143=1,IF('Расчёт'!N143+'Расчёт'!O143*D39+0.00000001&gt;='Расчёт'!M143,"OK","Падение"),"Исправить ввод")</x:f>
        <x:v>OK</x:v>
      </x:c>
      <x:c r="J39" s="24" t="str">
        <x:f>IF('Расчёт'!S143=1,IF('Расчёт'!H143+'Расчёт'!I143*D39+0.000001&gt;='Расчёт'!G143,"OK","Падение"),"Исправить ввод")</x:f>
        <x:v>OK</x:v>
      </x:c>
      <x:c r="K39" s="24" t="str">
        <x:f>IF('Расчёт'!S143=1,IF(AND(E39&gt;0,H39="OK",I39="OK",J39="OK"),"Проходит","Не проходит"),"Исправить ввод")</x:f>
        <x:v>Проходит</x:v>
      </x:c>
      <x:c r="L39" s="1" t="str">
        <x:v>Штрафы — допущение; эффект — расчёт</x:v>
      </x:c>
    </x:row>
    <x:row r="40" ht="24" customHeight="1">
      <x:c r="A40" s="1" t="str">
        <x:v>H4</x:v>
      </x:c>
      <x:c r="B40" s="8" t="n">
        <x:v>0.5</x:v>
      </x:c>
      <x:c r="C40" s="8" t="n">
        <x:v>0.5</x:v>
      </x:c>
      <x:c r="D40" s="8">
        <x:f>(1-B40)*(1-C40)</x:f>
        <x:v>0.25</x:v>
      </x:c>
      <x:c r="E40" s="12">
        <x:f>IF('Расчёт'!S143=1,'Расчёт'!E143+'Расчёт'!F143*D40-'Расчёт'!B143,"Исправить ввод")</x:f>
        <x:v>34435.387361030094</x:v>
      </x:c>
      <x:c r="F40" s="16">
        <x:f>IF('Расчёт'!S143=1,E40/'Параметры'!$B$8*100,"Исправить ввод")</x:f>
        <x:v>0.078262244002341122</x:v>
      </x:c>
      <x:c r="G40" s="8">
        <x:f>IF('Расчёт'!S143=1,IF('Расчёт'!B143=0,"n.a.",E40/'Расчёт'!B143),"Исправить ввод")</x:f>
        <x:v>0.0052174829334894098</x:v>
      </x:c>
      <x:c r="H40" s="24" t="str">
        <x:f>IF('Расчёт'!S143=1,IF('Расчёт'!K143+'Расчёт'!L143*D40+0.00000001&gt;='Расчёт'!J143,"OK","Падение"),"Исправить ввод")</x:f>
        <x:v>OK</x:v>
      </x:c>
      <x:c r="I40" s="24" t="str">
        <x:f>IF('Расчёт'!S143=1,IF('Расчёт'!N143+'Расчёт'!O143*D40+0.00000001&gt;='Расчёт'!M143,"OK","Падение"),"Исправить ввод")</x:f>
        <x:v>OK</x:v>
      </x:c>
      <x:c r="J40" s="24" t="str">
        <x:f>IF('Расчёт'!S143=1,IF('Расчёт'!H143+'Расчёт'!I143*D40+0.000001&gt;='Расчёт'!G143,"OK","Падение"),"Исправить ввод")</x:f>
        <x:v>OK</x:v>
      </x:c>
      <x:c r="K40" s="24" t="str">
        <x:f>IF('Расчёт'!S143=1,IF(AND(E40&gt;0,H40="OK",I40="OK",J40="OK"),"Проходит","Не проходит"),"Исправить ввод")</x:f>
        <x:v>Проходит</x:v>
      </x:c>
      <x:c r="L40" s="1" t="str">
        <x:v>Штрафы — допущение; эффект — расчёт</x:v>
      </x:c>
    </x:row>
    <x:row r="41" ht="24" customHeight="1">
      <x:c r="A41" s="1" t="str">
        <x:v>H5</x:v>
      </x:c>
      <x:c r="B41" s="8" t="n">
        <x:v>0</x:v>
      </x:c>
      <x:c r="C41" s="8" t="n">
        <x:v>0</x:v>
      </x:c>
      <x:c r="D41" s="8">
        <x:f>(1-B41)*(1-C41)</x:f>
        <x:v>1</x:v>
      </x:c>
      <x:c r="E41" s="12">
        <x:f>IF('Расчёт'!S144=1,'Расчёт'!E144+'Расчёт'!F144*D41-'Расчёт'!B144,"Исправить ввод")</x:f>
        <x:v>25528.135751902126</x:v>
      </x:c>
      <x:c r="F41" s="16">
        <x:f>IF('Расчёт'!S144=1,E41/'Параметры'!$B$8*100,"Исправить ввод")</x:f>
        <x:v>0.058018490345232106</x:v>
      </x:c>
      <x:c r="G41" s="8">
        <x:f>IF('Расчёт'!S144=1,IF('Расчёт'!B144=0,"n.a.",E41/'Расчёт'!B144),"Исправить ввод")</x:f>
        <x:v>0.0038678993563488078</x:v>
      </x:c>
      <x:c r="H41" s="24" t="str">
        <x:f>IF('Расчёт'!S144=1,IF('Расчёт'!K144+'Расчёт'!L144*D41+0.00000001&gt;='Расчёт'!J144,"OK","Падение"),"Исправить ввод")</x:f>
        <x:v>OK</x:v>
      </x:c>
      <x:c r="I41" s="24" t="str">
        <x:f>IF('Расчёт'!S144=1,IF('Расчёт'!N144+'Расчёт'!O144*D41+0.00000001&gt;='Расчёт'!M144,"OK","Падение"),"Исправить ввод")</x:f>
        <x:v>OK</x:v>
      </x:c>
      <x:c r="J41" s="24" t="str">
        <x:f>IF('Расчёт'!S144=1,IF('Расчёт'!H144+'Расчёт'!I144*D41+0.000001&gt;='Расчёт'!G144,"OK","Падение"),"Исправить ввод")</x:f>
        <x:v>OK</x:v>
      </x:c>
      <x:c r="K41" s="24" t="str">
        <x:f>IF('Расчёт'!S144=1,IF(AND(E41&gt;0,H41="OK",I41="OK",J41="OK"),"Проходит","Не проходит"),"Исправить ввод")</x:f>
        <x:v>Проходит</x:v>
      </x:c>
      <x:c r="L41" s="1" t="str">
        <x:v>Штрафы — допущение; эффект — расчёт</x:v>
      </x:c>
    </x:row>
    <x:row r="42" ht="24" customHeight="1">
      <x:c r="A42" s="1" t="str">
        <x:v>H5</x:v>
      </x:c>
      <x:c r="B42" s="8" t="n">
        <x:v>0</x:v>
      </x:c>
      <x:c r="C42" s="8" t="n">
        <x:v>0.25</x:v>
      </x:c>
      <x:c r="D42" s="8">
        <x:f>(1-B42)*(1-C42)</x:f>
        <x:v>0.75</x:v>
      </x:c>
      <x:c r="E42" s="12">
        <x:f>IF('Расчёт'!S144=1,'Расчёт'!E144+'Расчёт'!F144*D42-'Расчёт'!B144,"Исправить ввод")</x:f>
        <x:v>19146.101813926362</x:v>
      </x:c>
      <x:c r="F42" s="16">
        <x:f>IF('Расчёт'!S144=1,E42/'Параметры'!$B$8*100,"Исправить ввод")</x:f>
        <x:v>0.043513867758923547</x:v>
      </x:c>
      <x:c r="G42" s="8">
        <x:f>IF('Расчёт'!S144=1,IF('Расчёт'!B144=0,"n.a.",E42/'Расчёт'!B144),"Исправить ввод")</x:f>
        <x:v>0.0029009245172615709</x:v>
      </x:c>
      <x:c r="H42" s="24" t="str">
        <x:f>IF('Расчёт'!S144=1,IF('Расчёт'!K144+'Расчёт'!L144*D42+0.00000001&gt;='Расчёт'!J144,"OK","Падение"),"Исправить ввод")</x:f>
        <x:v>OK</x:v>
      </x:c>
      <x:c r="I42" s="24" t="str">
        <x:f>IF('Расчёт'!S144=1,IF('Расчёт'!N144+'Расчёт'!O144*D42+0.00000001&gt;='Расчёт'!M144,"OK","Падение"),"Исправить ввод")</x:f>
        <x:v>OK</x:v>
      </x:c>
      <x:c r="J42" s="24" t="str">
        <x:f>IF('Расчёт'!S144=1,IF('Расчёт'!H144+'Расчёт'!I144*D42+0.000001&gt;='Расчёт'!G144,"OK","Падение"),"Исправить ввод")</x:f>
        <x:v>OK</x:v>
      </x:c>
      <x:c r="K42" s="24" t="str">
        <x:f>IF('Расчёт'!S144=1,IF(AND(E42&gt;0,H42="OK",I42="OK",J42="OK"),"Проходит","Не проходит"),"Исправить ввод")</x:f>
        <x:v>Проходит</x:v>
      </x:c>
      <x:c r="L42" s="1" t="str">
        <x:v>Штрафы — допущение; эффект — расчёт</x:v>
      </x:c>
    </x:row>
    <x:row r="43" ht="24" customHeight="1">
      <x:c r="A43" s="1" t="str">
        <x:v>H5</x:v>
      </x:c>
      <x:c r="B43" s="8" t="n">
        <x:v>0</x:v>
      </x:c>
      <x:c r="C43" s="8" t="n">
        <x:v>0.5</x:v>
      </x:c>
      <x:c r="D43" s="8">
        <x:f>(1-B43)*(1-C43)</x:f>
        <x:v>0.5</x:v>
      </x:c>
      <x:c r="E43" s="12">
        <x:f>IF('Расчёт'!S144=1,'Расчёт'!E144+'Расчёт'!F144*D43-'Расчёт'!B144,"Исправить ввод")</x:f>
        <x:v>12764.067875950597</x:v>
      </x:c>
      <x:c r="F43" s="16">
        <x:f>IF('Расчёт'!S144=1,E43/'Параметры'!$B$8*100,"Исправить ввод")</x:f>
        <x:v>0.029009245172614995</x:v>
      </x:c>
      <x:c r="G43" s="8">
        <x:f>IF('Расчёт'!S144=1,IF('Расчёт'!B144=0,"n.a.",E43/'Расчёт'!B144),"Исправить ввод")</x:f>
        <x:v>0.0019339496781743334</x:v>
      </x:c>
      <x:c r="H43" s="24" t="str">
        <x:f>IF('Расчёт'!S144=1,IF('Расчёт'!K144+'Расчёт'!L144*D43+0.00000001&gt;='Расчёт'!J144,"OK","Падение"),"Исправить ввод")</x:f>
        <x:v>OK</x:v>
      </x:c>
      <x:c r="I43" s="24" t="str">
        <x:f>IF('Расчёт'!S144=1,IF('Расчёт'!N144+'Расчёт'!O144*D43+0.00000001&gt;='Расчёт'!M144,"OK","Падение"),"Исправить ввод")</x:f>
        <x:v>OK</x:v>
      </x:c>
      <x:c r="J43" s="24" t="str">
        <x:f>IF('Расчёт'!S144=1,IF('Расчёт'!H144+'Расчёт'!I144*D43+0.000001&gt;='Расчёт'!G144,"OK","Падение"),"Исправить ввод")</x:f>
        <x:v>OK</x:v>
      </x:c>
      <x:c r="K43" s="24" t="str">
        <x:f>IF('Расчёт'!S144=1,IF(AND(E43&gt;0,H43="OK",I43="OK",J43="OK"),"Проходит","Не проходит"),"Исправить ввод")</x:f>
        <x:v>Проходит</x:v>
      </x:c>
      <x:c r="L43" s="1" t="str">
        <x:v>Штрафы — допущение; эффект — расчёт</x:v>
      </x:c>
    </x:row>
    <x:row r="44" ht="24" customHeight="1">
      <x:c r="A44" s="1" t="str">
        <x:v>H5</x:v>
      </x:c>
      <x:c r="B44" s="8" t="n">
        <x:v>0.25</x:v>
      </x:c>
      <x:c r="C44" s="8" t="n">
        <x:v>0</x:v>
      </x:c>
      <x:c r="D44" s="8">
        <x:f>(1-B44)*(1-C44)</x:f>
        <x:v>0.75</x:v>
      </x:c>
      <x:c r="E44" s="12">
        <x:f>IF('Расчёт'!S144=1,'Расчёт'!E144+'Расчёт'!F144*D44-'Расчёт'!B144,"Исправить ввод")</x:f>
        <x:v>19146.101813926362</x:v>
      </x:c>
      <x:c r="F44" s="16">
        <x:f>IF('Расчёт'!S144=1,E44/'Параметры'!$B$8*100,"Исправить ввод")</x:f>
        <x:v>0.043513867758923547</x:v>
      </x:c>
      <x:c r="G44" s="8">
        <x:f>IF('Расчёт'!S144=1,IF('Расчёт'!B144=0,"n.a.",E44/'Расчёт'!B144),"Исправить ввод")</x:f>
        <x:v>0.0029009245172615709</x:v>
      </x:c>
      <x:c r="H44" s="24" t="str">
        <x:f>IF('Расчёт'!S144=1,IF('Расчёт'!K144+'Расчёт'!L144*D44+0.00000001&gt;='Расчёт'!J144,"OK","Падение"),"Исправить ввод")</x:f>
        <x:v>OK</x:v>
      </x:c>
      <x:c r="I44" s="24" t="str">
        <x:f>IF('Расчёт'!S144=1,IF('Расчёт'!N144+'Расчёт'!O144*D44+0.00000001&gt;='Расчёт'!M144,"OK","Падение"),"Исправить ввод")</x:f>
        <x:v>OK</x:v>
      </x:c>
      <x:c r="J44" s="24" t="str">
        <x:f>IF('Расчёт'!S144=1,IF('Расчёт'!H144+'Расчёт'!I144*D44+0.000001&gt;='Расчёт'!G144,"OK","Падение"),"Исправить ввод")</x:f>
        <x:v>OK</x:v>
      </x:c>
      <x:c r="K44" s="24" t="str">
        <x:f>IF('Расчёт'!S144=1,IF(AND(E44&gt;0,H44="OK",I44="OK",J44="OK"),"Проходит","Не проходит"),"Исправить ввод")</x:f>
        <x:v>Проходит</x:v>
      </x:c>
      <x:c r="L44" s="1" t="str">
        <x:v>Штрафы — допущение; эффект — расчёт</x:v>
      </x:c>
    </x:row>
    <x:row r="45" ht="24" customHeight="1">
      <x:c r="A45" s="1" t="str">
        <x:v>H5</x:v>
      </x:c>
      <x:c r="B45" s="8" t="n">
        <x:v>0.25</x:v>
      </x:c>
      <x:c r="C45" s="8" t="n">
        <x:v>0.25</x:v>
      </x:c>
      <x:c r="D45" s="8">
        <x:f>(1-B45)*(1-C45)</x:f>
        <x:v>0.5625</x:v>
      </x:c>
      <x:c r="E45" s="12">
        <x:f>IF('Расчёт'!S144=1,'Расчёт'!E144+'Расчёт'!F144*D45-'Расчёт'!B144,"Исправить ввод")</x:f>
        <x:v>14359.576360444538</x:v>
      </x:c>
      <x:c r="F45" s="16">
        <x:f>IF('Расчёт'!S144=1,E45/'Параметры'!$B$8*100,"Исправить ввод")</x:f>
        <x:v>0.032635400819192133</x:v>
      </x:c>
      <x:c r="G45" s="8">
        <x:f>IF('Расчёт'!S144=1,IF('Расчёт'!B144=0,"n.a.",E45/'Расчёт'!B144),"Исправить ввод")</x:f>
        <x:v>0.0021756933879461429</x:v>
      </x:c>
      <x:c r="H45" s="24" t="str">
        <x:f>IF('Расчёт'!S144=1,IF('Расчёт'!K144+'Расчёт'!L144*D45+0.00000001&gt;='Расчёт'!J144,"OK","Падение"),"Исправить ввод")</x:f>
        <x:v>OK</x:v>
      </x:c>
      <x:c r="I45" s="24" t="str">
        <x:f>IF('Расчёт'!S144=1,IF('Расчёт'!N144+'Расчёт'!O144*D45+0.00000001&gt;='Расчёт'!M144,"OK","Падение"),"Исправить ввод")</x:f>
        <x:v>OK</x:v>
      </x:c>
      <x:c r="J45" s="24" t="str">
        <x:f>IF('Расчёт'!S144=1,IF('Расчёт'!H144+'Расчёт'!I144*D45+0.000001&gt;='Расчёт'!G144,"OK","Падение"),"Исправить ввод")</x:f>
        <x:v>OK</x:v>
      </x:c>
      <x:c r="K45" s="24" t="str">
        <x:f>IF('Расчёт'!S144=1,IF(AND(E45&gt;0,H45="OK",I45="OK",J45="OK"),"Проходит","Не проходит"),"Исправить ввод")</x:f>
        <x:v>Проходит</x:v>
      </x:c>
      <x:c r="L45" s="1" t="str">
        <x:v>Штрафы — допущение; эффект — расчёт</x:v>
      </x:c>
    </x:row>
    <x:row r="46" ht="24" customHeight="1">
      <x:c r="A46" s="1" t="str">
        <x:v>H5</x:v>
      </x:c>
      <x:c r="B46" s="8" t="n">
        <x:v>0.25</x:v>
      </x:c>
      <x:c r="C46" s="8" t="n">
        <x:v>0.5</x:v>
      </x:c>
      <x:c r="D46" s="8">
        <x:f>(1-B46)*(1-C46)</x:f>
        <x:v>0.375</x:v>
      </x:c>
      <x:c r="E46" s="12">
        <x:f>IF('Расчёт'!S144=1,'Расчёт'!E144+'Расчёт'!F144*D46-'Расчёт'!B144,"Исправить ввод")</x:f>
        <x:v>9573.0509069627151</x:v>
      </x:c>
      <x:c r="F46" s="16">
        <x:f>IF('Расчёт'!S144=1,E46/'Параметры'!$B$8*100,"Исправить ввод")</x:f>
        <x:v>0.021756933879460719</x:v>
      </x:c>
      <x:c r="G46" s="8">
        <x:f>IF('Расчёт'!S144=1,IF('Расчёт'!B144=0,"n.a.",E46/'Расчёт'!B144),"Исправить ввод")</x:f>
        <x:v>0.0014504622586307147</x:v>
      </x:c>
      <x:c r="H46" s="24" t="str">
        <x:f>IF('Расчёт'!S144=1,IF('Расчёт'!K144+'Расчёт'!L144*D46+0.00000001&gt;='Расчёт'!J144,"OK","Падение"),"Исправить ввод")</x:f>
        <x:v>OK</x:v>
      </x:c>
      <x:c r="I46" s="24" t="str">
        <x:f>IF('Расчёт'!S144=1,IF('Расчёт'!N144+'Расчёт'!O144*D46+0.00000001&gt;='Расчёт'!M144,"OK","Падение"),"Исправить ввод")</x:f>
        <x:v>OK</x:v>
      </x:c>
      <x:c r="J46" s="24" t="str">
        <x:f>IF('Расчёт'!S144=1,IF('Расчёт'!H144+'Расчёт'!I144*D46+0.000001&gt;='Расчёт'!G144,"OK","Падение"),"Исправить ввод")</x:f>
        <x:v>OK</x:v>
      </x:c>
      <x:c r="K46" s="24" t="str">
        <x:f>IF('Расчёт'!S144=1,IF(AND(E46&gt;0,H46="OK",I46="OK",J46="OK"),"Проходит","Не проходит"),"Исправить ввод")</x:f>
        <x:v>Проходит</x:v>
      </x:c>
      <x:c r="L46" s="1" t="str">
        <x:v>Штрафы — допущение; эффект — расчёт</x:v>
      </x:c>
    </x:row>
    <x:row r="47" ht="24" customHeight="1">
      <x:c r="A47" s="1" t="str">
        <x:v>H5</x:v>
      </x:c>
      <x:c r="B47" s="8" t="n">
        <x:v>0.5</x:v>
      </x:c>
      <x:c r="C47" s="8" t="n">
        <x:v>0</x:v>
      </x:c>
      <x:c r="D47" s="8">
        <x:f>(1-B47)*(1-C47)</x:f>
        <x:v>0.5</x:v>
      </x:c>
      <x:c r="E47" s="12">
        <x:f>IF('Расчёт'!S144=1,'Расчёт'!E144+'Расчёт'!F144*D47-'Расчёт'!B144,"Исправить ввод")</x:f>
        <x:v>12764.067875950597</x:v>
      </x:c>
      <x:c r="F47" s="16">
        <x:f>IF('Расчёт'!S144=1,E47/'Параметры'!$B$8*100,"Исправить ввод")</x:f>
        <x:v>0.029009245172614995</x:v>
      </x:c>
      <x:c r="G47" s="8">
        <x:f>IF('Расчёт'!S144=1,IF('Расчёт'!B144=0,"n.a.",E47/'Расчёт'!B144),"Исправить ввод")</x:f>
        <x:v>0.0019339496781743334</x:v>
      </x:c>
      <x:c r="H47" s="24" t="str">
        <x:f>IF('Расчёт'!S144=1,IF('Расчёт'!K144+'Расчёт'!L144*D47+0.00000001&gt;='Расчёт'!J144,"OK","Падение"),"Исправить ввод")</x:f>
        <x:v>OK</x:v>
      </x:c>
      <x:c r="I47" s="24" t="str">
        <x:f>IF('Расчёт'!S144=1,IF('Расчёт'!N144+'Расчёт'!O144*D47+0.00000001&gt;='Расчёт'!M144,"OK","Падение"),"Исправить ввод")</x:f>
        <x:v>OK</x:v>
      </x:c>
      <x:c r="J47" s="24" t="str">
        <x:f>IF('Расчёт'!S144=1,IF('Расчёт'!H144+'Расчёт'!I144*D47+0.000001&gt;='Расчёт'!G144,"OK","Падение"),"Исправить ввод")</x:f>
        <x:v>OK</x:v>
      </x:c>
      <x:c r="K47" s="24" t="str">
        <x:f>IF('Расчёт'!S144=1,IF(AND(E47&gt;0,H47="OK",I47="OK",J47="OK"),"Проходит","Не проходит"),"Исправить ввод")</x:f>
        <x:v>Проходит</x:v>
      </x:c>
      <x:c r="L47" s="1" t="str">
        <x:v>Штрафы — допущение; эффект — расчёт</x:v>
      </x:c>
    </x:row>
    <x:row r="48" ht="24" customHeight="1">
      <x:c r="A48" s="1" t="str">
        <x:v>H5</x:v>
      </x:c>
      <x:c r="B48" s="8" t="n">
        <x:v>0.5</x:v>
      </x:c>
      <x:c r="C48" s="8" t="n">
        <x:v>0.25</x:v>
      </x:c>
      <x:c r="D48" s="8">
        <x:f>(1-B48)*(1-C48)</x:f>
        <x:v>0.375</x:v>
      </x:c>
      <x:c r="E48" s="12">
        <x:f>IF('Расчёт'!S144=1,'Расчёт'!E144+'Расчёт'!F144*D48-'Расчёт'!B144,"Исправить ввод")</x:f>
        <x:v>9573.0509069627151</x:v>
      </x:c>
      <x:c r="F48" s="16">
        <x:f>IF('Расчёт'!S144=1,E48/'Параметры'!$B$8*100,"Исправить ввод")</x:f>
        <x:v>0.021756933879460719</x:v>
      </x:c>
      <x:c r="G48" s="8">
        <x:f>IF('Расчёт'!S144=1,IF('Расчёт'!B144=0,"n.a.",E48/'Расчёт'!B144),"Исправить ввод")</x:f>
        <x:v>0.0014504622586307147</x:v>
      </x:c>
      <x:c r="H48" s="24" t="str">
        <x:f>IF('Расчёт'!S144=1,IF('Расчёт'!K144+'Расчёт'!L144*D48+0.00000001&gt;='Расчёт'!J144,"OK","Падение"),"Исправить ввод")</x:f>
        <x:v>OK</x:v>
      </x:c>
      <x:c r="I48" s="24" t="str">
        <x:f>IF('Расчёт'!S144=1,IF('Расчёт'!N144+'Расчёт'!O144*D48+0.00000001&gt;='Расчёт'!M144,"OK","Падение"),"Исправить ввод")</x:f>
        <x:v>OK</x:v>
      </x:c>
      <x:c r="J48" s="24" t="str">
        <x:f>IF('Расчёт'!S144=1,IF('Расчёт'!H144+'Расчёт'!I144*D48+0.000001&gt;='Расчёт'!G144,"OK","Падение"),"Исправить ввод")</x:f>
        <x:v>OK</x:v>
      </x:c>
      <x:c r="K48" s="24" t="str">
        <x:f>IF('Расчёт'!S144=1,IF(AND(E48&gt;0,H48="OK",I48="OK",J48="OK"),"Проходит","Не проходит"),"Исправить ввод")</x:f>
        <x:v>Проходит</x:v>
      </x:c>
      <x:c r="L48" s="1" t="str">
        <x:v>Штрафы — допущение; эффект — расчёт</x:v>
      </x:c>
    </x:row>
    <x:row r="49" ht="24" customHeight="1">
      <x:c r="A49" s="1" t="str">
        <x:v>H5</x:v>
      </x:c>
      <x:c r="B49" s="8" t="n">
        <x:v>0.5</x:v>
      </x:c>
      <x:c r="C49" s="8" t="n">
        <x:v>0.5</x:v>
      </x:c>
      <x:c r="D49" s="8">
        <x:f>(1-B49)*(1-C49)</x:f>
        <x:v>0.25</x:v>
      </x:c>
      <x:c r="E49" s="12">
        <x:f>IF('Расчёт'!S144=1,'Расчёт'!E144+'Расчёт'!F144*D49-'Расчёт'!B144,"Исправить ввод")</x:f>
        <x:v>6382.0339379757643</x:v>
      </x:c>
      <x:c r="F49" s="16">
        <x:f>IF('Расчёт'!S144=1,E49/'Параметры'!$B$8*100,"Исправить ввод")</x:f>
        <x:v>0.014504622586308556</x:v>
      </x:c>
      <x:c r="G49" s="8">
        <x:f>IF('Расчёт'!S144=1,IF('Расчёт'!B144=0,"n.a.",E49/'Расчёт'!B144),"Исправить ввод")</x:f>
        <x:v>0.0009669748390872373</x:v>
      </x:c>
      <x:c r="H49" s="24" t="str">
        <x:f>IF('Расчёт'!S144=1,IF('Расчёт'!K144+'Расчёт'!L144*D49+0.00000001&gt;='Расчёт'!J144,"OK","Падение"),"Исправить ввод")</x:f>
        <x:v>OK</x:v>
      </x:c>
      <x:c r="I49" s="24" t="str">
        <x:f>IF('Расчёт'!S144=1,IF('Расчёт'!N144+'Расчёт'!O144*D49+0.00000001&gt;='Расчёт'!M144,"OK","Падение"),"Исправить ввод")</x:f>
        <x:v>OK</x:v>
      </x:c>
      <x:c r="J49" s="24" t="str">
        <x:f>IF('Расчёт'!S144=1,IF('Расчёт'!H144+'Расчёт'!I144*D49+0.000001&gt;='Расчёт'!G144,"OK","Падение"),"Исправить ввод")</x:f>
        <x:v>OK</x:v>
      </x:c>
      <x:c r="K49" s="24" t="str">
        <x:f>IF('Расчёт'!S144=1,IF(AND(E49&gt;0,H49="OK",I49="OK",J49="OK"),"Проходит","Не проходит"),"Исправить ввод")</x:f>
        <x:v>Проходит</x:v>
      </x:c>
      <x:c r="L49" s="1" t="str">
        <x:v>Штрафы — допущение; эффект — расчёт</x:v>
      </x:c>
    </x:row>
    <x:row r="50" ht="24" customHeight="1">
      <x:c r="A50" s="1" t="str">
        <x:v>H6.1</x:v>
      </x:c>
      <x:c r="B50" s="8" t="n">
        <x:v>0</x:v>
      </x:c>
      <x:c r="C50" s="8" t="n">
        <x:v>0</x:v>
      </x:c>
      <x:c r="D50" s="8">
        <x:f>(1-B50)*(1-C50)</x:f>
        <x:v>1</x:v>
      </x:c>
      <x:c r="E50" s="12">
        <x:f>IF('Расчёт'!S145=1,'Расчёт'!E145+'Расчёт'!F145*D50-'Расчёт'!B145,"Исправить ввод")</x:f>
        <x:v>14675.866588648409</x:v>
      </x:c>
      <x:c r="F50" s="16">
        <x:f>IF('Расчёт'!S145=1,E50/'Параметры'!$B$8*100,"Исправить ввод")</x:f>
        <x:v>0.033354242246928206</x:v>
      </x:c>
      <x:c r="G50" s="8">
        <x:f>IF('Расчёт'!S145=1,IF('Расчёт'!B145=0,"n.a.",E50/'Расчёт'!B145),"Исправить ввод")</x:f>
        <x:v>0.0022236161497952139</x:v>
      </x:c>
      <x:c r="H50" s="24" t="str">
        <x:f>IF('Расчёт'!S145=1,IF('Расчёт'!K145+'Расчёт'!L145*D50+0.00000001&gt;='Расчёт'!J145,"OK","Падение"),"Исправить ввод")</x:f>
        <x:v>OK</x:v>
      </x:c>
      <x:c r="I50" s="24" t="str">
        <x:f>IF('Расчёт'!S145=1,IF('Расчёт'!N145+'Расчёт'!O145*D50+0.00000001&gt;='Расчёт'!M145,"OK","Падение"),"Исправить ввод")</x:f>
        <x:v>OK</x:v>
      </x:c>
      <x:c r="J50" s="24" t="str">
        <x:f>IF('Расчёт'!S145=1,IF('Расчёт'!H145+'Расчёт'!I145*D50+0.000001&gt;='Расчёт'!G145,"OK","Падение"),"Исправить ввод")</x:f>
        <x:v>OK</x:v>
      </x:c>
      <x:c r="K50" s="24" t="str">
        <x:f>IF('Расчёт'!S145=1,IF(AND(E50&gt;0,H50="OK",I50="OK",J50="OK"),"Проходит","Не проходит"),"Исправить ввод")</x:f>
        <x:v>Проходит</x:v>
      </x:c>
      <x:c r="L50" s="1" t="str">
        <x:v>Штрафы — допущение; эффект — расчёт</x:v>
      </x:c>
    </x:row>
    <x:row r="51" ht="24" customHeight="1">
      <x:c r="A51" s="1" t="str">
        <x:v>H6.1</x:v>
      </x:c>
      <x:c r="B51" s="8" t="n">
        <x:v>0</x:v>
      </x:c>
      <x:c r="C51" s="8" t="n">
        <x:v>0.25</x:v>
      </x:c>
      <x:c r="D51" s="8">
        <x:f>(1-B51)*(1-C51)</x:f>
        <x:v>0.75</x:v>
      </x:c>
      <x:c r="E51" s="12">
        <x:f>IF('Расчёт'!S145=1,'Расчёт'!E145+'Расчёт'!F145*D51-'Расчёт'!B145,"Исправить ввод")</x:f>
        <x:v>11006.899941486306</x:v>
      </x:c>
      <x:c r="F51" s="16">
        <x:f>IF('Расчёт'!S145=1,E51/'Параметры'!$B$8*100,"Исправить ввод")</x:f>
        <x:v>0.025015681685196151</x:v>
      </x:c>
      <x:c r="G51" s="8">
        <x:f>IF('Расчёт'!S145=1,IF('Расчёт'!B145=0,"n.a.",E51/'Расчёт'!B145),"Исправить ввод")</x:f>
        <x:v>0.0016677121123464106</x:v>
      </x:c>
      <x:c r="H51" s="24" t="str">
        <x:f>IF('Расчёт'!S145=1,IF('Расчёт'!K145+'Расчёт'!L145*D51+0.00000001&gt;='Расчёт'!J145,"OK","Падение"),"Исправить ввод")</x:f>
        <x:v>OK</x:v>
      </x:c>
      <x:c r="I51" s="24" t="str">
        <x:f>IF('Расчёт'!S145=1,IF('Расчёт'!N145+'Расчёт'!O145*D51+0.00000001&gt;='Расчёт'!M145,"OK","Падение"),"Исправить ввод")</x:f>
        <x:v>OK</x:v>
      </x:c>
      <x:c r="J51" s="24" t="str">
        <x:f>IF('Расчёт'!S145=1,IF('Расчёт'!H145+'Расчёт'!I145*D51+0.000001&gt;='Расчёт'!G145,"OK","Падение"),"Исправить ввод")</x:f>
        <x:v>OK</x:v>
      </x:c>
      <x:c r="K51" s="24" t="str">
        <x:f>IF('Расчёт'!S145=1,IF(AND(E51&gt;0,H51="OK",I51="OK",J51="OK"),"Проходит","Не проходит"),"Исправить ввод")</x:f>
        <x:v>Проходит</x:v>
      </x:c>
      <x:c r="L51" s="1" t="str">
        <x:v>Штрафы — допущение; эффект — расчёт</x:v>
      </x:c>
    </x:row>
    <x:row r="52" ht="24" customHeight="1">
      <x:c r="A52" s="1" t="str">
        <x:v>H6.1</x:v>
      </x:c>
      <x:c r="B52" s="8" t="n">
        <x:v>0</x:v>
      </x:c>
      <x:c r="C52" s="8" t="n">
        <x:v>0.5</x:v>
      </x:c>
      <x:c r="D52" s="8">
        <x:f>(1-B52)*(1-C52)</x:f>
        <x:v>0.5</x:v>
      </x:c>
      <x:c r="E52" s="12">
        <x:f>IF('Расчёт'!S145=1,'Расчёт'!E145+'Расчёт'!F145*D52-'Расчёт'!B145,"Исправить ввод")</x:f>
        <x:v>7337.9332943242043</x:v>
      </x:c>
      <x:c r="F52" s="16">
        <x:f>IF('Расчёт'!S145=1,E52/'Параметры'!$B$8*100,"Исправить ввод")</x:f>
        <x:v>0.016677121123464103</x:v>
      </x:c>
      <x:c r="G52" s="8">
        <x:f>IF('Расчёт'!S145=1,IF('Расчёт'!B145=0,"n.a.",E52/'Расчёт'!B145),"Исправить ввод")</x:f>
        <x:v>0.0011118080748976069</x:v>
      </x:c>
      <x:c r="H52" s="24" t="str">
        <x:f>IF('Расчёт'!S145=1,IF('Расчёт'!K145+'Расчёт'!L145*D52+0.00000001&gt;='Расчёт'!J145,"OK","Падение"),"Исправить ввод")</x:f>
        <x:v>OK</x:v>
      </x:c>
      <x:c r="I52" s="24" t="str">
        <x:f>IF('Расчёт'!S145=1,IF('Расчёт'!N145+'Расчёт'!O145*D52+0.00000001&gt;='Расчёт'!M145,"OK","Падение"),"Исправить ввод")</x:f>
        <x:v>OK</x:v>
      </x:c>
      <x:c r="J52" s="24" t="str">
        <x:f>IF('Расчёт'!S145=1,IF('Расчёт'!H145+'Расчёт'!I145*D52+0.000001&gt;='Расчёт'!G145,"OK","Падение"),"Исправить ввод")</x:f>
        <x:v>OK</x:v>
      </x:c>
      <x:c r="K52" s="24" t="str">
        <x:f>IF('Расчёт'!S145=1,IF(AND(E52&gt;0,H52="OK",I52="OK",J52="OK"),"Проходит","Не проходит"),"Исправить ввод")</x:f>
        <x:v>Проходит</x:v>
      </x:c>
      <x:c r="L52" s="1" t="str">
        <x:v>Штрафы — допущение; эффект — расчёт</x:v>
      </x:c>
    </x:row>
    <x:row r="53" ht="24" customHeight="1">
      <x:c r="A53" s="1" t="str">
        <x:v>H6.1</x:v>
      </x:c>
      <x:c r="B53" s="8" t="n">
        <x:v>0.25</x:v>
      </x:c>
      <x:c r="C53" s="8" t="n">
        <x:v>0</x:v>
      </x:c>
      <x:c r="D53" s="8">
        <x:f>(1-B53)*(1-C53)</x:f>
        <x:v>0.75</x:v>
      </x:c>
      <x:c r="E53" s="12">
        <x:f>IF('Расчёт'!S145=1,'Расчёт'!E145+'Расчёт'!F145*D53-'Расчёт'!B145,"Исправить ввод")</x:f>
        <x:v>11006.899941486306</x:v>
      </x:c>
      <x:c r="F53" s="16">
        <x:f>IF('Расчёт'!S145=1,E53/'Параметры'!$B$8*100,"Исправить ввод")</x:f>
        <x:v>0.025015681685196151</x:v>
      </x:c>
      <x:c r="G53" s="8">
        <x:f>IF('Расчёт'!S145=1,IF('Расчёт'!B145=0,"n.a.",E53/'Расчёт'!B145),"Исправить ввод")</x:f>
        <x:v>0.0016677121123464106</x:v>
      </x:c>
      <x:c r="H53" s="24" t="str">
        <x:f>IF('Расчёт'!S145=1,IF('Расчёт'!K145+'Расчёт'!L145*D53+0.00000001&gt;='Расчёт'!J145,"OK","Падение"),"Исправить ввод")</x:f>
        <x:v>OK</x:v>
      </x:c>
      <x:c r="I53" s="24" t="str">
        <x:f>IF('Расчёт'!S145=1,IF('Расчёт'!N145+'Расчёт'!O145*D53+0.00000001&gt;='Расчёт'!M145,"OK","Падение"),"Исправить ввод")</x:f>
        <x:v>OK</x:v>
      </x:c>
      <x:c r="J53" s="24" t="str">
        <x:f>IF('Расчёт'!S145=1,IF('Расчёт'!H145+'Расчёт'!I145*D53+0.000001&gt;='Расчёт'!G145,"OK","Падение"),"Исправить ввод")</x:f>
        <x:v>OK</x:v>
      </x:c>
      <x:c r="K53" s="24" t="str">
        <x:f>IF('Расчёт'!S145=1,IF(AND(E53&gt;0,H53="OK",I53="OK",J53="OK"),"Проходит","Не проходит"),"Исправить ввод")</x:f>
        <x:v>Проходит</x:v>
      </x:c>
      <x:c r="L53" s="1" t="str">
        <x:v>Штрафы — допущение; эффект — расчёт</x:v>
      </x:c>
    </x:row>
    <x:row r="54" ht="24" customHeight="1">
      <x:c r="A54" s="1" t="str">
        <x:v>H6.1</x:v>
      </x:c>
      <x:c r="B54" s="8" t="n">
        <x:v>0.25</x:v>
      </x:c>
      <x:c r="C54" s="8" t="n">
        <x:v>0.25</x:v>
      </x:c>
      <x:c r="D54" s="8">
        <x:f>(1-B54)*(1-C54)</x:f>
        <x:v>0.5625</x:v>
      </x:c>
      <x:c r="E54" s="12">
        <x:f>IF('Расчёт'!S145=1,'Расчёт'!E145+'Расчёт'!F145*D54-'Расчёт'!B145,"Исправить ввод")</x:f>
        <x:v>8255.1749561149627</x:v>
      </x:c>
      <x:c r="F54" s="16">
        <x:f>IF('Расчёт'!S145=1,E54/'Параметры'!$B$8*100,"Исправить ввод")</x:f>
        <x:v>0.018761761263897642</x:v>
      </x:c>
      <x:c r="G54" s="8">
        <x:f>IF('Расчёт'!S145=1,IF('Расчёт'!B145=0,"n.a.",E54/'Расчёт'!B145),"Исправить ввод")</x:f>
        <x:v>0.0012507840842598433</x:v>
      </x:c>
      <x:c r="H54" s="24" t="str">
        <x:f>IF('Расчёт'!S145=1,IF('Расчёт'!K145+'Расчёт'!L145*D54+0.00000001&gt;='Расчёт'!J145,"OK","Падение"),"Исправить ввод")</x:f>
        <x:v>OK</x:v>
      </x:c>
      <x:c r="I54" s="24" t="str">
        <x:f>IF('Расчёт'!S145=1,IF('Расчёт'!N145+'Расчёт'!O145*D54+0.00000001&gt;='Расчёт'!M145,"OK","Падение"),"Исправить ввод")</x:f>
        <x:v>OK</x:v>
      </x:c>
      <x:c r="J54" s="24" t="str">
        <x:f>IF('Расчёт'!S145=1,IF('Расчёт'!H145+'Расчёт'!I145*D54+0.000001&gt;='Расчёт'!G145,"OK","Падение"),"Исправить ввод")</x:f>
        <x:v>OK</x:v>
      </x:c>
      <x:c r="K54" s="24" t="str">
        <x:f>IF('Расчёт'!S145=1,IF(AND(E54&gt;0,H54="OK",I54="OK",J54="OK"),"Проходит","Не проходит"),"Исправить ввод")</x:f>
        <x:v>Проходит</x:v>
      </x:c>
      <x:c r="L54" s="1" t="str">
        <x:v>Штрафы — допущение; эффект — расчёт</x:v>
      </x:c>
    </x:row>
    <x:row r="55" ht="24" customHeight="1">
      <x:c r="A55" s="1" t="str">
        <x:v>H6.1</x:v>
      </x:c>
      <x:c r="B55" s="8" t="n">
        <x:v>0.25</x:v>
      </x:c>
      <x:c r="C55" s="8" t="n">
        <x:v>0.5</x:v>
      </x:c>
      <x:c r="D55" s="8">
        <x:f>(1-B55)*(1-C55)</x:f>
        <x:v>0.375</x:v>
      </x:c>
      <x:c r="E55" s="12">
        <x:f>IF('Расчёт'!S145=1,'Расчёт'!E145+'Расчёт'!F145*D55-'Расчёт'!B145,"Исправить ввод")</x:f>
        <x:v>5503.4499707426876</x:v>
      </x:c>
      <x:c r="F55" s="16">
        <x:f>IF('Расчёт'!S145=1,E55/'Параметры'!$B$8*100,"Исправить ввод")</x:f>
        <x:v>0.012507840842597016</x:v>
      </x:c>
      <x:c r="G55" s="8">
        <x:f>IF('Расчёт'!S145=1,IF('Расчёт'!B145=0,"n.a.",E55/'Расчёт'!B145),"Исправить ввод")</x:f>
        <x:v>0.00083385605617313473</x:v>
      </x:c>
      <x:c r="H55" s="24" t="str">
        <x:f>IF('Расчёт'!S145=1,IF('Расчёт'!K145+'Расчёт'!L145*D55+0.00000001&gt;='Расчёт'!J145,"OK","Падение"),"Исправить ввод")</x:f>
        <x:v>OK</x:v>
      </x:c>
      <x:c r="I55" s="24" t="str">
        <x:f>IF('Расчёт'!S145=1,IF('Расчёт'!N145+'Расчёт'!O145*D55+0.00000001&gt;='Расчёт'!M145,"OK","Падение"),"Исправить ввод")</x:f>
        <x:v>OK</x:v>
      </x:c>
      <x:c r="J55" s="24" t="str">
        <x:f>IF('Расчёт'!S145=1,IF('Расчёт'!H145+'Расчёт'!I145*D55+0.000001&gt;='Расчёт'!G145,"OK","Падение"),"Исправить ввод")</x:f>
        <x:v>OK</x:v>
      </x:c>
      <x:c r="K55" s="24" t="str">
        <x:f>IF('Расчёт'!S145=1,IF(AND(E55&gt;0,H55="OK",I55="OK",J55="OK"),"Проходит","Не проходит"),"Исправить ввод")</x:f>
        <x:v>Проходит</x:v>
      </x:c>
      <x:c r="L55" s="1" t="str">
        <x:v>Штрафы — допущение; эффект — расчёт</x:v>
      </x:c>
    </x:row>
    <x:row r="56" ht="24" customHeight="1">
      <x:c r="A56" s="1" t="str">
        <x:v>H6.1</x:v>
      </x:c>
      <x:c r="B56" s="8" t="n">
        <x:v>0.5</x:v>
      </x:c>
      <x:c r="C56" s="8" t="n">
        <x:v>0</x:v>
      </x:c>
      <x:c r="D56" s="8">
        <x:f>(1-B56)*(1-C56)</x:f>
        <x:v>0.5</x:v>
      </x:c>
      <x:c r="E56" s="12">
        <x:f>IF('Расчёт'!S145=1,'Расчёт'!E145+'Расчёт'!F145*D56-'Расчёт'!B145,"Исправить ввод")</x:f>
        <x:v>7337.9332943242043</x:v>
      </x:c>
      <x:c r="F56" s="16">
        <x:f>IF('Расчёт'!S145=1,E56/'Параметры'!$B$8*100,"Исправить ввод")</x:f>
        <x:v>0.016677121123464103</x:v>
      </x:c>
      <x:c r="G56" s="8">
        <x:f>IF('Расчёт'!S145=1,IF('Расчёт'!B145=0,"n.a.",E56/'Расчёт'!B145),"Исправить ввод")</x:f>
        <x:v>0.0011118080748976069</x:v>
      </x:c>
      <x:c r="H56" s="24" t="str">
        <x:f>IF('Расчёт'!S145=1,IF('Расчёт'!K145+'Расчёт'!L145*D56+0.00000001&gt;='Расчёт'!J145,"OK","Падение"),"Исправить ввод")</x:f>
        <x:v>OK</x:v>
      </x:c>
      <x:c r="I56" s="24" t="str">
        <x:f>IF('Расчёт'!S145=1,IF('Расчёт'!N145+'Расчёт'!O145*D56+0.00000001&gt;='Расчёт'!M145,"OK","Падение"),"Исправить ввод")</x:f>
        <x:v>OK</x:v>
      </x:c>
      <x:c r="J56" s="24" t="str">
        <x:f>IF('Расчёт'!S145=1,IF('Расчёт'!H145+'Расчёт'!I145*D56+0.000001&gt;='Расчёт'!G145,"OK","Падение"),"Исправить ввод")</x:f>
        <x:v>OK</x:v>
      </x:c>
      <x:c r="K56" s="24" t="str">
        <x:f>IF('Расчёт'!S145=1,IF(AND(E56&gt;0,H56="OK",I56="OK",J56="OK"),"Проходит","Не проходит"),"Исправить ввод")</x:f>
        <x:v>Проходит</x:v>
      </x:c>
      <x:c r="L56" s="1" t="str">
        <x:v>Штрафы — допущение; эффект — расчёт</x:v>
      </x:c>
    </x:row>
    <x:row r="57" ht="24" customHeight="1">
      <x:c r="A57" s="1" t="str">
        <x:v>H6.1</x:v>
      </x:c>
      <x:c r="B57" s="8" t="n">
        <x:v>0.5</x:v>
      </x:c>
      <x:c r="C57" s="8" t="n">
        <x:v>0.25</x:v>
      </x:c>
      <x:c r="D57" s="8">
        <x:f>(1-B57)*(1-C57)</x:f>
        <x:v>0.375</x:v>
      </x:c>
      <x:c r="E57" s="12">
        <x:f>IF('Расчёт'!S145=1,'Расчёт'!E145+'Расчёт'!F145*D57-'Расчёт'!B145,"Исправить ввод")</x:f>
        <x:v>5503.4499707426876</x:v>
      </x:c>
      <x:c r="F57" s="16">
        <x:f>IF('Расчёт'!S145=1,E57/'Параметры'!$B$8*100,"Исправить ввод")</x:f>
        <x:v>0.012507840842597016</x:v>
      </x:c>
      <x:c r="G57" s="8">
        <x:f>IF('Расчёт'!S145=1,IF('Расчёт'!B145=0,"n.a.",E57/'Расчёт'!B145),"Исправить ввод")</x:f>
        <x:v>0.00083385605617313473</x:v>
      </x:c>
      <x:c r="H57" s="24" t="str">
        <x:f>IF('Расчёт'!S145=1,IF('Расчёт'!K145+'Расчёт'!L145*D57+0.00000001&gt;='Расчёт'!J145,"OK","Падение"),"Исправить ввод")</x:f>
        <x:v>OK</x:v>
      </x:c>
      <x:c r="I57" s="24" t="str">
        <x:f>IF('Расчёт'!S145=1,IF('Расчёт'!N145+'Расчёт'!O145*D57+0.00000001&gt;='Расчёт'!M145,"OK","Падение"),"Исправить ввод")</x:f>
        <x:v>OK</x:v>
      </x:c>
      <x:c r="J57" s="24" t="str">
        <x:f>IF('Расчёт'!S145=1,IF('Расчёт'!H145+'Расчёт'!I145*D57+0.000001&gt;='Расчёт'!G145,"OK","Падение"),"Исправить ввод")</x:f>
        <x:v>OK</x:v>
      </x:c>
      <x:c r="K57" s="24" t="str">
        <x:f>IF('Расчёт'!S145=1,IF(AND(E57&gt;0,H57="OK",I57="OK",J57="OK"),"Проходит","Не проходит"),"Исправить ввод")</x:f>
        <x:v>Проходит</x:v>
      </x:c>
      <x:c r="L57" s="1" t="str">
        <x:v>Штрафы — допущение; эффект — расчёт</x:v>
      </x:c>
    </x:row>
    <x:row r="58" ht="24" customHeight="1">
      <x:c r="A58" s="1" t="str">
        <x:v>H6.1</x:v>
      </x:c>
      <x:c r="B58" s="8" t="n">
        <x:v>0.5</x:v>
      </x:c>
      <x:c r="C58" s="8" t="n">
        <x:v>0.5</x:v>
      </x:c>
      <x:c r="D58" s="8">
        <x:f>(1-B58)*(1-C58)</x:f>
        <x:v>0.25</x:v>
      </x:c>
      <x:c r="E58" s="12">
        <x:f>IF('Расчёт'!S145=1,'Расчёт'!E145+'Расчёт'!F145*D58-'Расчёт'!B145,"Исправить ввод")</x:f>
        <x:v>3668.9666471621022</x:v>
      </x:c>
      <x:c r="F58" s="16">
        <x:f>IF('Расчёт'!S145=1,E58/'Параметры'!$B$8*100,"Исправить ввод")</x:f>
        <x:v>0.0083385605617320516</x:v>
      </x:c>
      <x:c r="G58" s="8">
        <x:f>IF('Расчёт'!S145=1,IF('Расчёт'!B145=0,"n.a.",E58/'Расчёт'!B145),"Исправить ввод")</x:f>
        <x:v>0.00055590403744880347</x:v>
      </x:c>
      <x:c r="H58" s="24" t="str">
        <x:f>IF('Расчёт'!S145=1,IF('Расчёт'!K145+'Расчёт'!L145*D58+0.00000001&gt;='Расчёт'!J145,"OK","Падение"),"Исправить ввод")</x:f>
        <x:v>OK</x:v>
      </x:c>
      <x:c r="I58" s="24" t="str">
        <x:f>IF('Расчёт'!S145=1,IF('Расчёт'!N145+'Расчёт'!O145*D58+0.00000001&gt;='Расчёт'!M145,"OK","Падение"),"Исправить ввод")</x:f>
        <x:v>OK</x:v>
      </x:c>
      <x:c r="J58" s="24" t="str">
        <x:f>IF('Расчёт'!S145=1,IF('Расчёт'!H145+'Расчёт'!I145*D58+0.000001&gt;='Расчёт'!G145,"OK","Падение"),"Исправить ввод")</x:f>
        <x:v>OK</x:v>
      </x:c>
      <x:c r="K58" s="24" t="str">
        <x:f>IF('Расчёт'!S145=1,IF(AND(E58&gt;0,H58="OK",I58="OK",J58="OK"),"Проходит","Не проходит"),"Исправить ввод")</x:f>
        <x:v>Проходит</x:v>
      </x:c>
      <x:c r="L58" s="1" t="str">
        <x:v>Штрафы — допущение; эффект — расчёт</x:v>
      </x:c>
    </x:row>
    <x:row r="59" ht="24" customHeight="1">
      <x:c r="A59" s="1" t="str">
        <x:v>H6.2</x:v>
      </x:c>
      <x:c r="B59" s="8" t="n">
        <x:v>0</x:v>
      </x:c>
      <x:c r="C59" s="8" t="n">
        <x:v>0</x:v>
      </x:c>
      <x:c r="D59" s="8">
        <x:f>(1-B59)*(1-C59)</x:f>
        <x:v>1</x:v>
      </x:c>
      <x:c r="E59" s="12">
        <x:f>IF('Расчёт'!S146=1,'Расчёт'!E146+'Расчёт'!F146*D59-'Расчёт'!B146,"Исправить ввод")</x:f>
        <x:v>14675.866588648409</x:v>
      </x:c>
      <x:c r="F59" s="16">
        <x:f>IF('Расчёт'!S146=1,E59/'Параметры'!$B$8*100,"Исправить ввод")</x:f>
        <x:v>0.033354242246928206</x:v>
      </x:c>
      <x:c r="G59" s="8">
        <x:f>IF('Расчёт'!S146=1,IF('Расчёт'!B146=0,"n.a.",E59/'Расчёт'!B146),"Исправить ввод")</x:f>
        <x:v>0.0022236161497952139</x:v>
      </x:c>
      <x:c r="H59" s="24" t="str">
        <x:f>IF('Расчёт'!S146=1,IF('Расчёт'!K146+'Расчёт'!L146*D59+0.00000001&gt;='Расчёт'!J146,"OK","Падение"),"Исправить ввод")</x:f>
        <x:v>OK</x:v>
      </x:c>
      <x:c r="I59" s="24" t="str">
        <x:f>IF('Расчёт'!S146=1,IF('Расчёт'!N146+'Расчёт'!O146*D59+0.00000001&gt;='Расчёт'!M146,"OK","Падение"),"Исправить ввод")</x:f>
        <x:v>OK</x:v>
      </x:c>
      <x:c r="J59" s="24" t="str">
        <x:f>IF('Расчёт'!S146=1,IF('Расчёт'!H146+'Расчёт'!I146*D59+0.000001&gt;='Расчёт'!G146,"OK","Падение"),"Исправить ввод")</x:f>
        <x:v>OK</x:v>
      </x:c>
      <x:c r="K59" s="24" t="str">
        <x:f>IF('Расчёт'!S146=1,IF(AND(E59&gt;0,H59="OK",I59="OK",J59="OK"),"Проходит","Не проходит"),"Исправить ввод")</x:f>
        <x:v>Проходит</x:v>
      </x:c>
      <x:c r="L59" s="1" t="str">
        <x:v>Штрафы — допущение; эффект — расчёт</x:v>
      </x:c>
    </x:row>
    <x:row r="60" ht="24" customHeight="1">
      <x:c r="A60" s="1" t="str">
        <x:v>H6.2</x:v>
      </x:c>
      <x:c r="B60" s="8" t="n">
        <x:v>0</x:v>
      </x:c>
      <x:c r="C60" s="8" t="n">
        <x:v>0.25</x:v>
      </x:c>
      <x:c r="D60" s="8">
        <x:f>(1-B60)*(1-C60)</x:f>
        <x:v>0.75</x:v>
      </x:c>
      <x:c r="E60" s="12">
        <x:f>IF('Расчёт'!S146=1,'Расчёт'!E146+'Расчёт'!F146*D60-'Расчёт'!B146,"Исправить ввод")</x:f>
        <x:v>11006.899941486306</x:v>
      </x:c>
      <x:c r="F60" s="16">
        <x:f>IF('Расчёт'!S146=1,E60/'Параметры'!$B$8*100,"Исправить ввод")</x:f>
        <x:v>0.025015681685196151</x:v>
      </x:c>
      <x:c r="G60" s="8">
        <x:f>IF('Расчёт'!S146=1,IF('Расчёт'!B146=0,"n.a.",E60/'Расчёт'!B146),"Исправить ввод")</x:f>
        <x:v>0.0016677121123464106</x:v>
      </x:c>
      <x:c r="H60" s="24" t="str">
        <x:f>IF('Расчёт'!S146=1,IF('Расчёт'!K146+'Расчёт'!L146*D60+0.00000001&gt;='Расчёт'!J146,"OK","Падение"),"Исправить ввод")</x:f>
        <x:v>OK</x:v>
      </x:c>
      <x:c r="I60" s="24" t="str">
        <x:f>IF('Расчёт'!S146=1,IF('Расчёт'!N146+'Расчёт'!O146*D60+0.00000001&gt;='Расчёт'!M146,"OK","Падение"),"Исправить ввод")</x:f>
        <x:v>OK</x:v>
      </x:c>
      <x:c r="J60" s="24" t="str">
        <x:f>IF('Расчёт'!S146=1,IF('Расчёт'!H146+'Расчёт'!I146*D60+0.000001&gt;='Расчёт'!G146,"OK","Падение"),"Исправить ввод")</x:f>
        <x:v>OK</x:v>
      </x:c>
      <x:c r="K60" s="24" t="str">
        <x:f>IF('Расчёт'!S146=1,IF(AND(E60&gt;0,H60="OK",I60="OK",J60="OK"),"Проходит","Не проходит"),"Исправить ввод")</x:f>
        <x:v>Проходит</x:v>
      </x:c>
      <x:c r="L60" s="1" t="str">
        <x:v>Штрафы — допущение; эффект — расчёт</x:v>
      </x:c>
    </x:row>
    <x:row r="61" ht="24" customHeight="1">
      <x:c r="A61" s="1" t="str">
        <x:v>H6.2</x:v>
      </x:c>
      <x:c r="B61" s="8" t="n">
        <x:v>0</x:v>
      </x:c>
      <x:c r="C61" s="8" t="n">
        <x:v>0.5</x:v>
      </x:c>
      <x:c r="D61" s="8">
        <x:f>(1-B61)*(1-C61)</x:f>
        <x:v>0.5</x:v>
      </x:c>
      <x:c r="E61" s="12">
        <x:f>IF('Расчёт'!S146=1,'Расчёт'!E146+'Расчёт'!F146*D61-'Расчёт'!B146,"Исправить ввод")</x:f>
        <x:v>7337.9332943242043</x:v>
      </x:c>
      <x:c r="F61" s="16">
        <x:f>IF('Расчёт'!S146=1,E61/'Параметры'!$B$8*100,"Исправить ввод")</x:f>
        <x:v>0.016677121123464103</x:v>
      </x:c>
      <x:c r="G61" s="8">
        <x:f>IF('Расчёт'!S146=1,IF('Расчёт'!B146=0,"n.a.",E61/'Расчёт'!B146),"Исправить ввод")</x:f>
        <x:v>0.0011118080748976069</x:v>
      </x:c>
      <x:c r="H61" s="24" t="str">
        <x:f>IF('Расчёт'!S146=1,IF('Расчёт'!K146+'Расчёт'!L146*D61+0.00000001&gt;='Расчёт'!J146,"OK","Падение"),"Исправить ввод")</x:f>
        <x:v>OK</x:v>
      </x:c>
      <x:c r="I61" s="24" t="str">
        <x:f>IF('Расчёт'!S146=1,IF('Расчёт'!N146+'Расчёт'!O146*D61+0.00000001&gt;='Расчёт'!M146,"OK","Падение"),"Исправить ввод")</x:f>
        <x:v>OK</x:v>
      </x:c>
      <x:c r="J61" s="24" t="str">
        <x:f>IF('Расчёт'!S146=1,IF('Расчёт'!H146+'Расчёт'!I146*D61+0.000001&gt;='Расчёт'!G146,"OK","Падение"),"Исправить ввод")</x:f>
        <x:v>OK</x:v>
      </x:c>
      <x:c r="K61" s="24" t="str">
        <x:f>IF('Расчёт'!S146=1,IF(AND(E61&gt;0,H61="OK",I61="OK",J61="OK"),"Проходит","Не проходит"),"Исправить ввод")</x:f>
        <x:v>Проходит</x:v>
      </x:c>
      <x:c r="L61" s="1" t="str">
        <x:v>Штрафы — допущение; эффект — расчёт</x:v>
      </x:c>
    </x:row>
    <x:row r="62" ht="24" customHeight="1">
      <x:c r="A62" s="1" t="str">
        <x:v>H6.2</x:v>
      </x:c>
      <x:c r="B62" s="8" t="n">
        <x:v>0.25</x:v>
      </x:c>
      <x:c r="C62" s="8" t="n">
        <x:v>0</x:v>
      </x:c>
      <x:c r="D62" s="8">
        <x:f>(1-B62)*(1-C62)</x:f>
        <x:v>0.75</x:v>
      </x:c>
      <x:c r="E62" s="12">
        <x:f>IF('Расчёт'!S146=1,'Расчёт'!E146+'Расчёт'!F146*D62-'Расчёт'!B146,"Исправить ввод")</x:f>
        <x:v>11006.899941486306</x:v>
      </x:c>
      <x:c r="F62" s="16">
        <x:f>IF('Расчёт'!S146=1,E62/'Параметры'!$B$8*100,"Исправить ввод")</x:f>
        <x:v>0.025015681685196151</x:v>
      </x:c>
      <x:c r="G62" s="8">
        <x:f>IF('Расчёт'!S146=1,IF('Расчёт'!B146=0,"n.a.",E62/'Расчёт'!B146),"Исправить ввод")</x:f>
        <x:v>0.0016677121123464106</x:v>
      </x:c>
      <x:c r="H62" s="24" t="str">
        <x:f>IF('Расчёт'!S146=1,IF('Расчёт'!K146+'Расчёт'!L146*D62+0.00000001&gt;='Расчёт'!J146,"OK","Падение"),"Исправить ввод")</x:f>
        <x:v>OK</x:v>
      </x:c>
      <x:c r="I62" s="24" t="str">
        <x:f>IF('Расчёт'!S146=1,IF('Расчёт'!N146+'Расчёт'!O146*D62+0.00000001&gt;='Расчёт'!M146,"OK","Падение"),"Исправить ввод")</x:f>
        <x:v>OK</x:v>
      </x:c>
      <x:c r="J62" s="24" t="str">
        <x:f>IF('Расчёт'!S146=1,IF('Расчёт'!H146+'Расчёт'!I146*D62+0.000001&gt;='Расчёт'!G146,"OK","Падение"),"Исправить ввод")</x:f>
        <x:v>OK</x:v>
      </x:c>
      <x:c r="K62" s="24" t="str">
        <x:f>IF('Расчёт'!S146=1,IF(AND(E62&gt;0,H62="OK",I62="OK",J62="OK"),"Проходит","Не проходит"),"Исправить ввод")</x:f>
        <x:v>Проходит</x:v>
      </x:c>
      <x:c r="L62" s="1" t="str">
        <x:v>Штрафы — допущение; эффект — расчёт</x:v>
      </x:c>
    </x:row>
    <x:row r="63" ht="24" customHeight="1">
      <x:c r="A63" s="1" t="str">
        <x:v>H6.2</x:v>
      </x:c>
      <x:c r="B63" s="8" t="n">
        <x:v>0.25</x:v>
      </x:c>
      <x:c r="C63" s="8" t="n">
        <x:v>0.25</x:v>
      </x:c>
      <x:c r="D63" s="8">
        <x:f>(1-B63)*(1-C63)</x:f>
        <x:v>0.5625</x:v>
      </x:c>
      <x:c r="E63" s="12">
        <x:f>IF('Расчёт'!S146=1,'Расчёт'!E146+'Расчёт'!F146*D63-'Расчёт'!B146,"Исправить ввод")</x:f>
        <x:v>8255.1749561149627</x:v>
      </x:c>
      <x:c r="F63" s="16">
        <x:f>IF('Расчёт'!S146=1,E63/'Параметры'!$B$8*100,"Исправить ввод")</x:f>
        <x:v>0.018761761263897642</x:v>
      </x:c>
      <x:c r="G63" s="8">
        <x:f>IF('Расчёт'!S146=1,IF('Расчёт'!B146=0,"n.a.",E63/'Расчёт'!B146),"Исправить ввод")</x:f>
        <x:v>0.0012507840842598433</x:v>
      </x:c>
      <x:c r="H63" s="24" t="str">
        <x:f>IF('Расчёт'!S146=1,IF('Расчёт'!K146+'Расчёт'!L146*D63+0.00000001&gt;='Расчёт'!J146,"OK","Падение"),"Исправить ввод")</x:f>
        <x:v>OK</x:v>
      </x:c>
      <x:c r="I63" s="24" t="str">
        <x:f>IF('Расчёт'!S146=1,IF('Расчёт'!N146+'Расчёт'!O146*D63+0.00000001&gt;='Расчёт'!M146,"OK","Падение"),"Исправить ввод")</x:f>
        <x:v>OK</x:v>
      </x:c>
      <x:c r="J63" s="24" t="str">
        <x:f>IF('Расчёт'!S146=1,IF('Расчёт'!H146+'Расчёт'!I146*D63+0.000001&gt;='Расчёт'!G146,"OK","Падение"),"Исправить ввод")</x:f>
        <x:v>OK</x:v>
      </x:c>
      <x:c r="K63" s="24" t="str">
        <x:f>IF('Расчёт'!S146=1,IF(AND(E63&gt;0,H63="OK",I63="OK",J63="OK"),"Проходит","Не проходит"),"Исправить ввод")</x:f>
        <x:v>Проходит</x:v>
      </x:c>
      <x:c r="L63" s="1" t="str">
        <x:v>Штрафы — допущение; эффект — расчёт</x:v>
      </x:c>
    </x:row>
    <x:row r="64" ht="24" customHeight="1">
      <x:c r="A64" s="1" t="str">
        <x:v>H6.2</x:v>
      </x:c>
      <x:c r="B64" s="8" t="n">
        <x:v>0.25</x:v>
      </x:c>
      <x:c r="C64" s="8" t="n">
        <x:v>0.5</x:v>
      </x:c>
      <x:c r="D64" s="8">
        <x:f>(1-B64)*(1-C64)</x:f>
        <x:v>0.375</x:v>
      </x:c>
      <x:c r="E64" s="12">
        <x:f>IF('Расчёт'!S146=1,'Расчёт'!E146+'Расчёт'!F146*D64-'Расчёт'!B146,"Исправить ввод")</x:f>
        <x:v>5503.4499707426876</x:v>
      </x:c>
      <x:c r="F64" s="16">
        <x:f>IF('Расчёт'!S146=1,E64/'Параметры'!$B$8*100,"Исправить ввод")</x:f>
        <x:v>0.012507840842597016</x:v>
      </x:c>
      <x:c r="G64" s="8">
        <x:f>IF('Расчёт'!S146=1,IF('Расчёт'!B146=0,"n.a.",E64/'Расчёт'!B146),"Исправить ввод")</x:f>
        <x:v>0.00083385605617313473</x:v>
      </x:c>
      <x:c r="H64" s="24" t="str">
        <x:f>IF('Расчёт'!S146=1,IF('Расчёт'!K146+'Расчёт'!L146*D64+0.00000001&gt;='Расчёт'!J146,"OK","Падение"),"Исправить ввод")</x:f>
        <x:v>OK</x:v>
      </x:c>
      <x:c r="I64" s="24" t="str">
        <x:f>IF('Расчёт'!S146=1,IF('Расчёт'!N146+'Расчёт'!O146*D64+0.00000001&gt;='Расчёт'!M146,"OK","Падение"),"Исправить ввод")</x:f>
        <x:v>OK</x:v>
      </x:c>
      <x:c r="J64" s="24" t="str">
        <x:f>IF('Расчёт'!S146=1,IF('Расчёт'!H146+'Расчёт'!I146*D64+0.000001&gt;='Расчёт'!G146,"OK","Падение"),"Исправить ввод")</x:f>
        <x:v>OK</x:v>
      </x:c>
      <x:c r="K64" s="24" t="str">
        <x:f>IF('Расчёт'!S146=1,IF(AND(E64&gt;0,H64="OK",I64="OK",J64="OK"),"Проходит","Не проходит"),"Исправить ввод")</x:f>
        <x:v>Проходит</x:v>
      </x:c>
      <x:c r="L64" s="1" t="str">
        <x:v>Штрафы — допущение; эффект — расчёт</x:v>
      </x:c>
    </x:row>
    <x:row r="65" ht="24" customHeight="1">
      <x:c r="A65" s="1" t="str">
        <x:v>H6.2</x:v>
      </x:c>
      <x:c r="B65" s="8" t="n">
        <x:v>0.5</x:v>
      </x:c>
      <x:c r="C65" s="8" t="n">
        <x:v>0</x:v>
      </x:c>
      <x:c r="D65" s="8">
        <x:f>(1-B65)*(1-C65)</x:f>
        <x:v>0.5</x:v>
      </x:c>
      <x:c r="E65" s="12">
        <x:f>IF('Расчёт'!S146=1,'Расчёт'!E146+'Расчёт'!F146*D65-'Расчёт'!B146,"Исправить ввод")</x:f>
        <x:v>7337.9332943242043</x:v>
      </x:c>
      <x:c r="F65" s="16">
        <x:f>IF('Расчёт'!S146=1,E65/'Параметры'!$B$8*100,"Исправить ввод")</x:f>
        <x:v>0.016677121123464103</x:v>
      </x:c>
      <x:c r="G65" s="8">
        <x:f>IF('Расчёт'!S146=1,IF('Расчёт'!B146=0,"n.a.",E65/'Расчёт'!B146),"Исправить ввод")</x:f>
        <x:v>0.0011118080748976069</x:v>
      </x:c>
      <x:c r="H65" s="24" t="str">
        <x:f>IF('Расчёт'!S146=1,IF('Расчёт'!K146+'Расчёт'!L146*D65+0.00000001&gt;='Расчёт'!J146,"OK","Падение"),"Исправить ввод")</x:f>
        <x:v>OK</x:v>
      </x:c>
      <x:c r="I65" s="24" t="str">
        <x:f>IF('Расчёт'!S146=1,IF('Расчёт'!N146+'Расчёт'!O146*D65+0.00000001&gt;='Расчёт'!M146,"OK","Падение"),"Исправить ввод")</x:f>
        <x:v>OK</x:v>
      </x:c>
      <x:c r="J65" s="24" t="str">
        <x:f>IF('Расчёт'!S146=1,IF('Расчёт'!H146+'Расчёт'!I146*D65+0.000001&gt;='Расчёт'!G146,"OK","Падение"),"Исправить ввод")</x:f>
        <x:v>OK</x:v>
      </x:c>
      <x:c r="K65" s="24" t="str">
        <x:f>IF('Расчёт'!S146=1,IF(AND(E65&gt;0,H65="OK",I65="OK",J65="OK"),"Проходит","Не проходит"),"Исправить ввод")</x:f>
        <x:v>Проходит</x:v>
      </x:c>
      <x:c r="L65" s="1" t="str">
        <x:v>Штрафы — допущение; эффект — расчёт</x:v>
      </x:c>
    </x:row>
    <x:row r="66" ht="24" customHeight="1">
      <x:c r="A66" s="1" t="str">
        <x:v>H6.2</x:v>
      </x:c>
      <x:c r="B66" s="8" t="n">
        <x:v>0.5</x:v>
      </x:c>
      <x:c r="C66" s="8" t="n">
        <x:v>0.25</x:v>
      </x:c>
      <x:c r="D66" s="8">
        <x:f>(1-B66)*(1-C66)</x:f>
        <x:v>0.375</x:v>
      </x:c>
      <x:c r="E66" s="12">
        <x:f>IF('Расчёт'!S146=1,'Расчёт'!E146+'Расчёт'!F146*D66-'Расчёт'!B146,"Исправить ввод")</x:f>
        <x:v>5503.4499707426876</x:v>
      </x:c>
      <x:c r="F66" s="16">
        <x:f>IF('Расчёт'!S146=1,E66/'Параметры'!$B$8*100,"Исправить ввод")</x:f>
        <x:v>0.012507840842597016</x:v>
      </x:c>
      <x:c r="G66" s="8">
        <x:f>IF('Расчёт'!S146=1,IF('Расчёт'!B146=0,"n.a.",E66/'Расчёт'!B146),"Исправить ввод")</x:f>
        <x:v>0.00083385605617313473</x:v>
      </x:c>
      <x:c r="H66" s="24" t="str">
        <x:f>IF('Расчёт'!S146=1,IF('Расчёт'!K146+'Расчёт'!L146*D66+0.00000001&gt;='Расчёт'!J146,"OK","Падение"),"Исправить ввод")</x:f>
        <x:v>OK</x:v>
      </x:c>
      <x:c r="I66" s="24" t="str">
        <x:f>IF('Расчёт'!S146=1,IF('Расчёт'!N146+'Расчёт'!O146*D66+0.00000001&gt;='Расчёт'!M146,"OK","Падение"),"Исправить ввод")</x:f>
        <x:v>OK</x:v>
      </x:c>
      <x:c r="J66" s="24" t="str">
        <x:f>IF('Расчёт'!S146=1,IF('Расчёт'!H146+'Расчёт'!I146*D66+0.000001&gt;='Расчёт'!G146,"OK","Падение"),"Исправить ввод")</x:f>
        <x:v>OK</x:v>
      </x:c>
      <x:c r="K66" s="24" t="str">
        <x:f>IF('Расчёт'!S146=1,IF(AND(E66&gt;0,H66="OK",I66="OK",J66="OK"),"Проходит","Не проходит"),"Исправить ввод")</x:f>
        <x:v>Проходит</x:v>
      </x:c>
      <x:c r="L66" s="1" t="str">
        <x:v>Штрафы — допущение; эффект — расчёт</x:v>
      </x:c>
    </x:row>
    <x:row r="67" ht="24" customHeight="1">
      <x:c r="A67" s="1" t="str">
        <x:v>H6.2</x:v>
      </x:c>
      <x:c r="B67" s="8" t="n">
        <x:v>0.5</x:v>
      </x:c>
      <x:c r="C67" s="8" t="n">
        <x:v>0.5</x:v>
      </x:c>
      <x:c r="D67" s="8">
        <x:f>(1-B67)*(1-C67)</x:f>
        <x:v>0.25</x:v>
      </x:c>
      <x:c r="E67" s="12">
        <x:f>IF('Расчёт'!S146=1,'Расчёт'!E146+'Расчёт'!F146*D67-'Расчёт'!B146,"Исправить ввод")</x:f>
        <x:v>3668.9666471621022</x:v>
      </x:c>
      <x:c r="F67" s="16">
        <x:f>IF('Расчёт'!S146=1,E67/'Параметры'!$B$8*100,"Исправить ввод")</x:f>
        <x:v>0.0083385605617320516</x:v>
      </x:c>
      <x:c r="G67" s="8">
        <x:f>IF('Расчёт'!S146=1,IF('Расчёт'!B146=0,"n.a.",E67/'Расчёт'!B146),"Исправить ввод")</x:f>
        <x:v>0.00055590403744880347</x:v>
      </x:c>
      <x:c r="H67" s="24" t="str">
        <x:f>IF('Расчёт'!S146=1,IF('Расчёт'!K146+'Расчёт'!L146*D67+0.00000001&gt;='Расчёт'!J146,"OK","Падение"),"Исправить ввод")</x:f>
        <x:v>OK</x:v>
      </x:c>
      <x:c r="I67" s="24" t="str">
        <x:f>IF('Расчёт'!S146=1,IF('Расчёт'!N146+'Расчёт'!O146*D67+0.00000001&gt;='Расчёт'!M146,"OK","Падение"),"Исправить ввод")</x:f>
        <x:v>OK</x:v>
      </x:c>
      <x:c r="J67" s="24" t="str">
        <x:f>IF('Расчёт'!S146=1,IF('Расчёт'!H146+'Расчёт'!I146*D67+0.000001&gt;='Расчёт'!G146,"OK","Падение"),"Исправить ввод")</x:f>
        <x:v>OK</x:v>
      </x:c>
      <x:c r="K67" s="24" t="str">
        <x:f>IF('Расчёт'!S146=1,IF(AND(E67&gt;0,H67="OK",I67="OK",J67="OK"),"Проходит","Не проходит"),"Исправить ввод")</x:f>
        <x:v>Проходит</x:v>
      </x:c>
      <x:c r="L67" s="1" t="str">
        <x:v>Штрафы — допущение; эффект — расчёт</x:v>
      </x:c>
    </x:row>
    <x:row r="68" ht="24" customHeight="1">
      <x:c r="A68" s="1" t="str">
        <x:v>H6.3</x:v>
      </x:c>
      <x:c r="B68" s="8" t="n">
        <x:v>0</x:v>
      </x:c>
      <x:c r="C68" s="8" t="n">
        <x:v>0</x:v>
      </x:c>
      <x:c r="D68" s="8">
        <x:f>(1-B68)*(1-C68)</x:f>
        <x:v>1</x:v>
      </x:c>
      <x:c r="E68" s="12">
        <x:f>IF('Расчёт'!S147=1,'Расчёт'!E147+'Расчёт'!F147*D68-'Расчёт'!B147,"Исправить ввод")</x:f>
        <x:v>14675.866588648409</x:v>
      </x:c>
      <x:c r="F68" s="16">
        <x:f>IF('Расчёт'!S147=1,E68/'Параметры'!$B$8*100,"Исправить ввод")</x:f>
        <x:v>0.033354242246928206</x:v>
      </x:c>
      <x:c r="G68" s="8">
        <x:f>IF('Расчёт'!S147=1,IF('Расчёт'!B147=0,"n.a.",E68/'Расчёт'!B147),"Исправить ввод")</x:f>
        <x:v>0.0022236161497952139</x:v>
      </x:c>
      <x:c r="H68" s="24" t="str">
        <x:f>IF('Расчёт'!S147=1,IF('Расчёт'!K147+'Расчёт'!L147*D68+0.00000001&gt;='Расчёт'!J147,"OK","Падение"),"Исправить ввод")</x:f>
        <x:v>OK</x:v>
      </x:c>
      <x:c r="I68" s="24" t="str">
        <x:f>IF('Расчёт'!S147=1,IF('Расчёт'!N147+'Расчёт'!O147*D68+0.00000001&gt;='Расчёт'!M147,"OK","Падение"),"Исправить ввод")</x:f>
        <x:v>OK</x:v>
      </x:c>
      <x:c r="J68" s="24" t="str">
        <x:f>IF('Расчёт'!S147=1,IF('Расчёт'!H147+'Расчёт'!I147*D68+0.000001&gt;='Расчёт'!G147,"OK","Падение"),"Исправить ввод")</x:f>
        <x:v>OK</x:v>
      </x:c>
      <x:c r="K68" s="24" t="str">
        <x:f>IF('Расчёт'!S147=1,IF(AND(E68&gt;0,H68="OK",I68="OK",J68="OK"),"Проходит","Не проходит"),"Исправить ввод")</x:f>
        <x:v>Проходит</x:v>
      </x:c>
      <x:c r="L68" s="1" t="str">
        <x:v>Штрафы — допущение; эффект — расчёт</x:v>
      </x:c>
    </x:row>
    <x:row r="69" ht="24" customHeight="1">
      <x:c r="A69" s="1" t="str">
        <x:v>H6.3</x:v>
      </x:c>
      <x:c r="B69" s="8" t="n">
        <x:v>0</x:v>
      </x:c>
      <x:c r="C69" s="8" t="n">
        <x:v>0.25</x:v>
      </x:c>
      <x:c r="D69" s="8">
        <x:f>(1-B69)*(1-C69)</x:f>
        <x:v>0.75</x:v>
      </x:c>
      <x:c r="E69" s="12">
        <x:f>IF('Расчёт'!S147=1,'Расчёт'!E147+'Расчёт'!F147*D69-'Расчёт'!B147,"Исправить ввод")</x:f>
        <x:v>11006.899941486306</x:v>
      </x:c>
      <x:c r="F69" s="16">
        <x:f>IF('Расчёт'!S147=1,E69/'Параметры'!$B$8*100,"Исправить ввод")</x:f>
        <x:v>0.025015681685196151</x:v>
      </x:c>
      <x:c r="G69" s="8">
        <x:f>IF('Расчёт'!S147=1,IF('Расчёт'!B147=0,"n.a.",E69/'Расчёт'!B147),"Исправить ввод")</x:f>
        <x:v>0.0016677121123464106</x:v>
      </x:c>
      <x:c r="H69" s="24" t="str">
        <x:f>IF('Расчёт'!S147=1,IF('Расчёт'!K147+'Расчёт'!L147*D69+0.00000001&gt;='Расчёт'!J147,"OK","Падение"),"Исправить ввод")</x:f>
        <x:v>OK</x:v>
      </x:c>
      <x:c r="I69" s="24" t="str">
        <x:f>IF('Расчёт'!S147=1,IF('Расчёт'!N147+'Расчёт'!O147*D69+0.00000001&gt;='Расчёт'!M147,"OK","Падение"),"Исправить ввод")</x:f>
        <x:v>OK</x:v>
      </x:c>
      <x:c r="J69" s="24" t="str">
        <x:f>IF('Расчёт'!S147=1,IF('Расчёт'!H147+'Расчёт'!I147*D69+0.000001&gt;='Расчёт'!G147,"OK","Падение"),"Исправить ввод")</x:f>
        <x:v>OK</x:v>
      </x:c>
      <x:c r="K69" s="24" t="str">
        <x:f>IF('Расчёт'!S147=1,IF(AND(E69&gt;0,H69="OK",I69="OK",J69="OK"),"Проходит","Не проходит"),"Исправить ввод")</x:f>
        <x:v>Проходит</x:v>
      </x:c>
      <x:c r="L69" s="1" t="str">
        <x:v>Штрафы — допущение; эффект — расчёт</x:v>
      </x:c>
    </x:row>
    <x:row r="70" ht="24" customHeight="1">
      <x:c r="A70" s="1" t="str">
        <x:v>H6.3</x:v>
      </x:c>
      <x:c r="B70" s="8" t="n">
        <x:v>0</x:v>
      </x:c>
      <x:c r="C70" s="8" t="n">
        <x:v>0.5</x:v>
      </x:c>
      <x:c r="D70" s="8">
        <x:f>(1-B70)*(1-C70)</x:f>
        <x:v>0.5</x:v>
      </x:c>
      <x:c r="E70" s="12">
        <x:f>IF('Расчёт'!S147=1,'Расчёт'!E147+'Расчёт'!F147*D70-'Расчёт'!B147,"Исправить ввод")</x:f>
        <x:v>7337.9332943242043</x:v>
      </x:c>
      <x:c r="F70" s="16">
        <x:f>IF('Расчёт'!S147=1,E70/'Параметры'!$B$8*100,"Исправить ввод")</x:f>
        <x:v>0.016677121123464103</x:v>
      </x:c>
      <x:c r="G70" s="8">
        <x:f>IF('Расчёт'!S147=1,IF('Расчёт'!B147=0,"n.a.",E70/'Расчёт'!B147),"Исправить ввод")</x:f>
        <x:v>0.0011118080748976069</x:v>
      </x:c>
      <x:c r="H70" s="24" t="str">
        <x:f>IF('Расчёт'!S147=1,IF('Расчёт'!K147+'Расчёт'!L147*D70+0.00000001&gt;='Расчёт'!J147,"OK","Падение"),"Исправить ввод")</x:f>
        <x:v>OK</x:v>
      </x:c>
      <x:c r="I70" s="24" t="str">
        <x:f>IF('Расчёт'!S147=1,IF('Расчёт'!N147+'Расчёт'!O147*D70+0.00000001&gt;='Расчёт'!M147,"OK","Падение"),"Исправить ввод")</x:f>
        <x:v>OK</x:v>
      </x:c>
      <x:c r="J70" s="24" t="str">
        <x:f>IF('Расчёт'!S147=1,IF('Расчёт'!H147+'Расчёт'!I147*D70+0.000001&gt;='Расчёт'!G147,"OK","Падение"),"Исправить ввод")</x:f>
        <x:v>OK</x:v>
      </x:c>
      <x:c r="K70" s="24" t="str">
        <x:f>IF('Расчёт'!S147=1,IF(AND(E70&gt;0,H70="OK",I70="OK",J70="OK"),"Проходит","Не проходит"),"Исправить ввод")</x:f>
        <x:v>Проходит</x:v>
      </x:c>
      <x:c r="L70" s="1" t="str">
        <x:v>Штрафы — допущение; эффект — расчёт</x:v>
      </x:c>
    </x:row>
    <x:row r="71" ht="24" customHeight="1">
      <x:c r="A71" s="1" t="str">
        <x:v>H6.3</x:v>
      </x:c>
      <x:c r="B71" s="8" t="n">
        <x:v>0.25</x:v>
      </x:c>
      <x:c r="C71" s="8" t="n">
        <x:v>0</x:v>
      </x:c>
      <x:c r="D71" s="8">
        <x:f>(1-B71)*(1-C71)</x:f>
        <x:v>0.75</x:v>
      </x:c>
      <x:c r="E71" s="12">
        <x:f>IF('Расчёт'!S147=1,'Расчёт'!E147+'Расчёт'!F147*D71-'Расчёт'!B147,"Исправить ввод")</x:f>
        <x:v>11006.899941486306</x:v>
      </x:c>
      <x:c r="F71" s="16">
        <x:f>IF('Расчёт'!S147=1,E71/'Параметры'!$B$8*100,"Исправить ввод")</x:f>
        <x:v>0.025015681685196151</x:v>
      </x:c>
      <x:c r="G71" s="8">
        <x:f>IF('Расчёт'!S147=1,IF('Расчёт'!B147=0,"n.a.",E71/'Расчёт'!B147),"Исправить ввод")</x:f>
        <x:v>0.0016677121123464106</x:v>
      </x:c>
      <x:c r="H71" s="24" t="str">
        <x:f>IF('Расчёт'!S147=1,IF('Расчёт'!K147+'Расчёт'!L147*D71+0.00000001&gt;='Расчёт'!J147,"OK","Падение"),"Исправить ввод")</x:f>
        <x:v>OK</x:v>
      </x:c>
      <x:c r="I71" s="24" t="str">
        <x:f>IF('Расчёт'!S147=1,IF('Расчёт'!N147+'Расчёт'!O147*D71+0.00000001&gt;='Расчёт'!M147,"OK","Падение"),"Исправить ввод")</x:f>
        <x:v>OK</x:v>
      </x:c>
      <x:c r="J71" s="24" t="str">
        <x:f>IF('Расчёт'!S147=1,IF('Расчёт'!H147+'Расчёт'!I147*D71+0.000001&gt;='Расчёт'!G147,"OK","Падение"),"Исправить ввод")</x:f>
        <x:v>OK</x:v>
      </x:c>
      <x:c r="K71" s="24" t="str">
        <x:f>IF('Расчёт'!S147=1,IF(AND(E71&gt;0,H71="OK",I71="OK",J71="OK"),"Проходит","Не проходит"),"Исправить ввод")</x:f>
        <x:v>Проходит</x:v>
      </x:c>
      <x:c r="L71" s="1" t="str">
        <x:v>Штрафы — допущение; эффект — расчёт</x:v>
      </x:c>
    </x:row>
    <x:row r="72" ht="24" customHeight="1">
      <x:c r="A72" s="1" t="str">
        <x:v>H6.3</x:v>
      </x:c>
      <x:c r="B72" s="8" t="n">
        <x:v>0.25</x:v>
      </x:c>
      <x:c r="C72" s="8" t="n">
        <x:v>0.25</x:v>
      </x:c>
      <x:c r="D72" s="8">
        <x:f>(1-B72)*(1-C72)</x:f>
        <x:v>0.5625</x:v>
      </x:c>
      <x:c r="E72" s="12">
        <x:f>IF('Расчёт'!S147=1,'Расчёт'!E147+'Расчёт'!F147*D72-'Расчёт'!B147,"Исправить ввод")</x:f>
        <x:v>8255.1749561149627</x:v>
      </x:c>
      <x:c r="F72" s="16">
        <x:f>IF('Расчёт'!S147=1,E72/'Параметры'!$B$8*100,"Исправить ввод")</x:f>
        <x:v>0.018761761263897642</x:v>
      </x:c>
      <x:c r="G72" s="8">
        <x:f>IF('Расчёт'!S147=1,IF('Расчёт'!B147=0,"n.a.",E72/'Расчёт'!B147),"Исправить ввод")</x:f>
        <x:v>0.0012507840842598433</x:v>
      </x:c>
      <x:c r="H72" s="24" t="str">
        <x:f>IF('Расчёт'!S147=1,IF('Расчёт'!K147+'Расчёт'!L147*D72+0.00000001&gt;='Расчёт'!J147,"OK","Падение"),"Исправить ввод")</x:f>
        <x:v>OK</x:v>
      </x:c>
      <x:c r="I72" s="24" t="str">
        <x:f>IF('Расчёт'!S147=1,IF('Расчёт'!N147+'Расчёт'!O147*D72+0.00000001&gt;='Расчёт'!M147,"OK","Падение"),"Исправить ввод")</x:f>
        <x:v>OK</x:v>
      </x:c>
      <x:c r="J72" s="24" t="str">
        <x:f>IF('Расчёт'!S147=1,IF('Расчёт'!H147+'Расчёт'!I147*D72+0.000001&gt;='Расчёт'!G147,"OK","Падение"),"Исправить ввод")</x:f>
        <x:v>OK</x:v>
      </x:c>
      <x:c r="K72" s="24" t="str">
        <x:f>IF('Расчёт'!S147=1,IF(AND(E72&gt;0,H72="OK",I72="OK",J72="OK"),"Проходит","Не проходит"),"Исправить ввод")</x:f>
        <x:v>Проходит</x:v>
      </x:c>
      <x:c r="L72" s="1" t="str">
        <x:v>Штрафы — допущение; эффект — расчёт</x:v>
      </x:c>
    </x:row>
    <x:row r="73" ht="24" customHeight="1">
      <x:c r="A73" s="1" t="str">
        <x:v>H6.3</x:v>
      </x:c>
      <x:c r="B73" s="8" t="n">
        <x:v>0.25</x:v>
      </x:c>
      <x:c r="C73" s="8" t="n">
        <x:v>0.5</x:v>
      </x:c>
      <x:c r="D73" s="8">
        <x:f>(1-B73)*(1-C73)</x:f>
        <x:v>0.375</x:v>
      </x:c>
      <x:c r="E73" s="12">
        <x:f>IF('Расчёт'!S147=1,'Расчёт'!E147+'Расчёт'!F147*D73-'Расчёт'!B147,"Исправить ввод")</x:f>
        <x:v>5503.4499707426876</x:v>
      </x:c>
      <x:c r="F73" s="16">
        <x:f>IF('Расчёт'!S147=1,E73/'Параметры'!$B$8*100,"Исправить ввод")</x:f>
        <x:v>0.012507840842597016</x:v>
      </x:c>
      <x:c r="G73" s="8">
        <x:f>IF('Расчёт'!S147=1,IF('Расчёт'!B147=0,"n.a.",E73/'Расчёт'!B147),"Исправить ввод")</x:f>
        <x:v>0.00083385605617313473</x:v>
      </x:c>
      <x:c r="H73" s="24" t="str">
        <x:f>IF('Расчёт'!S147=1,IF('Расчёт'!K147+'Расчёт'!L147*D73+0.00000001&gt;='Расчёт'!J147,"OK","Падение"),"Исправить ввод")</x:f>
        <x:v>OK</x:v>
      </x:c>
      <x:c r="I73" s="24" t="str">
        <x:f>IF('Расчёт'!S147=1,IF('Расчёт'!N147+'Расчёт'!O147*D73+0.00000001&gt;='Расчёт'!M147,"OK","Падение"),"Исправить ввод")</x:f>
        <x:v>OK</x:v>
      </x:c>
      <x:c r="J73" s="24" t="str">
        <x:f>IF('Расчёт'!S147=1,IF('Расчёт'!H147+'Расчёт'!I147*D73+0.000001&gt;='Расчёт'!G147,"OK","Падение"),"Исправить ввод")</x:f>
        <x:v>OK</x:v>
      </x:c>
      <x:c r="K73" s="24" t="str">
        <x:f>IF('Расчёт'!S147=1,IF(AND(E73&gt;0,H73="OK",I73="OK",J73="OK"),"Проходит","Не проходит"),"Исправить ввод")</x:f>
        <x:v>Проходит</x:v>
      </x:c>
      <x:c r="L73" s="1" t="str">
        <x:v>Штрафы — допущение; эффект — расчёт</x:v>
      </x:c>
    </x:row>
    <x:row r="74" ht="24" customHeight="1">
      <x:c r="A74" s="1" t="str">
        <x:v>H6.3</x:v>
      </x:c>
      <x:c r="B74" s="8" t="n">
        <x:v>0.5</x:v>
      </x:c>
      <x:c r="C74" s="8" t="n">
        <x:v>0</x:v>
      </x:c>
      <x:c r="D74" s="8">
        <x:f>(1-B74)*(1-C74)</x:f>
        <x:v>0.5</x:v>
      </x:c>
      <x:c r="E74" s="12">
        <x:f>IF('Расчёт'!S147=1,'Расчёт'!E147+'Расчёт'!F147*D74-'Расчёт'!B147,"Исправить ввод")</x:f>
        <x:v>7337.9332943242043</x:v>
      </x:c>
      <x:c r="F74" s="16">
        <x:f>IF('Расчёт'!S147=1,E74/'Параметры'!$B$8*100,"Исправить ввод")</x:f>
        <x:v>0.016677121123464103</x:v>
      </x:c>
      <x:c r="G74" s="8">
        <x:f>IF('Расчёт'!S147=1,IF('Расчёт'!B147=0,"n.a.",E74/'Расчёт'!B147),"Исправить ввод")</x:f>
        <x:v>0.0011118080748976069</x:v>
      </x:c>
      <x:c r="H74" s="24" t="str">
        <x:f>IF('Расчёт'!S147=1,IF('Расчёт'!K147+'Расчёт'!L147*D74+0.00000001&gt;='Расчёт'!J147,"OK","Падение"),"Исправить ввод")</x:f>
        <x:v>OK</x:v>
      </x:c>
      <x:c r="I74" s="24" t="str">
        <x:f>IF('Расчёт'!S147=1,IF('Расчёт'!N147+'Расчёт'!O147*D74+0.00000001&gt;='Расчёт'!M147,"OK","Падение"),"Исправить ввод")</x:f>
        <x:v>OK</x:v>
      </x:c>
      <x:c r="J74" s="24" t="str">
        <x:f>IF('Расчёт'!S147=1,IF('Расчёт'!H147+'Расчёт'!I147*D74+0.000001&gt;='Расчёт'!G147,"OK","Падение"),"Исправить ввод")</x:f>
        <x:v>OK</x:v>
      </x:c>
      <x:c r="K74" s="24" t="str">
        <x:f>IF('Расчёт'!S147=1,IF(AND(E74&gt;0,H74="OK",I74="OK",J74="OK"),"Проходит","Не проходит"),"Исправить ввод")</x:f>
        <x:v>Проходит</x:v>
      </x:c>
      <x:c r="L74" s="1" t="str">
        <x:v>Штрафы — допущение; эффект — расчёт</x:v>
      </x:c>
    </x:row>
    <x:row r="75" ht="24" customHeight="1">
      <x:c r="A75" s="1" t="str">
        <x:v>H6.3</x:v>
      </x:c>
      <x:c r="B75" s="8" t="n">
        <x:v>0.5</x:v>
      </x:c>
      <x:c r="C75" s="8" t="n">
        <x:v>0.25</x:v>
      </x:c>
      <x:c r="D75" s="8">
        <x:f>(1-B75)*(1-C75)</x:f>
        <x:v>0.375</x:v>
      </x:c>
      <x:c r="E75" s="12">
        <x:f>IF('Расчёт'!S147=1,'Расчёт'!E147+'Расчёт'!F147*D75-'Расчёт'!B147,"Исправить ввод")</x:f>
        <x:v>5503.4499707426876</x:v>
      </x:c>
      <x:c r="F75" s="16">
        <x:f>IF('Расчёт'!S147=1,E75/'Параметры'!$B$8*100,"Исправить ввод")</x:f>
        <x:v>0.012507840842597016</x:v>
      </x:c>
      <x:c r="G75" s="8">
        <x:f>IF('Расчёт'!S147=1,IF('Расчёт'!B147=0,"n.a.",E75/'Расчёт'!B147),"Исправить ввод")</x:f>
        <x:v>0.00083385605617313473</x:v>
      </x:c>
      <x:c r="H75" s="24" t="str">
        <x:f>IF('Расчёт'!S147=1,IF('Расчёт'!K147+'Расчёт'!L147*D75+0.00000001&gt;='Расчёт'!J147,"OK","Падение"),"Исправить ввод")</x:f>
        <x:v>OK</x:v>
      </x:c>
      <x:c r="I75" s="24" t="str">
        <x:f>IF('Расчёт'!S147=1,IF('Расчёт'!N147+'Расчёт'!O147*D75+0.00000001&gt;='Расчёт'!M147,"OK","Падение"),"Исправить ввод")</x:f>
        <x:v>OK</x:v>
      </x:c>
      <x:c r="J75" s="24" t="str">
        <x:f>IF('Расчёт'!S147=1,IF('Расчёт'!H147+'Расчёт'!I147*D75+0.000001&gt;='Расчёт'!G147,"OK","Падение"),"Исправить ввод")</x:f>
        <x:v>OK</x:v>
      </x:c>
      <x:c r="K75" s="24" t="str">
        <x:f>IF('Расчёт'!S147=1,IF(AND(E75&gt;0,H75="OK",I75="OK",J75="OK"),"Проходит","Не проходит"),"Исправить ввод")</x:f>
        <x:v>Проходит</x:v>
      </x:c>
      <x:c r="L75" s="1" t="str">
        <x:v>Штрафы — допущение; эффект — расчёт</x:v>
      </x:c>
    </x:row>
    <x:row r="76" ht="24" customHeight="1">
      <x:c r="A76" s="1" t="str">
        <x:v>H6.3</x:v>
      </x:c>
      <x:c r="B76" s="8" t="n">
        <x:v>0.5</x:v>
      </x:c>
      <x:c r="C76" s="8" t="n">
        <x:v>0.5</x:v>
      </x:c>
      <x:c r="D76" s="8">
        <x:f>(1-B76)*(1-C76)</x:f>
        <x:v>0.25</x:v>
      </x:c>
      <x:c r="E76" s="12">
        <x:f>IF('Расчёт'!S147=1,'Расчёт'!E147+'Расчёт'!F147*D76-'Расчёт'!B147,"Исправить ввод")</x:f>
        <x:v>3668.9666471621022</x:v>
      </x:c>
      <x:c r="F76" s="16">
        <x:f>IF('Расчёт'!S147=1,E76/'Параметры'!$B$8*100,"Исправить ввод")</x:f>
        <x:v>0.0083385605617320516</x:v>
      </x:c>
      <x:c r="G76" s="8">
        <x:f>IF('Расчёт'!S147=1,IF('Расчёт'!B147=0,"n.a.",E76/'Расчёт'!B147),"Исправить ввод")</x:f>
        <x:v>0.00055590403744880347</x:v>
      </x:c>
      <x:c r="H76" s="24" t="str">
        <x:f>IF('Расчёт'!S147=1,IF('Расчёт'!K147+'Расчёт'!L147*D76+0.00000001&gt;='Расчёт'!J147,"OK","Падение"),"Исправить ввод")</x:f>
        <x:v>OK</x:v>
      </x:c>
      <x:c r="I76" s="24" t="str">
        <x:f>IF('Расчёт'!S147=1,IF('Расчёт'!N147+'Расчёт'!O147*D76+0.00000001&gt;='Расчёт'!M147,"OK","Падение"),"Исправить ввод")</x:f>
        <x:v>OK</x:v>
      </x:c>
      <x:c r="J76" s="24" t="str">
        <x:f>IF('Расчёт'!S147=1,IF('Расчёт'!H147+'Расчёт'!I147*D76+0.000001&gt;='Расчёт'!G147,"OK","Падение"),"Исправить ввод")</x:f>
        <x:v>OK</x:v>
      </x:c>
      <x:c r="K76" s="24" t="str">
        <x:f>IF('Расчёт'!S147=1,IF(AND(E76&gt;0,H76="OK",I76="OK",J76="OK"),"Проходит","Не проходит"),"Исправить ввод")</x:f>
        <x:v>Проходит</x:v>
      </x:c>
      <x:c r="L76" s="1" t="str">
        <x:v>Штрафы — допущение; эффект — расчёт</x:v>
      </x:c>
    </x:row>
    <x:row r="77" ht="24" customHeight="1">
      <x:c r="A77" s="1"/>
      <x:c r="B77" s="1"/>
      <x:c r="C77" s="1"/>
      <x:c r="D77" s="1"/>
      <x:c r="E77" s="1"/>
      <x:c r="F77" s="1"/>
      <x:c r="G77" s="1"/>
      <x:c r="H77" s="1"/>
      <x:c r="I77" s="1"/>
      <x:c r="J77" s="1"/>
      <x:c r="K77" s="1"/>
      <x:c r="L77" s="1"/>
    </x:row>
    <x:row r="78" ht="24" customHeight="1">
      <x:c r="A78" s="1"/>
      <x:c r="B78" s="1"/>
      <x:c r="C78" s="1"/>
      <x:c r="D78" s="1"/>
      <x:c r="E78" s="1"/>
      <x:c r="F78" s="1"/>
      <x:c r="G78" s="1"/>
      <x:c r="H78" s="1"/>
      <x:c r="I78" s="1"/>
      <x:c r="J78" s="1"/>
      <x:c r="K78" s="1"/>
      <x:c r="L78" s="1"/>
    </x:row>
    <x:row r="79" ht="24" customHeight="1">
      <x:c r="A79" s="1" t="str">
        <x:v>0/25/50% × 0/25/50%: это независимые сценарии потерь полезного эффекта, не измеренные вероятности.</x:v>
      </x:c>
      <x:c r="B79" s="1"/>
      <x:c r="C79" s="1"/>
      <x:c r="D79" s="1"/>
      <x:c r="E79" s="1"/>
      <x:c r="F79" s="1"/>
      <x:c r="G79" s="1"/>
      <x:c r="H79" s="1"/>
      <x:c r="I79" s="1"/>
      <x:c r="J79" s="1"/>
      <x:c r="K79" s="1"/>
      <x:c r="L79" s="1"/>
    </x:row>
    <x:row r="80" ht="24" customHeight="1">
      <x:c r="A80" s="1" t="str">
        <x:v>Сначала выберите сценарий когорт. Девять строк на H пересчитываются из одной базы; это не портфель.</x:v>
      </x:c>
      <x:c r="B80" s="1"/>
      <x:c r="C80" s="1"/>
      <x:c r="D80" s="1"/>
      <x:c r="E80" s="1"/>
      <x:c r="F80" s="1"/>
      <x:c r="G80" s="1"/>
      <x:c r="H80" s="1"/>
      <x:c r="I80" s="1"/>
      <x:c r="J80" s="1"/>
      <x:c r="K80" s="1"/>
      <x:c r="L80" s="1"/>
    </x:row>
  </x:sheetData>
  <x:conditionalFormatting sqref="H5:K76">
    <x:cfRule type="containsText" dxfId="7" priority="1" operator="containsText" text="Падение"/>
    <x:cfRule type="containsText" dxfId="8" priority="2" operator="containsText" text="Не проходит"/>
  </x:conditionalFormatting>
  <x:pageMargins left="0.7" right="0.7" top="0.75" bottom="0.75" header="0.3" footer="0.3"/>
</x:worksheet>
</file>

<file path=xl/worksheets/sheet7.xml><?xml version="1.0" encoding="utf-8"?>
<x:worksheet xmlns:x="http://schemas.openxmlformats.org/spreadsheetml/2006/main">
  <x:sheetPr>
    <x:tabColor rgb="FF3A5A8D"/>
  </x:sheetPr>
  <x:sheetViews>
    <x:sheetView showGridLines="0" workbookViewId="0">
      <x:pane xSplit="2" ySplit="4" topLeftCell="C5" activePane="bottomRight" state="frozen"/>
    </x:sheetView>
  </x:sheetViews>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18" hidden="0" customWidth="1"/>
    <x:col min="15" max="15" width="18" hidden="0" customWidth="1"/>
    <x:col min="16" max="16" width="18" hidden="0" customWidth="1"/>
    <x:col min="17" max="17" width="18" hidden="0" customWidth="1"/>
    <x:col min="18" max="18" width="18" hidden="0" customWidth="1"/>
    <x:col min="19" max="19" width="18" hidden="0" customWidth="1"/>
    <x:col min="20" max="20" width="18" hidden="0" customWidth="1"/>
    <x:col min="21" max="21" width="18" hidden="0" customWidth="1"/>
    <x:col min="22" max="22" width="18" hidden="0" customWidth="1"/>
    <x:col min="23" max="23" width="18" hidden="0" customWidth="1"/>
    <x:col min="24" max="24" width="18" hidden="0" customWidth="1"/>
    <x:col min="25" max="25" width="18" hidden="0" customWidth="1"/>
    <x:col min="26" max="26" width="18" hidden="0" customWidth="1"/>
    <x:col min="27" max="27" width="18" hidden="0" customWidth="1"/>
    <x:col min="28" max="28" width="18" hidden="0" customWidth="1"/>
    <x:col min="29" max="29" width="18" hidden="0" customWidth="1"/>
    <x:col min="30" max="30" width="18" hidden="0" customWidth="1"/>
    <x:col min="31" max="31" width="18" hidden="0" customWidth="1"/>
    <x:col min="32" max="32" width="18" hidden="0" customWidth="1"/>
    <x:col min="33" max="33" width="18" hidden="0" customWidth="1"/>
    <x:col min="34" max="34" width="18" hidden="0" customWidth="1"/>
    <x:col min="35" max="35" width="18" hidden="0" customWidth="1"/>
  </x:cols>
  <x:sheetData>
    <x:row r="1" ht="24" customHeight="1">
      <x:c r="A1" s="1" t="str">
        <x:v>Сценарий</x:v>
      </x:c>
      <x:c r="B1" s="1" t="str">
        <x:f>'Итоги'!B3</x:f>
        <x:v>Корзины 40+: 30%</x:v>
      </x:c>
      <x:c r="C1" s="1"/>
      <x:c r="D1" s="1"/>
      <x:c r="E1" s="1"/>
      <x:c r="F1" s="1"/>
      <x:c r="G1" s="1"/>
      <x:c r="H1" s="1"/>
      <x:c r="I1" s="1"/>
      <x:c r="J1" s="1"/>
      <x:c r="K1" s="1"/>
      <x:c r="L1" s="1"/>
      <x:c r="M1" s="1"/>
      <x:c r="N1" s="1"/>
      <x:c r="O1" s="1"/>
      <x:c r="P1" s="1"/>
      <x:c r="Q1" s="1"/>
      <x:c r="R1" s="1"/>
      <x:c r="S1" s="1"/>
      <x:c r="T1" s="1"/>
      <x:c r="U1" s="1"/>
      <x:c r="V1" s="1"/>
      <x:c r="W1" s="1"/>
      <x:c r="X1" s="1"/>
      <x:c r="Y1" s="1"/>
      <x:c r="Z1" s="1"/>
      <x:c r="AA1" s="1"/>
      <x:c r="AB1" s="1"/>
      <x:c r="AC1" s="1"/>
      <x:c r="AD1" s="1"/>
      <x:c r="AE1" s="1"/>
      <x:c r="AF1" s="1"/>
      <x:c r="AG1" s="1"/>
      <x:c r="AH1" s="1"/>
      <x:c r="AI1" s="1"/>
    </x:row>
    <x:row r="2" ht="32" customHeight="1">
      <x:c r="A2" s="2" t="str">
        <x:v>Расчёт</x:v>
      </x:c>
      <x:c r="B2" s="1"/>
      <x:c r="C2" s="1"/>
      <x:c r="D2" s="1"/>
      <x:c r="E2" s="1"/>
      <x:c r="F2" s="1"/>
      <x:c r="G2" s="1"/>
      <x:c r="H2" s="1"/>
      <x:c r="I2" s="1"/>
      <x:c r="J2" s="1"/>
      <x:c r="K2" s="1"/>
      <x:c r="L2" s="1"/>
      <x:c r="M2" s="1"/>
      <x:c r="N2" s="1"/>
      <x:c r="O2" s="1"/>
      <x:c r="P2" s="1"/>
      <x:c r="Q2" s="1"/>
      <x:c r="R2" s="1"/>
      <x:c r="S2" s="1"/>
      <x:c r="T2" s="1"/>
      <x:c r="U2" s="1"/>
      <x:c r="V2" s="1"/>
      <x:c r="W2" s="1"/>
      <x:c r="X2" s="1"/>
      <x:c r="Y2" s="1"/>
      <x:c r="Z2" s="1"/>
      <x:c r="AA2" s="1"/>
      <x:c r="AB2" s="1"/>
      <x:c r="AC2" s="1"/>
      <x:c r="AD2" s="1"/>
      <x:c r="AE2" s="1"/>
      <x:c r="AF2" s="1"/>
      <x:c r="AG2" s="1"/>
      <x:c r="AH2" s="1"/>
      <x:c r="AI2" s="1"/>
    </x:row>
    <x:row r="3" ht="24" customHeight="1">
      <x:c r="A3" s="1"/>
      <x:c r="B3" s="1"/>
      <x:c r="C3" s="1"/>
      <x:c r="D3" s="1"/>
      <x:c r="E3" s="1"/>
      <x:c r="F3" s="1"/>
      <x:c r="G3" s="1"/>
      <x:c r="H3" s="1"/>
      <x:c r="I3" s="1"/>
      <x:c r="J3" s="1"/>
      <x:c r="K3" s="1"/>
      <x:c r="L3" s="1"/>
      <x:c r="M3" s="1"/>
      <x:c r="N3" s="1"/>
      <x:c r="O3" s="1"/>
      <x:c r="P3" s="1"/>
      <x:c r="Q3" s="1"/>
      <x:c r="R3" s="1"/>
      <x:c r="S3" s="1"/>
      <x:c r="T3" s="1"/>
      <x:c r="U3" s="1"/>
      <x:c r="V3" s="1"/>
      <x:c r="W3" s="1"/>
      <x:c r="X3" s="1"/>
      <x:c r="Y3" s="1"/>
      <x:c r="Z3" s="1"/>
      <x:c r="AA3" s="1"/>
      <x:c r="AB3" s="1"/>
      <x:c r="AC3" s="1"/>
      <x:c r="AD3" s="1"/>
      <x:c r="AE3" s="1"/>
      <x:c r="AF3" s="1"/>
      <x:c r="AG3" s="1"/>
      <x:c r="AH3" s="1"/>
      <x:c r="AI3" s="1"/>
    </x:row>
    <x:row r="4" ht="50" customHeight="1">
      <x:c r="A4" s="7" t="str">
        <x:v>H</x:v>
      </x:c>
      <x:c r="B4" s="7" t="str">
        <x:v>Когорта</x:v>
      </x:c>
      <x:c r="C4" s="7" t="str">
        <x:v>Состояние</x:v>
      </x:c>
      <x:c r="D4" s="7" t="str">
        <x:v>Есть C</x:v>
      </x:c>
      <x:c r="E4" s="7" t="str">
        <x:v>Есть F</x:v>
      </x:c>
      <x:c r="F4" s="7" t="str">
        <x:v>Людей</x:v>
      </x:c>
      <x:c r="G4" s="7" t="str">
        <x:v>CR когорты</x:v>
      </x:c>
      <x:c r="H4" s="7" t="str">
        <x:v>Вес состояния</x:v>
      </x:c>
      <x:c r="I4" s="7" t="str">
        <x:v>CR состояния</x:v>
      </x:c>
      <x:c r="J4" s="7" t="str">
        <x:v>Покупатели 0</x:v>
      </x:c>
      <x:c r="K4" s="7" t="str">
        <x:v>Цель C</x:v>
      </x:c>
      <x:c r="L4" s="7" t="str">
        <x:v>Цель F</x:v>
      </x:c>
      <x:c r="M4" s="7" t="str">
        <x:v>Пересечение</x:v>
      </x:c>
      <x:c r="N4" s="7" t="str">
        <x:v>Уникальная цель</x:v>
      </x:c>
      <x:c r="O4" s="7" t="str">
        <x:v>Грубый прирост</x:v>
      </x:c>
      <x:c r="P4" s="7" t="str">
        <x:v>Сохранение базы</x:v>
      </x:c>
      <x:c r="Q4" s="7" t="str">
        <x:v>База после потерь</x:v>
      </x:c>
      <x:c r="R4" s="7" t="str">
        <x:v>Коэф. прироста</x:v>
      </x:c>
      <x:c r="S4" s="7" t="str">
        <x:v>Сохранение uplift</x:v>
      </x:c>
      <x:c r="T4" s="7" t="str">
        <x:v>Покупатели 1</x:v>
      </x:c>
      <x:c r="U4" s="7" t="str">
        <x:v>Δ покупателей</x:v>
      </x:c>
      <x:c r="V4" s="7" t="str">
        <x:v>Доход 0</x:v>
      </x:c>
      <x:c r="W4" s="7" t="str">
        <x:v>Доход после потерь</x:v>
      </x:c>
      <x:c r="X4" s="7" t="str">
        <x:v>Коэф. дохода</x:v>
      </x:c>
      <x:c r="Y4" s="7" t="str">
        <x:v>Доход 1</x:v>
      </x:c>
      <x:c r="Z4" s="7" t="str">
        <x:v>Целевых людей</x:v>
      </x:c>
      <x:c r="AA4" s="7" t="str">
        <x:v>Покупат. C0</x:v>
      </x:c>
      <x:c r="AB4" s="7" t="str">
        <x:v>C после потерь</x:v>
      </x:c>
      <x:c r="AC4" s="7" t="str">
        <x:v>Коэф. C</x:v>
      </x:c>
      <x:c r="AD4" s="7" t="str">
        <x:v>Покупат. F0</x:v>
      </x:c>
      <x:c r="AE4" s="7" t="str">
        <x:v>F после потерь</x:v>
      </x:c>
      <x:c r="AF4" s="7" t="str">
        <x:v>Коэф. F</x:v>
      </x:c>
      <x:c r="AG4" s="7" t="str">
        <x:v>Допустимость</x:v>
      </x:c>
      <x:c r="AH4" s="1"/>
      <x:c r="AI4" s="1"/>
    </x:row>
    <x:row r="5" ht="24" customHeight="1">
      <x:c r="A5" s="1" t="str">
        <x:v>H1</x:v>
      </x:c>
      <x:c r="B5" s="1" t="str">
        <x:v>S1</x:v>
      </x:c>
      <x:c r="C5" s="1" t="str">
        <x:v>Только C</x:v>
      </x:c>
      <x:c r="D5" s="1" t="n">
        <x:v>1</x:v>
      </x:c>
      <x:c r="E5" s="1" t="n">
        <x:v>0</x:v>
      </x:c>
      <x:c r="F5" s="12">
        <x:f>'Когорты'!D5*'Когорты'!L5</x:f>
        <x:v>6726719.9999999991</x:v>
      </x:c>
      <x:c r="G5" s="8">
        <x:f>'Когорты'!F5</x:f>
        <x:v>0.23099999999999998</x:v>
      </x:c>
      <x:c r="H5" s="1">
        <x:f>'Когорты'!O5</x:f>
        <x:v>1.5</x:v>
      </x:c>
      <x:c r="I5" s="8">
        <x:f>IF('Когорты'!S5&gt;0,G5*H5/'Когорты'!S5,0)</x:f>
        <x:v>0.33791691047396133</x:v>
      </x:c>
      <x:c r="J5" s="1">
        <x:f>F5*I5</x:f>
        <x:v>2273072.440023405</x:v>
      </x:c>
      <x:c r="K5" s="8">
        <x:f>'Воздействие'!C5*D5</x:f>
        <x:v>0</x:v>
      </x:c>
      <x:c r="L5" s="8">
        <x:f>'Воздействие'!D5*E5</x:f>
        <x:v>0</x:v>
      </x:c>
      <x:c r="M5" s="8">
        <x:f>'Воздействие'!E5*D5*E5</x:f>
        <x:v>0</x:v>
      </x:c>
      <x:c r="N5" s="8">
        <x:f>K5+L5-M5</x:f>
        <x:v>0</x:v>
      </x:c>
      <x:c r="O5" s="1">
        <x:f>J5*'Параметры'!$B$10*N5</x:f>
        <x:v>0</x:v>
      </x:c>
      <x:c r="P5" s="8">
        <x:f>(1-'Воздействие'!F5*D5)*(1-'Воздействие'!G5*E5)</x:f>
        <x:v>1</x:v>
      </x:c>
      <x:c r="Q5" s="1">
        <x:f>J5*P5</x:f>
        <x:v>2273072.440023405</x:v>
      </x:c>
      <x:c r="R5" s="1">
        <x:f>O5*P5</x:f>
        <x:v>0</x:v>
      </x:c>
      <x:c r="S5" s="8">
        <x:f>(1-'Гипотезы'!D5)*(1-'Гипотезы'!E5)</x:f>
        <x:v>0.5625</x:v>
      </x:c>
      <x:c r="T5" s="12">
        <x:f>Q5+R5*S5</x:f>
        <x:v>2273072.440023405</x:v>
      </x:c>
      <x:c r="U5" s="12">
        <x:f>T5-J5</x:f>
        <x:v>0</x:v>
      </x:c>
      <x:c r="V5" s="12">
        <x:f>J5*'Когорты'!T5</x:f>
        <x:v>2273072.440023405</x:v>
      </x:c>
      <x:c r="W5" s="12">
        <x:f>Q5*'Когорты'!T5*(1+'Воздействие'!H5*N5)</x:f>
        <x:v>2273072.440023405</x:v>
      </x:c>
      <x:c r="X5" s="12">
        <x:f>R5*'Когорты'!T5*(1+'Воздействие'!H5*N5)</x:f>
        <x:v>0</x:v>
      </x:c>
      <x:c r="Y5" s="12">
        <x:f>W5+X5*S5</x:f>
        <x:v>2273072.440023405</x:v>
      </x:c>
      <x:c r="Z5" s="12">
        <x:f>F5*N5</x:f>
        <x:v>0</x:v>
      </x:c>
      <x:c r="AA5" s="12">
        <x:f>J5*D5</x:f>
        <x:v>2273072.440023405</x:v>
      </x:c>
      <x:c r="AB5" s="12">
        <x:f>Q5*D5</x:f>
        <x:v>2273072.440023405</x:v>
      </x:c>
      <x:c r="AC5" s="12">
        <x:f>R5*D5</x:f>
        <x:v>0</x:v>
      </x:c>
      <x:c r="AD5" s="12">
        <x:f>J5*E5</x:f>
        <x:v>0</x:v>
      </x:c>
      <x:c r="AE5" s="12">
        <x:f>Q5*E5</x:f>
        <x:v>0</x:v>
      </x:c>
      <x:c r="AF5" s="12">
        <x:f>R5*E5</x:f>
        <x:v>0</x:v>
      </x:c>
      <x:c r="AG5" s="1">
        <x:f>IF(AND(I5&gt;=0,I5&lt;=1,Q5+R5&lt;=F5+0.00000001,N5&gt;=0,N5&lt;=1),1,0)</x:f>
        <x:v>1</x:v>
      </x:c>
      <x:c r="AH5" s="1"/>
      <x:c r="AI5" s="1"/>
    </x:row>
    <x:row r="6" ht="24" customHeight="1">
      <x:c r="A6" s="1" t="str">
        <x:v>H1</x:v>
      </x:c>
      <x:c r="B6" s="1" t="str">
        <x:v>S1</x:v>
      </x:c>
      <x:c r="C6" s="1" t="str">
        <x:v>Только F</x:v>
      </x:c>
      <x:c r="D6" s="1" t="n">
        <x:v>0</x:v>
      </x:c>
      <x:c r="E6" s="1" t="n">
        <x:v>1</x:v>
      </x:c>
      <x:c r="F6" s="12">
        <x:f>'Когорты'!D5*'Когорты'!M5</x:f>
        <x:v>320319.99999999988</x:v>
      </x:c>
      <x:c r="G6" s="8">
        <x:f>'Когорты'!F5</x:f>
        <x:v>0.23099999999999998</x:v>
      </x:c>
      <x:c r="H6" s="1">
        <x:f>'Когорты'!P5</x:f>
        <x:v>0.20000000000000001</x:v>
      </x:c>
      <x:c r="I6" s="8">
        <x:f>IF('Когорты'!S5&gt;0,G6*H6/'Когорты'!S5,0)</x:f>
        <x:v>0.045055588063194846</x:v>
      </x:c>
      <x:c r="J6" s="1">
        <x:f>F6*I6</x:f>
        <x:v>14432.205968402568</x:v>
      </x:c>
      <x:c r="K6" s="8">
        <x:f>'Воздействие'!C5*D6</x:f>
        <x:v>0</x:v>
      </x:c>
      <x:c r="L6" s="8">
        <x:f>'Воздействие'!D5*E6</x:f>
        <x:v>0</x:v>
      </x:c>
      <x:c r="M6" s="8">
        <x:f>'Воздействие'!E5*D6*E6</x:f>
        <x:v>0</x:v>
      </x:c>
      <x:c r="N6" s="8">
        <x:f>K6+L6-M6</x:f>
        <x:v>0</x:v>
      </x:c>
      <x:c r="O6" s="1">
        <x:f>J6*'Параметры'!$B$10*N6</x:f>
        <x:v>0</x:v>
      </x:c>
      <x:c r="P6" s="8">
        <x:f>(1-'Воздействие'!F5*D6)*(1-'Воздействие'!G5*E6)</x:f>
        <x:v>1</x:v>
      </x:c>
      <x:c r="Q6" s="1">
        <x:f>J6*P6</x:f>
        <x:v>14432.205968402568</x:v>
      </x:c>
      <x:c r="R6" s="1">
        <x:f>O6*P6</x:f>
        <x:v>0</x:v>
      </x:c>
      <x:c r="S6" s="8">
        <x:f>(1-'Гипотезы'!D5)*(1-'Гипотезы'!E5)</x:f>
        <x:v>0.5625</x:v>
      </x:c>
      <x:c r="T6" s="12">
        <x:f>Q6+R6*S6</x:f>
        <x:v>14432.205968402568</x:v>
      </x:c>
      <x:c r="U6" s="12">
        <x:f>T6-J6</x:f>
        <x:v>0</x:v>
      </x:c>
      <x:c r="V6" s="12">
        <x:f>J6*'Когорты'!T5</x:f>
        <x:v>14432.205968402568</x:v>
      </x:c>
      <x:c r="W6" s="12">
        <x:f>Q6*'Когорты'!T5*(1+'Воздействие'!H5*N6)</x:f>
        <x:v>14432.205968402568</x:v>
      </x:c>
      <x:c r="X6" s="12">
        <x:f>R6*'Когорты'!T5*(1+'Воздействие'!H5*N6)</x:f>
        <x:v>0</x:v>
      </x:c>
      <x:c r="Y6" s="12">
        <x:f>W6+X6*S6</x:f>
        <x:v>14432.205968402568</x:v>
      </x:c>
      <x:c r="Z6" s="12">
        <x:f>F6*N6</x:f>
        <x:v>0</x:v>
      </x:c>
      <x:c r="AA6" s="12">
        <x:f>J6*D6</x:f>
        <x:v>0</x:v>
      </x:c>
      <x:c r="AB6" s="12">
        <x:f>Q6*D6</x:f>
        <x:v>0</x:v>
      </x:c>
      <x:c r="AC6" s="12">
        <x:f>R6*D6</x:f>
        <x:v>0</x:v>
      </x:c>
      <x:c r="AD6" s="12">
        <x:f>J6*E6</x:f>
        <x:v>14432.205968402568</x:v>
      </x:c>
      <x:c r="AE6" s="12">
        <x:f>Q6*E6</x:f>
        <x:v>14432.205968402568</x:v>
      </x:c>
      <x:c r="AF6" s="12">
        <x:f>R6*E6</x:f>
        <x:v>0</x:v>
      </x:c>
      <x:c r="AG6" s="1">
        <x:f>IF(AND(I6&gt;=0,I6&lt;=1,Q6+R6&lt;=F6+0.00000001,N6&gt;=0,N6&lt;=1),1,0)</x:f>
        <x:v>1</x:v>
      </x:c>
      <x:c r="AH6" s="1"/>
      <x:c r="AI6" s="1"/>
    </x:row>
    <x:row r="7" ht="24" customHeight="1">
      <x:c r="A7" s="1" t="str">
        <x:v>H1</x:v>
      </x:c>
      <x:c r="B7" s="1" t="str">
        <x:v>S1</x:v>
      </x:c>
      <x:c r="C7" s="1" t="str">
        <x:v>Оба</x:v>
      </x:c>
      <x:c r="D7" s="1" t="n">
        <x:v>1</x:v>
      </x:c>
      <x:c r="E7" s="1" t="n">
        <x:v>1</x:v>
      </x:c>
      <x:c r="F7" s="12">
        <x:f>'Когорты'!D5*'Когорты'!K5</x:f>
        <x:v>1281280</x:v>
      </x:c>
      <x:c r="G7" s="8">
        <x:f>'Когорты'!F5</x:f>
        <x:v>0.23099999999999998</x:v>
      </x:c>
      <x:c r="H7" s="1">
        <x:f>'Когорты'!Q5</x:f>
        <x:v>1</x:v>
      </x:c>
      <x:c r="I7" s="8">
        <x:f>IF('Когорты'!S5&gt;0,G7*H7/'Когорты'!S5,0)</x:f>
        <x:v>0.22527794031597423</x:v>
      </x:c>
      <x:c r="J7" s="1">
        <x:f>F7*I7</x:f>
        <x:v>288644.11936805147</x:v>
      </x:c>
      <x:c r="K7" s="8">
        <x:f>'Воздействие'!C5*D7</x:f>
        <x:v>0</x:v>
      </x:c>
      <x:c r="L7" s="8">
        <x:f>'Воздействие'!D5*E7</x:f>
        <x:v>0</x:v>
      </x:c>
      <x:c r="M7" s="8">
        <x:f>'Воздействие'!E5*D7*E7</x:f>
        <x:v>0</x:v>
      </x:c>
      <x:c r="N7" s="8">
        <x:f>K7+L7-M7</x:f>
        <x:v>0</x:v>
      </x:c>
      <x:c r="O7" s="1">
        <x:f>J7*'Параметры'!$B$10*N7</x:f>
        <x:v>0</x:v>
      </x:c>
      <x:c r="P7" s="8">
        <x:f>(1-'Воздействие'!F5*D7)*(1-'Воздействие'!G5*E7)</x:f>
        <x:v>1</x:v>
      </x:c>
      <x:c r="Q7" s="1">
        <x:f>J7*P7</x:f>
        <x:v>288644.11936805147</x:v>
      </x:c>
      <x:c r="R7" s="1">
        <x:f>O7*P7</x:f>
        <x:v>0</x:v>
      </x:c>
      <x:c r="S7" s="8">
        <x:f>(1-'Гипотезы'!D5)*(1-'Гипотезы'!E5)</x:f>
        <x:v>0.5625</x:v>
      </x:c>
      <x:c r="T7" s="12">
        <x:f>Q7+R7*S7</x:f>
        <x:v>288644.11936805147</x:v>
      </x:c>
      <x:c r="U7" s="12">
        <x:f>T7-J7</x:f>
        <x:v>0</x:v>
      </x:c>
      <x:c r="V7" s="12">
        <x:f>J7*'Когорты'!T5</x:f>
        <x:v>288644.11936805147</x:v>
      </x:c>
      <x:c r="W7" s="12">
        <x:f>Q7*'Когорты'!T5*(1+'Воздействие'!H5*N7)</x:f>
        <x:v>288644.11936805147</x:v>
      </x:c>
      <x:c r="X7" s="12">
        <x:f>R7*'Когорты'!T5*(1+'Воздействие'!H5*N7)</x:f>
        <x:v>0</x:v>
      </x:c>
      <x:c r="Y7" s="12">
        <x:f>W7+X7*S7</x:f>
        <x:v>288644.11936805147</x:v>
      </x:c>
      <x:c r="Z7" s="12">
        <x:f>F7*N7</x:f>
        <x:v>0</x:v>
      </x:c>
      <x:c r="AA7" s="12">
        <x:f>J7*D7</x:f>
        <x:v>288644.11936805147</x:v>
      </x:c>
      <x:c r="AB7" s="12">
        <x:f>Q7*D7</x:f>
        <x:v>288644.11936805147</x:v>
      </x:c>
      <x:c r="AC7" s="12">
        <x:f>R7*D7</x:f>
        <x:v>0</x:v>
      </x:c>
      <x:c r="AD7" s="12">
        <x:f>J7*E7</x:f>
        <x:v>288644.11936805147</x:v>
      </x:c>
      <x:c r="AE7" s="12">
        <x:f>Q7*E7</x:f>
        <x:v>288644.11936805147</x:v>
      </x:c>
      <x:c r="AF7" s="12">
        <x:f>R7*E7</x:f>
        <x:v>0</x:v>
      </x:c>
      <x:c r="AG7" s="1">
        <x:f>IF(AND(I7&gt;=0,I7&lt;=1,Q7+R7&lt;=F7+0.00000001,N7&gt;=0,N7&lt;=1),1,0)</x:f>
        <x:v>1</x:v>
      </x:c>
      <x:c r="AH7" s="1"/>
      <x:c r="AI7" s="1"/>
    </x:row>
    <x:row r="8" ht="24" customHeight="1">
      <x:c r="A8" s="1" t="str">
        <x:v>H1</x:v>
      </x:c>
      <x:c r="B8" s="1" t="str">
        <x:v>S1</x:v>
      </x:c>
      <x:c r="C8" s="1" t="str">
        <x:v>Ни один</x:v>
      </x:c>
      <x:c r="D8" s="1" t="n">
        <x:v>0</x:v>
      </x:c>
      <x:c r="E8" s="1" t="n">
        <x:v>0</x:v>
      </x:c>
      <x:c r="F8" s="12">
        <x:f>'Когорты'!D5*'Когорты'!N5</x:f>
        <x:v>3991679.9999999991</x:v>
      </x:c>
      <x:c r="G8" s="8">
        <x:f>'Когорты'!F5</x:f>
        <x:v>0.23099999999999998</x:v>
      </x:c>
      <x:c r="H8" s="1">
        <x:f>'Когорты'!R5</x:f>
        <x:v>0.29999999999999999</x:v>
      </x:c>
      <x:c r="I8" s="8">
        <x:f>IF('Когорты'!S5&gt;0,G8*H8/'Когорты'!S5,0)</x:f>
        <x:v>0.067583382094792255</x:v>
      </x:c>
      <x:c r="J8" s="1">
        <x:f>F8*I8</x:f>
        <x:v>269771.23464014026</x:v>
      </x:c>
      <x:c r="K8" s="8">
        <x:f>'Воздействие'!C5*D8</x:f>
        <x:v>0</x:v>
      </x:c>
      <x:c r="L8" s="8">
        <x:f>'Воздействие'!D5*E8</x:f>
        <x:v>0</x:v>
      </x:c>
      <x:c r="M8" s="8">
        <x:f>'Воздействие'!E5*D8*E8</x:f>
        <x:v>0</x:v>
      </x:c>
      <x:c r="N8" s="8">
        <x:f>K8+L8-M8</x:f>
        <x:v>0</x:v>
      </x:c>
      <x:c r="O8" s="1">
        <x:f>J8*'Параметры'!$B$10*N8</x:f>
        <x:v>0</x:v>
      </x:c>
      <x:c r="P8" s="8">
        <x:f>(1-'Воздействие'!F5*D8)*(1-'Воздействие'!G5*E8)</x:f>
        <x:v>1</x:v>
      </x:c>
      <x:c r="Q8" s="1">
        <x:f>J8*P8</x:f>
        <x:v>269771.23464014026</x:v>
      </x:c>
      <x:c r="R8" s="1">
        <x:f>O8*P8</x:f>
        <x:v>0</x:v>
      </x:c>
      <x:c r="S8" s="8">
        <x:f>(1-'Гипотезы'!D5)*(1-'Гипотезы'!E5)</x:f>
        <x:v>0.5625</x:v>
      </x:c>
      <x:c r="T8" s="12">
        <x:f>Q8+R8*S8</x:f>
        <x:v>269771.23464014026</x:v>
      </x:c>
      <x:c r="U8" s="12">
        <x:f>T8-J8</x:f>
        <x:v>0</x:v>
      </x:c>
      <x:c r="V8" s="12">
        <x:f>J8*'Когорты'!T5</x:f>
        <x:v>269771.23464014026</x:v>
      </x:c>
      <x:c r="W8" s="12">
        <x:f>Q8*'Когорты'!T5*(1+'Воздействие'!H5*N8)</x:f>
        <x:v>269771.23464014026</x:v>
      </x:c>
      <x:c r="X8" s="12">
        <x:f>R8*'Когорты'!T5*(1+'Воздействие'!H5*N8)</x:f>
        <x:v>0</x:v>
      </x:c>
      <x:c r="Y8" s="12">
        <x:f>W8+X8*S8</x:f>
        <x:v>269771.23464014026</x:v>
      </x:c>
      <x:c r="Z8" s="12">
        <x:f>F8*N8</x:f>
        <x:v>0</x:v>
      </x:c>
      <x:c r="AA8" s="12">
        <x:f>J8*D8</x:f>
        <x:v>0</x:v>
      </x:c>
      <x:c r="AB8" s="12">
        <x:f>Q8*D8</x:f>
        <x:v>0</x:v>
      </x:c>
      <x:c r="AC8" s="12">
        <x:f>R8*D8</x:f>
        <x:v>0</x:v>
      </x:c>
      <x:c r="AD8" s="12">
        <x:f>J8*E8</x:f>
        <x:v>0</x:v>
      </x:c>
      <x:c r="AE8" s="12">
        <x:f>Q8*E8</x:f>
        <x:v>0</x:v>
      </x:c>
      <x:c r="AF8" s="12">
        <x:f>R8*E8</x:f>
        <x:v>0</x:v>
      </x:c>
      <x:c r="AG8" s="1">
        <x:f>IF(AND(I8&gt;=0,I8&lt;=1,Q8+R8&lt;=F8+0.00000001,N8&gt;=0,N8&lt;=1),1,0)</x:f>
        <x:v>1</x:v>
      </x:c>
      <x:c r="AH8" s="1"/>
      <x:c r="AI8" s="1"/>
    </x:row>
    <x:row r="9" ht="24" customHeight="1">
      <x:c r="A9" s="1" t="str">
        <x:v>H1</x:v>
      </x:c>
      <x:c r="B9" s="1" t="str">
        <x:v>S2</x:v>
      </x:c>
      <x:c r="C9" s="1" t="str">
        <x:v>Только C</x:v>
      </x:c>
      <x:c r="D9" s="1" t="n">
        <x:v>1</x:v>
      </x:c>
      <x:c r="E9" s="1" t="n">
        <x:v>0</x:v>
      </x:c>
      <x:c r="F9" s="12">
        <x:f>'Когорты'!D6*'Когорты'!L6</x:f>
        <x:v>2882880</x:v>
      </x:c>
      <x:c r="G9" s="8">
        <x:f>'Когорты'!F6</x:f>
        <x:v>0.14099999999999999</x:v>
      </x:c>
      <x:c r="H9" s="1">
        <x:f>'Когорты'!O6</x:f>
        <x:v>1.5</x:v>
      </x:c>
      <x:c r="I9" s="8">
        <x:f>IF('Когорты'!S6&gt;0,G9*H9/'Когорты'!S6,0)</x:f>
        <x:v>0.2062609713282621</x:v>
      </x:c>
      <x:c r="J9" s="1">
        <x:f>F9*I9</x:f>
        <x:v>594625.62902282027</x:v>
      </x:c>
      <x:c r="K9" s="8">
        <x:f>'Воздействие'!C6*D9</x:f>
        <x:v>0.40000000000000002</x:v>
      </x:c>
      <x:c r="L9" s="8">
        <x:f>'Воздействие'!D6*E9</x:f>
        <x:v>0</x:v>
      </x:c>
      <x:c r="M9" s="8">
        <x:f>'Воздействие'!E6*D9*E9</x:f>
        <x:v>0</x:v>
      </x:c>
      <x:c r="N9" s="8">
        <x:f>K9+L9-M9</x:f>
        <x:v>0.40000000000000002</x:v>
      </x:c>
      <x:c r="O9" s="1">
        <x:f>J9*'Параметры'!$B$10*N9</x:f>
        <x:v>23785.025160912814</x:v>
      </x:c>
      <x:c r="P9" s="8">
        <x:f>(1-'Воздействие'!F6*D9)*(1-'Воздействие'!G6*E9)</x:f>
        <x:v>1</x:v>
      </x:c>
      <x:c r="Q9" s="1">
        <x:f>J9*P9</x:f>
        <x:v>594625.62902282027</x:v>
      </x:c>
      <x:c r="R9" s="1">
        <x:f>O9*P9</x:f>
        <x:v>23785.025160912814</x:v>
      </x:c>
      <x:c r="S9" s="8">
        <x:f>(1-'Гипотезы'!D5)*(1-'Гипотезы'!E5)</x:f>
        <x:v>0.5625</x:v>
      </x:c>
      <x:c r="T9" s="12">
        <x:f>Q9+R9*S9</x:f>
        <x:v>608004.70567583374</x:v>
      </x:c>
      <x:c r="U9" s="12">
        <x:f>T9-J9</x:f>
        <x:v>13379.076653013472</x:v>
      </x:c>
      <x:c r="V9" s="12">
        <x:f>J9*'Когорты'!T6</x:f>
        <x:v>594625.62902282027</x:v>
      </x:c>
      <x:c r="W9" s="12">
        <x:f>Q9*'Когорты'!T6*(1+'Воздействие'!H6*N9)</x:f>
        <x:v>594625.62902282027</x:v>
      </x:c>
      <x:c r="X9" s="12">
        <x:f>R9*'Когорты'!T6*(1+'Воздействие'!H6*N9)</x:f>
        <x:v>23785.025160912814</x:v>
      </x:c>
      <x:c r="Y9" s="12">
        <x:f>W9+X9*S9</x:f>
        <x:v>608004.70567583374</x:v>
      </x:c>
      <x:c r="Z9" s="12">
        <x:f>F9*N9</x:f>
        <x:v>1153152</x:v>
      </x:c>
      <x:c r="AA9" s="12">
        <x:f>J9*D9</x:f>
        <x:v>594625.62902282027</x:v>
      </x:c>
      <x:c r="AB9" s="12">
        <x:f>Q9*D9</x:f>
        <x:v>594625.62902282027</x:v>
      </x:c>
      <x:c r="AC9" s="12">
        <x:f>R9*D9</x:f>
        <x:v>23785.025160912814</x:v>
      </x:c>
      <x:c r="AD9" s="12">
        <x:f>J9*E9</x:f>
        <x:v>0</x:v>
      </x:c>
      <x:c r="AE9" s="12">
        <x:f>Q9*E9</x:f>
        <x:v>0</x:v>
      </x:c>
      <x:c r="AF9" s="12">
        <x:f>R9*E9</x:f>
        <x:v>0</x:v>
      </x:c>
      <x:c r="AG9" s="1">
        <x:f>IF(AND(I9&gt;=0,I9&lt;=1,Q9+R9&lt;=F9+0.00000001,N9&gt;=0,N9&lt;=1),1,0)</x:f>
        <x:v>1</x:v>
      </x:c>
      <x:c r="AH9" s="1"/>
      <x:c r="AI9" s="1"/>
    </x:row>
    <x:row r="10" ht="24" customHeight="1">
      <x:c r="A10" s="1" t="str">
        <x:v>H1</x:v>
      </x:c>
      <x:c r="B10" s="1" t="str">
        <x:v>S2</x:v>
      </x:c>
      <x:c r="C10" s="1" t="str">
        <x:v>Только F</x:v>
      </x:c>
      <x:c r="D10" s="1" t="n">
        <x:v>0</x:v>
      </x:c>
      <x:c r="E10" s="1" t="n">
        <x:v>1</x:v>
      </x:c>
      <x:c r="F10" s="12">
        <x:f>'Когорты'!D6*'Когорты'!M6</x:f>
        <x:v>137279.99999999997</x:v>
      </x:c>
      <x:c r="G10" s="8">
        <x:f>'Когорты'!F6</x:f>
        <x:v>0.14099999999999999</x:v>
      </x:c>
      <x:c r="H10" s="1">
        <x:f>'Когорты'!P6</x:f>
        <x:v>0.20000000000000001</x:v>
      </x:c>
      <x:c r="I10" s="8">
        <x:f>IF('Когорты'!S6&gt;0,G10*H10/'Когорты'!S6,0)</x:f>
        <x:v>0.027501462843768282</x:v>
      </x:c>
      <x:c r="J10" s="1">
        <x:f>F10*I10</x:f>
        <x:v>3775.4008191925091</x:v>
      </x:c>
      <x:c r="K10" s="8">
        <x:f>'Воздействие'!C6*D10</x:f>
        <x:v>0</x:v>
      </x:c>
      <x:c r="L10" s="8">
        <x:f>'Воздействие'!D6*E10</x:f>
        <x:v>0</x:v>
      </x:c>
      <x:c r="M10" s="8">
        <x:f>'Воздействие'!E6*D10*E10</x:f>
        <x:v>0</x:v>
      </x:c>
      <x:c r="N10" s="8">
        <x:f>K10+L10-M10</x:f>
        <x:v>0</x:v>
      </x:c>
      <x:c r="O10" s="1">
        <x:f>J10*'Параметры'!$B$10*N10</x:f>
        <x:v>0</x:v>
      </x:c>
      <x:c r="P10" s="8">
        <x:f>(1-'Воздействие'!F6*D10)*(1-'Воздействие'!G6*E10)</x:f>
        <x:v>1</x:v>
      </x:c>
      <x:c r="Q10" s="1">
        <x:f>J10*P10</x:f>
        <x:v>3775.4008191925091</x:v>
      </x:c>
      <x:c r="R10" s="1">
        <x:f>O10*P10</x:f>
        <x:v>0</x:v>
      </x:c>
      <x:c r="S10" s="8">
        <x:f>(1-'Гипотезы'!D5)*(1-'Гипотезы'!E5)</x:f>
        <x:v>0.5625</x:v>
      </x:c>
      <x:c r="T10" s="12">
        <x:f>Q10+R10*S10</x:f>
        <x:v>3775.4008191925091</x:v>
      </x:c>
      <x:c r="U10" s="12">
        <x:f>T10-J10</x:f>
        <x:v>0</x:v>
      </x:c>
      <x:c r="V10" s="12">
        <x:f>J10*'Когорты'!T6</x:f>
        <x:v>3775.4008191925091</x:v>
      </x:c>
      <x:c r="W10" s="12">
        <x:f>Q10*'Когорты'!T6*(1+'Воздействие'!H6*N10)</x:f>
        <x:v>3775.4008191925091</x:v>
      </x:c>
      <x:c r="X10" s="12">
        <x:f>R10*'Когорты'!T6*(1+'Воздействие'!H6*N10)</x:f>
        <x:v>0</x:v>
      </x:c>
      <x:c r="Y10" s="12">
        <x:f>W10+X10*S10</x:f>
        <x:v>3775.4008191925091</x:v>
      </x:c>
      <x:c r="Z10" s="12">
        <x:f>F10*N10</x:f>
        <x:v>0</x:v>
      </x:c>
      <x:c r="AA10" s="12">
        <x:f>J10*D10</x:f>
        <x:v>0</x:v>
      </x:c>
      <x:c r="AB10" s="12">
        <x:f>Q10*D10</x:f>
        <x:v>0</x:v>
      </x:c>
      <x:c r="AC10" s="12">
        <x:f>R10*D10</x:f>
        <x:v>0</x:v>
      </x:c>
      <x:c r="AD10" s="12">
        <x:f>J10*E10</x:f>
        <x:v>3775.4008191925091</x:v>
      </x:c>
      <x:c r="AE10" s="12">
        <x:f>Q10*E10</x:f>
        <x:v>3775.4008191925091</x:v>
      </x:c>
      <x:c r="AF10" s="12">
        <x:f>R10*E10</x:f>
        <x:v>0</x:v>
      </x:c>
      <x:c r="AG10" s="1">
        <x:f>IF(AND(I10&gt;=0,I10&lt;=1,Q10+R10&lt;=F10+0.00000001,N10&gt;=0,N10&lt;=1),1,0)</x:f>
        <x:v>1</x:v>
      </x:c>
      <x:c r="AH10" s="1"/>
      <x:c r="AI10" s="1"/>
    </x:row>
    <x:row r="11" ht="24" customHeight="1">
      <x:c r="A11" s="1" t="str">
        <x:v>H1</x:v>
      </x:c>
      <x:c r="B11" s="1" t="str">
        <x:v>S2</x:v>
      </x:c>
      <x:c r="C11" s="1" t="str">
        <x:v>Оба</x:v>
      </x:c>
      <x:c r="D11" s="1" t="n">
        <x:v>1</x:v>
      </x:c>
      <x:c r="E11" s="1" t="n">
        <x:v>1</x:v>
      </x:c>
      <x:c r="F11" s="12">
        <x:f>'Когорты'!D6*'Когорты'!K6</x:f>
        <x:v>549120</x:v>
      </x:c>
      <x:c r="G11" s="8">
        <x:f>'Когорты'!F6</x:f>
        <x:v>0.14099999999999999</x:v>
      </x:c>
      <x:c r="H11" s="1">
        <x:f>'Когорты'!Q6</x:f>
        <x:v>1</x:v>
      </x:c>
      <x:c r="I11" s="8">
        <x:f>IF('Когорты'!S6&gt;0,G11*H11/'Когорты'!S6,0)</x:f>
        <x:v>0.13750731421884141</x:v>
      </x:c>
      <x:c r="J11" s="1">
        <x:f>F11*I11</x:f>
        <x:v>75508.01638385019</x:v>
      </x:c>
      <x:c r="K11" s="8">
        <x:f>'Воздействие'!C6*D11</x:f>
        <x:v>0.40000000000000002</x:v>
      </x:c>
      <x:c r="L11" s="8">
        <x:f>'Воздействие'!D6*E11</x:f>
        <x:v>0</x:v>
      </x:c>
      <x:c r="M11" s="8">
        <x:f>'Воздействие'!E6*D11*E11</x:f>
        <x:v>0</x:v>
      </x:c>
      <x:c r="N11" s="8">
        <x:f>K11+L11-M11</x:f>
        <x:v>0.40000000000000002</x:v>
      </x:c>
      <x:c r="O11" s="1">
        <x:f>J11*'Параметры'!$B$10*N11</x:f>
        <x:v>3020.3206553540076</x:v>
      </x:c>
      <x:c r="P11" s="8">
        <x:f>(1-'Воздействие'!F6*D11)*(1-'Воздействие'!G6*E11)</x:f>
        <x:v>1</x:v>
      </x:c>
      <x:c r="Q11" s="1">
        <x:f>J11*P11</x:f>
        <x:v>75508.01638385019</x:v>
      </x:c>
      <x:c r="R11" s="1">
        <x:f>O11*P11</x:f>
        <x:v>3020.3206553540076</x:v>
      </x:c>
      <x:c r="S11" s="8">
        <x:f>(1-'Гипотезы'!D5)*(1-'Гипотезы'!E5)</x:f>
        <x:v>0.5625</x:v>
      </x:c>
      <x:c r="T11" s="12">
        <x:f>Q11+R11*S11</x:f>
        <x:v>77206.946752486823</x:v>
      </x:c>
      <x:c r="U11" s="12">
        <x:f>T11-J11</x:f>
        <x:v>1698.9303686366329</x:v>
      </x:c>
      <x:c r="V11" s="12">
        <x:f>J11*'Когорты'!T6</x:f>
        <x:v>75508.01638385019</x:v>
      </x:c>
      <x:c r="W11" s="12">
        <x:f>Q11*'Когорты'!T6*(1+'Воздействие'!H6*N11)</x:f>
        <x:v>75508.01638385019</x:v>
      </x:c>
      <x:c r="X11" s="12">
        <x:f>R11*'Когорты'!T6*(1+'Воздействие'!H6*N11)</x:f>
        <x:v>3020.3206553540076</x:v>
      </x:c>
      <x:c r="Y11" s="12">
        <x:f>W11+X11*S11</x:f>
        <x:v>77206.946752486823</x:v>
      </x:c>
      <x:c r="Z11" s="12">
        <x:f>F11*N11</x:f>
        <x:v>219648</x:v>
      </x:c>
      <x:c r="AA11" s="12">
        <x:f>J11*D11</x:f>
        <x:v>75508.01638385019</x:v>
      </x:c>
      <x:c r="AB11" s="12">
        <x:f>Q11*D11</x:f>
        <x:v>75508.01638385019</x:v>
      </x:c>
      <x:c r="AC11" s="12">
        <x:f>R11*D11</x:f>
        <x:v>3020.3206553540076</x:v>
      </x:c>
      <x:c r="AD11" s="12">
        <x:f>J11*E11</x:f>
        <x:v>75508.01638385019</x:v>
      </x:c>
      <x:c r="AE11" s="12">
        <x:f>Q11*E11</x:f>
        <x:v>75508.01638385019</x:v>
      </x:c>
      <x:c r="AF11" s="12">
        <x:f>R11*E11</x:f>
        <x:v>3020.3206553540076</x:v>
      </x:c>
      <x:c r="AG11" s="1">
        <x:f>IF(AND(I11&gt;=0,I11&lt;=1,Q11+R11&lt;=F11+0.00000001,N11&gt;=0,N11&lt;=1),1,0)</x:f>
        <x:v>1</x:v>
      </x:c>
      <x:c r="AH11" s="1"/>
      <x:c r="AI11" s="1"/>
    </x:row>
    <x:row r="12" ht="24" customHeight="1">
      <x:c r="A12" s="1" t="str">
        <x:v>H1</x:v>
      </x:c>
      <x:c r="B12" s="1" t="str">
        <x:v>S2</x:v>
      </x:c>
      <x:c r="C12" s="1" t="str">
        <x:v>Ни один</x:v>
      </x:c>
      <x:c r="D12" s="1" t="n">
        <x:v>0</x:v>
      </x:c>
      <x:c r="E12" s="1" t="n">
        <x:v>0</x:v>
      </x:c>
      <x:c r="F12" s="12">
        <x:f>'Когорты'!D6*'Когорты'!N6</x:f>
        <x:v>1710719.9999999998</x:v>
      </x:c>
      <x:c r="G12" s="8">
        <x:f>'Когорты'!F6</x:f>
        <x:v>0.14099999999999999</x:v>
      </x:c>
      <x:c r="H12" s="1">
        <x:f>'Когорты'!R6</x:f>
        <x:v>0.29999999999999999</x:v>
      </x:c>
      <x:c r="I12" s="8">
        <x:f>IF('Когорты'!S6&gt;0,G12*H12/'Когорты'!S6,0)</x:f>
        <x:v>0.041252194265652423</x:v>
      </x:c>
      <x:c r="J12" s="1">
        <x:f>F12*I12</x:f>
        <x:v>70570.953774136899</x:v>
      </x:c>
      <x:c r="K12" s="8">
        <x:f>'Воздействие'!C6*D12</x:f>
        <x:v>0</x:v>
      </x:c>
      <x:c r="L12" s="8">
        <x:f>'Воздействие'!D6*E12</x:f>
        <x:v>0</x:v>
      </x:c>
      <x:c r="M12" s="8">
        <x:f>'Воздействие'!E6*D12*E12</x:f>
        <x:v>0</x:v>
      </x:c>
      <x:c r="N12" s="8">
        <x:f>K12+L12-M12</x:f>
        <x:v>0</x:v>
      </x:c>
      <x:c r="O12" s="1">
        <x:f>J12*'Параметры'!$B$10*N12</x:f>
        <x:v>0</x:v>
      </x:c>
      <x:c r="P12" s="8">
        <x:f>(1-'Воздействие'!F6*D12)*(1-'Воздействие'!G6*E12)</x:f>
        <x:v>1</x:v>
      </x:c>
      <x:c r="Q12" s="1">
        <x:f>J12*P12</x:f>
        <x:v>70570.953774136899</x:v>
      </x:c>
      <x:c r="R12" s="1">
        <x:f>O12*P12</x:f>
        <x:v>0</x:v>
      </x:c>
      <x:c r="S12" s="8">
        <x:f>(1-'Гипотезы'!D5)*(1-'Гипотезы'!E5)</x:f>
        <x:v>0.5625</x:v>
      </x:c>
      <x:c r="T12" s="12">
        <x:f>Q12+R12*S12</x:f>
        <x:v>70570.953774136899</x:v>
      </x:c>
      <x:c r="U12" s="12">
        <x:f>T12-J12</x:f>
        <x:v>0</x:v>
      </x:c>
      <x:c r="V12" s="12">
        <x:f>J12*'Когорты'!T6</x:f>
        <x:v>70570.953774136899</x:v>
      </x:c>
      <x:c r="W12" s="12">
        <x:f>Q12*'Когорты'!T6*(1+'Воздействие'!H6*N12)</x:f>
        <x:v>70570.953774136899</x:v>
      </x:c>
      <x:c r="X12" s="12">
        <x:f>R12*'Когорты'!T6*(1+'Воздействие'!H6*N12)</x:f>
        <x:v>0</x:v>
      </x:c>
      <x:c r="Y12" s="12">
        <x:f>W12+X12*S12</x:f>
        <x:v>70570.953774136899</x:v>
      </x:c>
      <x:c r="Z12" s="12">
        <x:f>F12*N12</x:f>
        <x:v>0</x:v>
      </x:c>
      <x:c r="AA12" s="12">
        <x:f>J12*D12</x:f>
        <x:v>0</x:v>
      </x:c>
      <x:c r="AB12" s="12">
        <x:f>Q12*D12</x:f>
        <x:v>0</x:v>
      </x:c>
      <x:c r="AC12" s="12">
        <x:f>R12*D12</x:f>
        <x:v>0</x:v>
      </x:c>
      <x:c r="AD12" s="12">
        <x:f>J12*E12</x:f>
        <x:v>0</x:v>
      </x:c>
      <x:c r="AE12" s="12">
        <x:f>Q12*E12</x:f>
        <x:v>0</x:v>
      </x:c>
      <x:c r="AF12" s="12">
        <x:f>R12*E12</x:f>
        <x:v>0</x:v>
      </x:c>
      <x:c r="AG12" s="1">
        <x:f>IF(AND(I12&gt;=0,I12&lt;=1,Q12+R12&lt;=F12+0.00000001,N12&gt;=0,N12&lt;=1),1,0)</x:f>
        <x:v>1</x:v>
      </x:c>
      <x:c r="AH12" s="1"/>
      <x:c r="AI12" s="1"/>
    </x:row>
    <x:row r="13" ht="24" customHeight="1">
      <x:c r="A13" s="1" t="str">
        <x:v>H1</x:v>
      </x:c>
      <x:c r="B13" s="1" t="str">
        <x:v>S3</x:v>
      </x:c>
      <x:c r="C13" s="1" t="str">
        <x:v>Только C</x:v>
      </x:c>
      <x:c r="D13" s="1" t="n">
        <x:v>1</x:v>
      </x:c>
      <x:c r="E13" s="1" t="n">
        <x:v>0</x:v>
      </x:c>
      <x:c r="F13" s="12">
        <x:f>'Когорты'!D7*'Когорты'!L7</x:f>
        <x:v>4324320</x:v>
      </x:c>
      <x:c r="G13" s="8">
        <x:f>'Когорты'!F7</x:f>
        <x:v>0.05099999999999999</x:v>
      </x:c>
      <x:c r="H13" s="1">
        <x:f>'Когорты'!O7</x:f>
        <x:v>1.5</x:v>
      </x:c>
      <x:c r="I13" s="8">
        <x:f>IF('Когорты'!S7&gt;0,G13*H13/'Когорты'!S7,0)</x:f>
        <x:v>0.074605032182562883</x:v>
      </x:c>
      <x:c r="J13" s="1">
        <x:f>F13*I13</x:f>
        <x:v>322616.03276770032</x:v>
      </x:c>
      <x:c r="K13" s="8">
        <x:f>'Воздействие'!C7*D13</x:f>
        <x:v>0.40000000000000002</x:v>
      </x:c>
      <x:c r="L13" s="8">
        <x:f>'Воздействие'!D7*E13</x:f>
        <x:v>0</x:v>
      </x:c>
      <x:c r="M13" s="8">
        <x:f>'Воздействие'!E7*D13*E13</x:f>
        <x:v>0</x:v>
      </x:c>
      <x:c r="N13" s="8">
        <x:f>K13+L13-M13</x:f>
        <x:v>0.40000000000000002</x:v>
      </x:c>
      <x:c r="O13" s="1">
        <x:f>J13*'Параметры'!$B$10*N13</x:f>
        <x:v>12904.641310708015</x:v>
      </x:c>
      <x:c r="P13" s="8">
        <x:f>(1-'Воздействие'!F7*D13)*(1-'Воздействие'!G7*E13)</x:f>
        <x:v>1</x:v>
      </x:c>
      <x:c r="Q13" s="1">
        <x:f>J13*P13</x:f>
        <x:v>322616.03276770032</x:v>
      </x:c>
      <x:c r="R13" s="1">
        <x:f>O13*P13</x:f>
        <x:v>12904.641310708015</x:v>
      </x:c>
      <x:c r="S13" s="8">
        <x:f>(1-'Гипотезы'!D5)*(1-'Гипотезы'!E5)</x:f>
        <x:v>0.5625</x:v>
      </x:c>
      <x:c r="T13" s="12">
        <x:f>Q13+R13*S13</x:f>
        <x:v>329874.89350497356</x:v>
      </x:c>
      <x:c r="U13" s="12">
        <x:f>T13-J13</x:f>
        <x:v>7258.8607372732367</x:v>
      </x:c>
      <x:c r="V13" s="12">
        <x:f>J13*'Когорты'!T7</x:f>
        <x:v>322616.03276770032</x:v>
      </x:c>
      <x:c r="W13" s="12">
        <x:f>Q13*'Когорты'!T7*(1+'Воздействие'!H7*N13)</x:f>
        <x:v>322616.03276770032</x:v>
      </x:c>
      <x:c r="X13" s="12">
        <x:f>R13*'Когорты'!T7*(1+'Воздействие'!H7*N13)</x:f>
        <x:v>12904.641310708015</x:v>
      </x:c>
      <x:c r="Y13" s="12">
        <x:f>W13+X13*S13</x:f>
        <x:v>329874.89350497356</x:v>
      </x:c>
      <x:c r="Z13" s="12">
        <x:f>F13*N13</x:f>
        <x:v>1729728</x:v>
      </x:c>
      <x:c r="AA13" s="12">
        <x:f>J13*D13</x:f>
        <x:v>322616.03276770032</x:v>
      </x:c>
      <x:c r="AB13" s="12">
        <x:f>Q13*D13</x:f>
        <x:v>322616.03276770032</x:v>
      </x:c>
      <x:c r="AC13" s="12">
        <x:f>R13*D13</x:f>
        <x:v>12904.641310708015</x:v>
      </x:c>
      <x:c r="AD13" s="12">
        <x:f>J13*E13</x:f>
        <x:v>0</x:v>
      </x:c>
      <x:c r="AE13" s="12">
        <x:f>Q13*E13</x:f>
        <x:v>0</x:v>
      </x:c>
      <x:c r="AF13" s="12">
        <x:f>R13*E13</x:f>
        <x:v>0</x:v>
      </x:c>
      <x:c r="AG13" s="1">
        <x:f>IF(AND(I13&gt;=0,I13&lt;=1,Q13+R13&lt;=F13+0.00000001,N13&gt;=0,N13&lt;=1),1,0)</x:f>
        <x:v>1</x:v>
      </x:c>
      <x:c r="AH13" s="1"/>
      <x:c r="AI13" s="1"/>
    </x:row>
    <x:row r="14" ht="24" customHeight="1">
      <x:c r="A14" s="1" t="str">
        <x:v>H1</x:v>
      </x:c>
      <x:c r="B14" s="1" t="str">
        <x:v>S3</x:v>
      </x:c>
      <x:c r="C14" s="1" t="str">
        <x:v>Только F</x:v>
      </x:c>
      <x:c r="D14" s="1" t="n">
        <x:v>0</x:v>
      </x:c>
      <x:c r="E14" s="1" t="n">
        <x:v>1</x:v>
      </x:c>
      <x:c r="F14" s="12">
        <x:f>'Когорты'!D7*'Когорты'!M7</x:f>
        <x:v>205919.99999999997</x:v>
      </x:c>
      <x:c r="G14" s="8">
        <x:f>'Когорты'!F7</x:f>
        <x:v>0.05099999999999999</x:v>
      </x:c>
      <x:c r="H14" s="1">
        <x:f>'Когорты'!P7</x:f>
        <x:v>0.20000000000000001</x:v>
      </x:c>
      <x:c r="I14" s="8">
        <x:f>IF('Когорты'!S7&gt;0,G14*H14/'Когорты'!S7,0)</x:f>
        <x:v>0.0099473376243417178</x:v>
      </x:c>
      <x:c r="J14" s="1">
        <x:f>F14*I14</x:f>
        <x:v>2048.3557636044461</x:v>
      </x:c>
      <x:c r="K14" s="8">
        <x:f>'Воздействие'!C7*D14</x:f>
        <x:v>0</x:v>
      </x:c>
      <x:c r="L14" s="8">
        <x:f>'Воздействие'!D7*E14</x:f>
        <x:v>0</x:v>
      </x:c>
      <x:c r="M14" s="8">
        <x:f>'Воздействие'!E7*D14*E14</x:f>
        <x:v>0</x:v>
      </x:c>
      <x:c r="N14" s="8">
        <x:f>K14+L14-M14</x:f>
        <x:v>0</x:v>
      </x:c>
      <x:c r="O14" s="1">
        <x:f>J14*'Параметры'!$B$10*N14</x:f>
        <x:v>0</x:v>
      </x:c>
      <x:c r="P14" s="8">
        <x:f>(1-'Воздействие'!F7*D14)*(1-'Воздействие'!G7*E14)</x:f>
        <x:v>1</x:v>
      </x:c>
      <x:c r="Q14" s="1">
        <x:f>J14*P14</x:f>
        <x:v>2048.3557636044461</x:v>
      </x:c>
      <x:c r="R14" s="1">
        <x:f>O14*P14</x:f>
        <x:v>0</x:v>
      </x:c>
      <x:c r="S14" s="8">
        <x:f>(1-'Гипотезы'!D5)*(1-'Гипотезы'!E5)</x:f>
        <x:v>0.5625</x:v>
      </x:c>
      <x:c r="T14" s="12">
        <x:f>Q14+R14*S14</x:f>
        <x:v>2048.3557636044461</x:v>
      </x:c>
      <x:c r="U14" s="12">
        <x:f>T14-J14</x:f>
        <x:v>0</x:v>
      </x:c>
      <x:c r="V14" s="12">
        <x:f>J14*'Когорты'!T7</x:f>
        <x:v>2048.3557636044461</x:v>
      </x:c>
      <x:c r="W14" s="12">
        <x:f>Q14*'Когорты'!T7*(1+'Воздействие'!H7*N14)</x:f>
        <x:v>2048.3557636044461</x:v>
      </x:c>
      <x:c r="X14" s="12">
        <x:f>R14*'Когорты'!T7*(1+'Воздействие'!H7*N14)</x:f>
        <x:v>0</x:v>
      </x:c>
      <x:c r="Y14" s="12">
        <x:f>W14+X14*S14</x:f>
        <x:v>2048.3557636044461</x:v>
      </x:c>
      <x:c r="Z14" s="12">
        <x:f>F14*N14</x:f>
        <x:v>0</x:v>
      </x:c>
      <x:c r="AA14" s="12">
        <x:f>J14*D14</x:f>
        <x:v>0</x:v>
      </x:c>
      <x:c r="AB14" s="12">
        <x:f>Q14*D14</x:f>
        <x:v>0</x:v>
      </x:c>
      <x:c r="AC14" s="12">
        <x:f>R14*D14</x:f>
        <x:v>0</x:v>
      </x:c>
      <x:c r="AD14" s="12">
        <x:f>J14*E14</x:f>
        <x:v>2048.3557636044461</x:v>
      </x:c>
      <x:c r="AE14" s="12">
        <x:f>Q14*E14</x:f>
        <x:v>2048.3557636044461</x:v>
      </x:c>
      <x:c r="AF14" s="12">
        <x:f>R14*E14</x:f>
        <x:v>0</x:v>
      </x:c>
      <x:c r="AG14" s="1">
        <x:f>IF(AND(I14&gt;=0,I14&lt;=1,Q14+R14&lt;=F14+0.00000001,N14&gt;=0,N14&lt;=1),1,0)</x:f>
        <x:v>1</x:v>
      </x:c>
      <x:c r="AH14" s="1"/>
      <x:c r="AI14" s="1"/>
    </x:row>
    <x:row r="15" ht="24" customHeight="1">
      <x:c r="A15" s="1" t="str">
        <x:v>H1</x:v>
      </x:c>
      <x:c r="B15" s="1" t="str">
        <x:v>S3</x:v>
      </x:c>
      <x:c r="C15" s="1" t="str">
        <x:v>Оба</x:v>
      </x:c>
      <x:c r="D15" s="1" t="n">
        <x:v>1</x:v>
      </x:c>
      <x:c r="E15" s="1" t="n">
        <x:v>1</x:v>
      </x:c>
      <x:c r="F15" s="12">
        <x:f>'Когорты'!D7*'Когорты'!K7</x:f>
        <x:v>823680.00000000012</x:v>
      </x:c>
      <x:c r="G15" s="8">
        <x:f>'Когорты'!F7</x:f>
        <x:v>0.05099999999999999</x:v>
      </x:c>
      <x:c r="H15" s="1">
        <x:f>'Когорты'!Q7</x:f>
        <x:v>1</x:v>
      </x:c>
      <x:c r="I15" s="8">
        <x:f>IF('Когорты'!S7&gt;0,G15*H15/'Когорты'!S7,0)</x:f>
        <x:v>0.049736688121708589</x:v>
      </x:c>
      <x:c r="J15" s="1">
        <x:f>F15*I15</x:f>
        <x:v>40967.115272088937</x:v>
      </x:c>
      <x:c r="K15" s="8">
        <x:f>'Воздействие'!C7*D15</x:f>
        <x:v>0.40000000000000002</x:v>
      </x:c>
      <x:c r="L15" s="8">
        <x:f>'Воздействие'!D7*E15</x:f>
        <x:v>0</x:v>
      </x:c>
      <x:c r="M15" s="8">
        <x:f>'Воздействие'!E7*D15*E15</x:f>
        <x:v>0</x:v>
      </x:c>
      <x:c r="N15" s="8">
        <x:f>K15+L15-M15</x:f>
        <x:v>0.40000000000000002</x:v>
      </x:c>
      <x:c r="O15" s="1">
        <x:f>J15*'Параметры'!$B$10*N15</x:f>
        <x:v>1638.6846108835578</x:v>
      </x:c>
      <x:c r="P15" s="8">
        <x:f>(1-'Воздействие'!F7*D15)*(1-'Воздействие'!G7*E15)</x:f>
        <x:v>1</x:v>
      </x:c>
      <x:c r="Q15" s="1">
        <x:f>J15*P15</x:f>
        <x:v>40967.115272088937</x:v>
      </x:c>
      <x:c r="R15" s="1">
        <x:f>O15*P15</x:f>
        <x:v>1638.6846108835578</x:v>
      </x:c>
      <x:c r="S15" s="8">
        <x:f>(1-'Гипотезы'!D5)*(1-'Гипотезы'!E5)</x:f>
        <x:v>0.5625</x:v>
      </x:c>
      <x:c r="T15" s="12">
        <x:f>Q15+R15*S15</x:f>
        <x:v>41888.875365710941</x:v>
      </x:c>
      <x:c r="U15" s="12">
        <x:f>T15-J15</x:f>
        <x:v>921.76009362200421</x:v>
      </x:c>
      <x:c r="V15" s="12">
        <x:f>J15*'Когорты'!T7</x:f>
        <x:v>40967.115272088937</x:v>
      </x:c>
      <x:c r="W15" s="12">
        <x:f>Q15*'Когорты'!T7*(1+'Воздействие'!H7*N15)</x:f>
        <x:v>40967.115272088937</x:v>
      </x:c>
      <x:c r="X15" s="12">
        <x:f>R15*'Когорты'!T7*(1+'Воздействие'!H7*N15)</x:f>
        <x:v>1638.6846108835578</x:v>
      </x:c>
      <x:c r="Y15" s="12">
        <x:f>W15+X15*S15</x:f>
        <x:v>41888.875365710941</x:v>
      </x:c>
      <x:c r="Z15" s="12">
        <x:f>F15*N15</x:f>
        <x:v>329472.00000000006</x:v>
      </x:c>
      <x:c r="AA15" s="12">
        <x:f>J15*D15</x:f>
        <x:v>40967.115272088937</x:v>
      </x:c>
      <x:c r="AB15" s="12">
        <x:f>Q15*D15</x:f>
        <x:v>40967.115272088937</x:v>
      </x:c>
      <x:c r="AC15" s="12">
        <x:f>R15*D15</x:f>
        <x:v>1638.6846108835578</x:v>
      </x:c>
      <x:c r="AD15" s="12">
        <x:f>J15*E15</x:f>
        <x:v>40967.115272088937</x:v>
      </x:c>
      <x:c r="AE15" s="12">
        <x:f>Q15*E15</x:f>
        <x:v>40967.115272088937</x:v>
      </x:c>
      <x:c r="AF15" s="12">
        <x:f>R15*E15</x:f>
        <x:v>1638.6846108835578</x:v>
      </x:c>
      <x:c r="AG15" s="1">
        <x:f>IF(AND(I15&gt;=0,I15&lt;=1,Q15+R15&lt;=F15+0.00000001,N15&gt;=0,N15&lt;=1),1,0)</x:f>
        <x:v>1</x:v>
      </x:c>
      <x:c r="AH15" s="1"/>
      <x:c r="AI15" s="1"/>
    </x:row>
    <x:row r="16" ht="24" customHeight="1">
      <x:c r="A16" s="1" t="str">
        <x:v>H1</x:v>
      </x:c>
      <x:c r="B16" s="1" t="str">
        <x:v>S3</x:v>
      </x:c>
      <x:c r="C16" s="1" t="str">
        <x:v>Ни один</x:v>
      </x:c>
      <x:c r="D16" s="1" t="n">
        <x:v>0</x:v>
      </x:c>
      <x:c r="E16" s="1" t="n">
        <x:v>0</x:v>
      </x:c>
      <x:c r="F16" s="12">
        <x:f>'Когорты'!D7*'Когорты'!N7</x:f>
        <x:v>2566079.9999999995</x:v>
      </x:c>
      <x:c r="G16" s="8">
        <x:f>'Когорты'!F7</x:f>
        <x:v>0.05099999999999999</x:v>
      </x:c>
      <x:c r="H16" s="1">
        <x:f>'Когорты'!R7</x:f>
        <x:v>0.29999999999999999</x:v>
      </x:c>
      <x:c r="I16" s="8">
        <x:f>IF('Когорты'!S7&gt;0,G16*H16/'Когорты'!S7,0)</x:f>
        <x:v>0.014921006436512575</x:v>
      </x:c>
      <x:c r="J16" s="1">
        <x:f>F16*I16</x:f>
        <x:v>38288.496196606182</x:v>
      </x:c>
      <x:c r="K16" s="8">
        <x:f>'Воздействие'!C7*D16</x:f>
        <x:v>0</x:v>
      </x:c>
      <x:c r="L16" s="8">
        <x:f>'Воздействие'!D7*E16</x:f>
        <x:v>0</x:v>
      </x:c>
      <x:c r="M16" s="8">
        <x:f>'Воздействие'!E7*D16*E16</x:f>
        <x:v>0</x:v>
      </x:c>
      <x:c r="N16" s="8">
        <x:f>K16+L16-M16</x:f>
        <x:v>0</x:v>
      </x:c>
      <x:c r="O16" s="1">
        <x:f>J16*'Параметры'!$B$10*N16</x:f>
        <x:v>0</x:v>
      </x:c>
      <x:c r="P16" s="8">
        <x:f>(1-'Воздействие'!F7*D16)*(1-'Воздействие'!G7*E16)</x:f>
        <x:v>1</x:v>
      </x:c>
      <x:c r="Q16" s="1">
        <x:f>J16*P16</x:f>
        <x:v>38288.496196606182</x:v>
      </x:c>
      <x:c r="R16" s="1">
        <x:f>O16*P16</x:f>
        <x:v>0</x:v>
      </x:c>
      <x:c r="S16" s="8">
        <x:f>(1-'Гипотезы'!D5)*(1-'Гипотезы'!E5)</x:f>
        <x:v>0.5625</x:v>
      </x:c>
      <x:c r="T16" s="12">
        <x:f>Q16+R16*S16</x:f>
        <x:v>38288.496196606182</x:v>
      </x:c>
      <x:c r="U16" s="12">
        <x:f>T16-J16</x:f>
        <x:v>0</x:v>
      </x:c>
      <x:c r="V16" s="12">
        <x:f>J16*'Когорты'!T7</x:f>
        <x:v>38288.496196606182</x:v>
      </x:c>
      <x:c r="W16" s="12">
        <x:f>Q16*'Когорты'!T7*(1+'Воздействие'!H7*N16)</x:f>
        <x:v>38288.496196606182</x:v>
      </x:c>
      <x:c r="X16" s="12">
        <x:f>R16*'Когорты'!T7*(1+'Воздействие'!H7*N16)</x:f>
        <x:v>0</x:v>
      </x:c>
      <x:c r="Y16" s="12">
        <x:f>W16+X16*S16</x:f>
        <x:v>38288.496196606182</x:v>
      </x:c>
      <x:c r="Z16" s="12">
        <x:f>F16*N16</x:f>
        <x:v>0</x:v>
      </x:c>
      <x:c r="AA16" s="12">
        <x:f>J16*D16</x:f>
        <x:v>0</x:v>
      </x:c>
      <x:c r="AB16" s="12">
        <x:f>Q16*D16</x:f>
        <x:v>0</x:v>
      </x:c>
      <x:c r="AC16" s="12">
        <x:f>R16*D16</x:f>
        <x:v>0</x:v>
      </x:c>
      <x:c r="AD16" s="12">
        <x:f>J16*E16</x:f>
        <x:v>0</x:v>
      </x:c>
      <x:c r="AE16" s="12">
        <x:f>Q16*E16</x:f>
        <x:v>0</x:v>
      </x:c>
      <x:c r="AF16" s="12">
        <x:f>R16*E16</x:f>
        <x:v>0</x:v>
      </x:c>
      <x:c r="AG16" s="1">
        <x:f>IF(AND(I16&gt;=0,I16&lt;=1,Q16+R16&lt;=F16+0.00000001,N16&gt;=0,N16&lt;=1),1,0)</x:f>
        <x:v>1</x:v>
      </x:c>
      <x:c r="AH16" s="1"/>
      <x:c r="AI16" s="1"/>
    </x:row>
    <x:row r="17" ht="24" customHeight="1">
      <x:c r="A17" s="1" t="str">
        <x:v>H1</x:v>
      </x:c>
      <x:c r="B17" s="1" t="str">
        <x:v>S4</x:v>
      </x:c>
      <x:c r="C17" s="1" t="str">
        <x:v>Только C</x:v>
      </x:c>
      <x:c r="D17" s="1" t="n">
        <x:v>1</x:v>
      </x:c>
      <x:c r="E17" s="1" t="n">
        <x:v>0</x:v>
      </x:c>
      <x:c r="F17" s="12">
        <x:f>'Когорты'!D8*'Когорты'!L8</x:f>
        <x:v>10090080</x:v>
      </x:c>
      <x:c r="G17" s="8">
        <x:f>'Когорты'!F8</x:f>
        <x:v>0.14099999999999999</x:v>
      </x:c>
      <x:c r="H17" s="1">
        <x:f>'Когорты'!O8</x:f>
        <x:v>1.5</x:v>
      </x:c>
      <x:c r="I17" s="8">
        <x:f>IF('Когорты'!S8&gt;0,G17*H17/'Когорты'!S8,0)</x:f>
        <x:v>0.2062609713282621</x:v>
      </x:c>
      <x:c r="J17" s="1">
        <x:f>F17*I17</x:f>
        <x:v>2081189.7015798709</x:v>
      </x:c>
      <x:c r="K17" s="8">
        <x:f>'Воздействие'!C8*D17</x:f>
        <x:v>0</x:v>
      </x:c>
      <x:c r="L17" s="8">
        <x:f>'Воздействие'!D8*E17</x:f>
        <x:v>0</x:v>
      </x:c>
      <x:c r="M17" s="8">
        <x:f>'Воздействие'!E8*D17*E17</x:f>
        <x:v>0</x:v>
      </x:c>
      <x:c r="N17" s="8">
        <x:f>K17+L17-M17</x:f>
        <x:v>0</x:v>
      </x:c>
      <x:c r="O17" s="1">
        <x:f>J17*'Параметры'!$B$10*N17</x:f>
        <x:v>0</x:v>
      </x:c>
      <x:c r="P17" s="8">
        <x:f>(1-'Воздействие'!F8*D17)*(1-'Воздействие'!G8*E17)</x:f>
        <x:v>1</x:v>
      </x:c>
      <x:c r="Q17" s="1">
        <x:f>J17*P17</x:f>
        <x:v>2081189.7015798709</x:v>
      </x:c>
      <x:c r="R17" s="1">
        <x:f>O17*P17</x:f>
        <x:v>0</x:v>
      </x:c>
      <x:c r="S17" s="8">
        <x:f>(1-'Гипотезы'!D5)*(1-'Гипотезы'!E5)</x:f>
        <x:v>0.5625</x:v>
      </x:c>
      <x:c r="T17" s="12">
        <x:f>Q17+R17*S17</x:f>
        <x:v>2081189.7015798709</x:v>
      </x:c>
      <x:c r="U17" s="12">
        <x:f>T17-J17</x:f>
        <x:v>0</x:v>
      </x:c>
      <x:c r="V17" s="12">
        <x:f>J17*'Когорты'!T8</x:f>
        <x:v>2081189.7015798709</x:v>
      </x:c>
      <x:c r="W17" s="12">
        <x:f>Q17*'Когорты'!T8*(1+'Воздействие'!H8*N17)</x:f>
        <x:v>2081189.7015798709</x:v>
      </x:c>
      <x:c r="X17" s="12">
        <x:f>R17*'Когорты'!T8*(1+'Воздействие'!H8*N17)</x:f>
        <x:v>0</x:v>
      </x:c>
      <x:c r="Y17" s="12">
        <x:f>W17+X17*S17</x:f>
        <x:v>2081189.7015798709</x:v>
      </x:c>
      <x:c r="Z17" s="12">
        <x:f>F17*N17</x:f>
        <x:v>0</x:v>
      </x:c>
      <x:c r="AA17" s="12">
        <x:f>J17*D17</x:f>
        <x:v>2081189.7015798709</x:v>
      </x:c>
      <x:c r="AB17" s="12">
        <x:f>Q17*D17</x:f>
        <x:v>2081189.7015798709</x:v>
      </x:c>
      <x:c r="AC17" s="12">
        <x:f>R17*D17</x:f>
        <x:v>0</x:v>
      </x:c>
      <x:c r="AD17" s="12">
        <x:f>J17*E17</x:f>
        <x:v>0</x:v>
      </x:c>
      <x:c r="AE17" s="12">
        <x:f>Q17*E17</x:f>
        <x:v>0</x:v>
      </x:c>
      <x:c r="AF17" s="12">
        <x:f>R17*E17</x:f>
        <x:v>0</x:v>
      </x:c>
      <x:c r="AG17" s="1">
        <x:f>IF(AND(I17&gt;=0,I17&lt;=1,Q17+R17&lt;=F17+0.00000001,N17&gt;=0,N17&lt;=1),1,0)</x:f>
        <x:v>1</x:v>
      </x:c>
      <x:c r="AH17" s="1"/>
      <x:c r="AI17" s="1"/>
    </x:row>
    <x:row r="18" ht="24" customHeight="1">
      <x:c r="A18" s="1" t="str">
        <x:v>H1</x:v>
      </x:c>
      <x:c r="B18" s="1" t="str">
        <x:v>S4</x:v>
      </x:c>
      <x:c r="C18" s="1" t="str">
        <x:v>Только F</x:v>
      </x:c>
      <x:c r="D18" s="1" t="n">
        <x:v>0</x:v>
      </x:c>
      <x:c r="E18" s="1" t="n">
        <x:v>1</x:v>
      </x:c>
      <x:c r="F18" s="12">
        <x:f>'Когорты'!D8*'Когорты'!M8</x:f>
        <x:v>480479.99999999994</x:v>
      </x:c>
      <x:c r="G18" s="8">
        <x:f>'Когорты'!F8</x:f>
        <x:v>0.14099999999999999</x:v>
      </x:c>
      <x:c r="H18" s="1">
        <x:f>'Когорты'!P8</x:f>
        <x:v>0.20000000000000001</x:v>
      </x:c>
      <x:c r="I18" s="8">
        <x:f>IF('Когорты'!S8&gt;0,G18*H18/'Когорты'!S8,0)</x:f>
        <x:v>0.027501462843768282</x:v>
      </x:c>
      <x:c r="J18" s="1">
        <x:f>F18*I18</x:f>
        <x:v>13213.902867173783</x:v>
      </x:c>
      <x:c r="K18" s="8">
        <x:f>'Воздействие'!C8*D18</x:f>
        <x:v>0</x:v>
      </x:c>
      <x:c r="L18" s="8">
        <x:f>'Воздействие'!D8*E18</x:f>
        <x:v>0</x:v>
      </x:c>
      <x:c r="M18" s="8">
        <x:f>'Воздействие'!E8*D18*E18</x:f>
        <x:v>0</x:v>
      </x:c>
      <x:c r="N18" s="8">
        <x:f>K18+L18-M18</x:f>
        <x:v>0</x:v>
      </x:c>
      <x:c r="O18" s="1">
        <x:f>J18*'Параметры'!$B$10*N18</x:f>
        <x:v>0</x:v>
      </x:c>
      <x:c r="P18" s="8">
        <x:f>(1-'Воздействие'!F8*D18)*(1-'Воздействие'!G8*E18)</x:f>
        <x:v>1</x:v>
      </x:c>
      <x:c r="Q18" s="1">
        <x:f>J18*P18</x:f>
        <x:v>13213.902867173783</x:v>
      </x:c>
      <x:c r="R18" s="1">
        <x:f>O18*P18</x:f>
        <x:v>0</x:v>
      </x:c>
      <x:c r="S18" s="8">
        <x:f>(1-'Гипотезы'!D5)*(1-'Гипотезы'!E5)</x:f>
        <x:v>0.5625</x:v>
      </x:c>
      <x:c r="T18" s="12">
        <x:f>Q18+R18*S18</x:f>
        <x:v>13213.902867173783</x:v>
      </x:c>
      <x:c r="U18" s="12">
        <x:f>T18-J18</x:f>
        <x:v>0</x:v>
      </x:c>
      <x:c r="V18" s="12">
        <x:f>J18*'Когорты'!T8</x:f>
        <x:v>13213.902867173783</x:v>
      </x:c>
      <x:c r="W18" s="12">
        <x:f>Q18*'Когорты'!T8*(1+'Воздействие'!H8*N18)</x:f>
        <x:v>13213.902867173783</x:v>
      </x:c>
      <x:c r="X18" s="12">
        <x:f>R18*'Когорты'!T8*(1+'Воздействие'!H8*N18)</x:f>
        <x:v>0</x:v>
      </x:c>
      <x:c r="Y18" s="12">
        <x:f>W18+X18*S18</x:f>
        <x:v>13213.902867173783</x:v>
      </x:c>
      <x:c r="Z18" s="12">
        <x:f>F18*N18</x:f>
        <x:v>0</x:v>
      </x:c>
      <x:c r="AA18" s="12">
        <x:f>J18*D18</x:f>
        <x:v>0</x:v>
      </x:c>
      <x:c r="AB18" s="12">
        <x:f>Q18*D18</x:f>
        <x:v>0</x:v>
      </x:c>
      <x:c r="AC18" s="12">
        <x:f>R18*D18</x:f>
        <x:v>0</x:v>
      </x:c>
      <x:c r="AD18" s="12">
        <x:f>J18*E18</x:f>
        <x:v>13213.902867173783</x:v>
      </x:c>
      <x:c r="AE18" s="12">
        <x:f>Q18*E18</x:f>
        <x:v>13213.902867173783</x:v>
      </x:c>
      <x:c r="AF18" s="12">
        <x:f>R18*E18</x:f>
        <x:v>0</x:v>
      </x:c>
      <x:c r="AG18" s="1">
        <x:f>IF(AND(I18&gt;=0,I18&lt;=1,Q18+R18&lt;=F18+0.00000001,N18&gt;=0,N18&lt;=1),1,0)</x:f>
        <x:v>1</x:v>
      </x:c>
      <x:c r="AH18" s="1"/>
      <x:c r="AI18" s="1"/>
    </x:row>
    <x:row r="19" ht="24" customHeight="1">
      <x:c r="A19" s="1" t="str">
        <x:v>H1</x:v>
      </x:c>
      <x:c r="B19" s="1" t="str">
        <x:v>S4</x:v>
      </x:c>
      <x:c r="C19" s="1" t="str">
        <x:v>Оба</x:v>
      </x:c>
      <x:c r="D19" s="1" t="n">
        <x:v>1</x:v>
      </x:c>
      <x:c r="E19" s="1" t="n">
        <x:v>1</x:v>
      </x:c>
      <x:c r="F19" s="12">
        <x:f>'Когорты'!D8*'Когорты'!K8</x:f>
        <x:v>1921920.0000000002</x:v>
      </x:c>
      <x:c r="G19" s="8">
        <x:f>'Когорты'!F8</x:f>
        <x:v>0.14099999999999999</x:v>
      </x:c>
      <x:c r="H19" s="1">
        <x:f>'Когорты'!Q8</x:f>
        <x:v>1</x:v>
      </x:c>
      <x:c r="I19" s="8">
        <x:f>IF('Когорты'!S8&gt;0,G19*H19/'Когорты'!S8,0)</x:f>
        <x:v>0.13750731421884141</x:v>
      </x:c>
      <x:c r="J19" s="1">
        <x:f>F19*I19</x:f>
        <x:v>264278.0573434757</x:v>
      </x:c>
      <x:c r="K19" s="8">
        <x:f>'Воздействие'!C8*D19</x:f>
        <x:v>0</x:v>
      </x:c>
      <x:c r="L19" s="8">
        <x:f>'Воздействие'!D8*E19</x:f>
        <x:v>0</x:v>
      </x:c>
      <x:c r="M19" s="8">
        <x:f>'Воздействие'!E8*D19*E19</x:f>
        <x:v>0</x:v>
      </x:c>
      <x:c r="N19" s="8">
        <x:f>K19+L19-M19</x:f>
        <x:v>0</x:v>
      </x:c>
      <x:c r="O19" s="1">
        <x:f>J19*'Параметры'!$B$10*N19</x:f>
        <x:v>0</x:v>
      </x:c>
      <x:c r="P19" s="8">
        <x:f>(1-'Воздействие'!F8*D19)*(1-'Воздействие'!G8*E19)</x:f>
        <x:v>1</x:v>
      </x:c>
      <x:c r="Q19" s="1">
        <x:f>J19*P19</x:f>
        <x:v>264278.0573434757</x:v>
      </x:c>
      <x:c r="R19" s="1">
        <x:f>O19*P19</x:f>
        <x:v>0</x:v>
      </x:c>
      <x:c r="S19" s="8">
        <x:f>(1-'Гипотезы'!D5)*(1-'Гипотезы'!E5)</x:f>
        <x:v>0.5625</x:v>
      </x:c>
      <x:c r="T19" s="12">
        <x:f>Q19+R19*S19</x:f>
        <x:v>264278.0573434757</x:v>
      </x:c>
      <x:c r="U19" s="12">
        <x:f>T19-J19</x:f>
        <x:v>0</x:v>
      </x:c>
      <x:c r="V19" s="12">
        <x:f>J19*'Когорты'!T8</x:f>
        <x:v>264278.0573434757</x:v>
      </x:c>
      <x:c r="W19" s="12">
        <x:f>Q19*'Когорты'!T8*(1+'Воздействие'!H8*N19)</x:f>
        <x:v>264278.0573434757</x:v>
      </x:c>
      <x:c r="X19" s="12">
        <x:f>R19*'Когорты'!T8*(1+'Воздействие'!H8*N19)</x:f>
        <x:v>0</x:v>
      </x:c>
      <x:c r="Y19" s="12">
        <x:f>W19+X19*S19</x:f>
        <x:v>264278.0573434757</x:v>
      </x:c>
      <x:c r="Z19" s="12">
        <x:f>F19*N19</x:f>
        <x:v>0</x:v>
      </x:c>
      <x:c r="AA19" s="12">
        <x:f>J19*D19</x:f>
        <x:v>264278.0573434757</x:v>
      </x:c>
      <x:c r="AB19" s="12">
        <x:f>Q19*D19</x:f>
        <x:v>264278.0573434757</x:v>
      </x:c>
      <x:c r="AC19" s="12">
        <x:f>R19*D19</x:f>
        <x:v>0</x:v>
      </x:c>
      <x:c r="AD19" s="12">
        <x:f>J19*E19</x:f>
        <x:v>264278.0573434757</x:v>
      </x:c>
      <x:c r="AE19" s="12">
        <x:f>Q19*E19</x:f>
        <x:v>264278.0573434757</x:v>
      </x:c>
      <x:c r="AF19" s="12">
        <x:f>R19*E19</x:f>
        <x:v>0</x:v>
      </x:c>
      <x:c r="AG19" s="1">
        <x:f>IF(AND(I19&gt;=0,I19&lt;=1,Q19+R19&lt;=F19+0.00000001,N19&gt;=0,N19&lt;=1),1,0)</x:f>
        <x:v>1</x:v>
      </x:c>
      <x:c r="AH19" s="1"/>
      <x:c r="AI19" s="1"/>
    </x:row>
    <x:row r="20" ht="24" customHeight="1">
      <x:c r="A20" s="1" t="str">
        <x:v>H1</x:v>
      </x:c>
      <x:c r="B20" s="1" t="str">
        <x:v>S4</x:v>
      </x:c>
      <x:c r="C20" s="1" t="str">
        <x:v>Ни один</x:v>
      </x:c>
      <x:c r="D20" s="1" t="n">
        <x:v>0</x:v>
      </x:c>
      <x:c r="E20" s="1" t="n">
        <x:v>0</x:v>
      </x:c>
      <x:c r="F20" s="12">
        <x:f>'Когорты'!D8*'Когорты'!N8</x:f>
        <x:v>5987519.9999999991</x:v>
      </x:c>
      <x:c r="G20" s="8">
        <x:f>'Когорты'!F8</x:f>
        <x:v>0.14099999999999999</x:v>
      </x:c>
      <x:c r="H20" s="1">
        <x:f>'Когорты'!R8</x:f>
        <x:v>0.29999999999999999</x:v>
      </x:c>
      <x:c r="I20" s="8">
        <x:f>IF('Когорты'!S8&gt;0,G20*H20/'Когорты'!S8,0)</x:f>
        <x:v>0.041252194265652423</x:v>
      </x:c>
      <x:c r="J20" s="1">
        <x:f>F20*I20</x:f>
        <x:v>246998.33820947915</x:v>
      </x:c>
      <x:c r="K20" s="8">
        <x:f>'Воздействие'!C8*D20</x:f>
        <x:v>0</x:v>
      </x:c>
      <x:c r="L20" s="8">
        <x:f>'Воздействие'!D8*E20</x:f>
        <x:v>0</x:v>
      </x:c>
      <x:c r="M20" s="8">
        <x:f>'Воздействие'!E8*D20*E20</x:f>
        <x:v>0</x:v>
      </x:c>
      <x:c r="N20" s="8">
        <x:f>K20+L20-M20</x:f>
        <x:v>0</x:v>
      </x:c>
      <x:c r="O20" s="1">
        <x:f>J20*'Параметры'!$B$10*N20</x:f>
        <x:v>0</x:v>
      </x:c>
      <x:c r="P20" s="8">
        <x:f>(1-'Воздействие'!F8*D20)*(1-'Воздействие'!G8*E20)</x:f>
        <x:v>1</x:v>
      </x:c>
      <x:c r="Q20" s="1">
        <x:f>J20*P20</x:f>
        <x:v>246998.33820947915</x:v>
      </x:c>
      <x:c r="R20" s="1">
        <x:f>O20*P20</x:f>
        <x:v>0</x:v>
      </x:c>
      <x:c r="S20" s="8">
        <x:f>(1-'Гипотезы'!D5)*(1-'Гипотезы'!E5)</x:f>
        <x:v>0.5625</x:v>
      </x:c>
      <x:c r="T20" s="12">
        <x:f>Q20+R20*S20</x:f>
        <x:v>246998.33820947915</x:v>
      </x:c>
      <x:c r="U20" s="12">
        <x:f>T20-J20</x:f>
        <x:v>0</x:v>
      </x:c>
      <x:c r="V20" s="12">
        <x:f>J20*'Когорты'!T8</x:f>
        <x:v>246998.33820947915</x:v>
      </x:c>
      <x:c r="W20" s="12">
        <x:f>Q20*'Когорты'!T8*(1+'Воздействие'!H8*N20)</x:f>
        <x:v>246998.33820947915</x:v>
      </x:c>
      <x:c r="X20" s="12">
        <x:f>R20*'Когорты'!T8*(1+'Воздействие'!H8*N20)</x:f>
        <x:v>0</x:v>
      </x:c>
      <x:c r="Y20" s="12">
        <x:f>W20+X20*S20</x:f>
        <x:v>246998.33820947915</x:v>
      </x:c>
      <x:c r="Z20" s="12">
        <x:f>F20*N20</x:f>
        <x:v>0</x:v>
      </x:c>
      <x:c r="AA20" s="12">
        <x:f>J20*D20</x:f>
        <x:v>0</x:v>
      </x:c>
      <x:c r="AB20" s="12">
        <x:f>Q20*D20</x:f>
        <x:v>0</x:v>
      </x:c>
      <x:c r="AC20" s="12">
        <x:f>R20*D20</x:f>
        <x:v>0</x:v>
      </x:c>
      <x:c r="AD20" s="12">
        <x:f>J20*E20</x:f>
        <x:v>0</x:v>
      </x:c>
      <x:c r="AE20" s="12">
        <x:f>Q20*E20</x:f>
        <x:v>0</x:v>
      </x:c>
      <x:c r="AF20" s="12">
        <x:f>R20*E20</x:f>
        <x:v>0</x:v>
      </x:c>
      <x:c r="AG20" s="1">
        <x:f>IF(AND(I20&gt;=0,I20&lt;=1,Q20+R20&lt;=F20+0.00000001,N20&gt;=0,N20&lt;=1),1,0)</x:f>
        <x:v>1</x:v>
      </x:c>
      <x:c r="AH20" s="1"/>
      <x:c r="AI20" s="1"/>
    </x:row>
    <x:row r="21" ht="24" customHeight="1">
      <x:c r="A21" s="1" t="str">
        <x:v>H2</x:v>
      </x:c>
      <x:c r="B21" s="1" t="str">
        <x:v>S1</x:v>
      </x:c>
      <x:c r="C21" s="1" t="str">
        <x:v>Только C</x:v>
      </x:c>
      <x:c r="D21" s="1" t="n">
        <x:v>1</x:v>
      </x:c>
      <x:c r="E21" s="1" t="n">
        <x:v>0</x:v>
      </x:c>
      <x:c r="F21" s="12">
        <x:f>'Когорты'!D5*'Когорты'!L5</x:f>
        <x:v>6726719.9999999991</x:v>
      </x:c>
      <x:c r="G21" s="8">
        <x:f>'Когорты'!F5</x:f>
        <x:v>0.23099999999999998</x:v>
      </x:c>
      <x:c r="H21" s="1">
        <x:f>'Когорты'!O5</x:f>
        <x:v>1.5</x:v>
      </x:c>
      <x:c r="I21" s="8">
        <x:f>IF('Когорты'!S5&gt;0,G21*H21/'Когорты'!S5,0)</x:f>
        <x:v>0.33791691047396133</x:v>
      </x:c>
      <x:c r="J21" s="1">
        <x:f>F21*I21</x:f>
        <x:v>2273072.440023405</x:v>
      </x:c>
      <x:c r="K21" s="8">
        <x:f>'Воздействие'!C9*D21</x:f>
        <x:v>0.20000000000000001</x:v>
      </x:c>
      <x:c r="L21" s="8">
        <x:f>'Воздействие'!D9*E21</x:f>
        <x:v>0</x:v>
      </x:c>
      <x:c r="M21" s="8">
        <x:f>'Воздействие'!E9*D21*E21</x:f>
        <x:v>0</x:v>
      </x:c>
      <x:c r="N21" s="8">
        <x:f>K21+L21-M21</x:f>
        <x:v>0.20000000000000001</x:v>
      </x:c>
      <x:c r="O21" s="1">
        <x:f>J21*'Параметры'!$B$10*N21</x:f>
        <x:v>45461.448800468104</x:v>
      </x:c>
      <x:c r="P21" s="8">
        <x:f>(1-'Воздействие'!F9*D21)*(1-'Воздействие'!G9*E21)</x:f>
        <x:v>1</x:v>
      </x:c>
      <x:c r="Q21" s="1">
        <x:f>J21*P21</x:f>
        <x:v>2273072.440023405</x:v>
      </x:c>
      <x:c r="R21" s="1">
        <x:f>O21*P21</x:f>
        <x:v>45461.448800468104</x:v>
      </x:c>
      <x:c r="S21" s="8">
        <x:f>(1-'Гипотезы'!D6)*(1-'Гипотезы'!E6)</x:f>
        <x:v>0.5625</x:v>
      </x:c>
      <x:c r="T21" s="12">
        <x:f>Q21+R21*S21</x:f>
        <x:v>2298644.5049736681</x:v>
      </x:c>
      <x:c r="U21" s="12">
        <x:f>T21-J21</x:f>
        <x:v>25572.064950263128</x:v>
      </x:c>
      <x:c r="V21" s="12">
        <x:f>J21*'Когорты'!T5</x:f>
        <x:v>2273072.440023405</x:v>
      </x:c>
      <x:c r="W21" s="12">
        <x:f>Q21*'Когорты'!T5*(1+'Воздействие'!H9*N21)</x:f>
        <x:v>2273072.440023405</x:v>
      </x:c>
      <x:c r="X21" s="12">
        <x:f>R21*'Когорты'!T5*(1+'Воздействие'!H9*N21)</x:f>
        <x:v>45461.448800468104</x:v>
      </x:c>
      <x:c r="Y21" s="12">
        <x:f>W21+X21*S21</x:f>
        <x:v>2298644.5049736681</x:v>
      </x:c>
      <x:c r="Z21" s="12">
        <x:f>F21*N21</x:f>
        <x:v>1345344</x:v>
      </x:c>
      <x:c r="AA21" s="12">
        <x:f>J21*D21</x:f>
        <x:v>2273072.440023405</x:v>
      </x:c>
      <x:c r="AB21" s="12">
        <x:f>Q21*D21</x:f>
        <x:v>2273072.440023405</x:v>
      </x:c>
      <x:c r="AC21" s="12">
        <x:f>R21*D21</x:f>
        <x:v>45461.448800468104</x:v>
      </x:c>
      <x:c r="AD21" s="12">
        <x:f>J21*E21</x:f>
        <x:v>0</x:v>
      </x:c>
      <x:c r="AE21" s="12">
        <x:f>Q21*E21</x:f>
        <x:v>0</x:v>
      </x:c>
      <x:c r="AF21" s="12">
        <x:f>R21*E21</x:f>
        <x:v>0</x:v>
      </x:c>
      <x:c r="AG21" s="1">
        <x:f>IF(AND(I21&gt;=0,I21&lt;=1,Q21+R21&lt;=F21+0.00000001,N21&gt;=0,N21&lt;=1),1,0)</x:f>
        <x:v>1</x:v>
      </x:c>
      <x:c r="AH21" s="1"/>
      <x:c r="AI21" s="1"/>
    </x:row>
    <x:row r="22" ht="24" customHeight="1">
      <x:c r="A22" s="1" t="str">
        <x:v>H2</x:v>
      </x:c>
      <x:c r="B22" s="1" t="str">
        <x:v>S1</x:v>
      </x:c>
      <x:c r="C22" s="1" t="str">
        <x:v>Только F</x:v>
      </x:c>
      <x:c r="D22" s="1" t="n">
        <x:v>0</x:v>
      </x:c>
      <x:c r="E22" s="1" t="n">
        <x:v>1</x:v>
      </x:c>
      <x:c r="F22" s="12">
        <x:f>'Когорты'!D5*'Когорты'!M5</x:f>
        <x:v>320319.99999999988</x:v>
      </x:c>
      <x:c r="G22" s="8">
        <x:f>'Когорты'!F5</x:f>
        <x:v>0.23099999999999998</x:v>
      </x:c>
      <x:c r="H22" s="1">
        <x:f>'Когорты'!P5</x:f>
        <x:v>0.20000000000000001</x:v>
      </x:c>
      <x:c r="I22" s="8">
        <x:f>IF('Когорты'!S5&gt;0,G22*H22/'Когорты'!S5,0)</x:f>
        <x:v>0.045055588063194846</x:v>
      </x:c>
      <x:c r="J22" s="1">
        <x:f>F22*I22</x:f>
        <x:v>14432.205968402568</x:v>
      </x:c>
      <x:c r="K22" s="8">
        <x:f>'Воздействие'!C9*D22</x:f>
        <x:v>0</x:v>
      </x:c>
      <x:c r="L22" s="8">
        <x:f>'Воздействие'!D9*E22</x:f>
        <x:v>0.25</x:v>
      </x:c>
      <x:c r="M22" s="8">
        <x:f>'Воздействие'!E9*D22*E22</x:f>
        <x:v>0</x:v>
      </x:c>
      <x:c r="N22" s="8">
        <x:f>K22+L22-M22</x:f>
        <x:v>0.25</x:v>
      </x:c>
      <x:c r="O22" s="1">
        <x:f>J22*'Параметры'!$B$10*N22</x:f>
        <x:v>360.8051492100642</x:v>
      </x:c>
      <x:c r="P22" s="8">
        <x:f>(1-'Воздействие'!F9*D22)*(1-'Воздействие'!G9*E22)</x:f>
        <x:v>1</x:v>
      </x:c>
      <x:c r="Q22" s="1">
        <x:f>J22*P22</x:f>
        <x:v>14432.205968402568</x:v>
      </x:c>
      <x:c r="R22" s="1">
        <x:f>O22*P22</x:f>
        <x:v>360.8051492100642</x:v>
      </x:c>
      <x:c r="S22" s="8">
        <x:f>(1-'Гипотезы'!D6)*(1-'Гипотезы'!E6)</x:f>
        <x:v>0.5625</x:v>
      </x:c>
      <x:c r="T22" s="12">
        <x:f>Q22+R22*S22</x:f>
        <x:v>14635.158864833229</x:v>
      </x:c>
      <x:c r="U22" s="12">
        <x:f>T22-J22</x:f>
        <x:v>202.95289643066099</x:v>
      </x:c>
      <x:c r="V22" s="12">
        <x:f>J22*'Когорты'!T5</x:f>
        <x:v>14432.205968402568</x:v>
      </x:c>
      <x:c r="W22" s="12">
        <x:f>Q22*'Когорты'!T5*(1+'Воздействие'!H9*N22)</x:f>
        <x:v>14432.205968402568</x:v>
      </x:c>
      <x:c r="X22" s="12">
        <x:f>R22*'Когорты'!T5*(1+'Воздействие'!H9*N22)</x:f>
        <x:v>360.8051492100642</x:v>
      </x:c>
      <x:c r="Y22" s="12">
        <x:f>W22+X22*S22</x:f>
        <x:v>14635.158864833229</x:v>
      </x:c>
      <x:c r="Z22" s="12">
        <x:f>F22*N22</x:f>
        <x:v>80079.999999999971</x:v>
      </x:c>
      <x:c r="AA22" s="12">
        <x:f>J22*D22</x:f>
        <x:v>0</x:v>
      </x:c>
      <x:c r="AB22" s="12">
        <x:f>Q22*D22</x:f>
        <x:v>0</x:v>
      </x:c>
      <x:c r="AC22" s="12">
        <x:f>R22*D22</x:f>
        <x:v>0</x:v>
      </x:c>
      <x:c r="AD22" s="12">
        <x:f>J22*E22</x:f>
        <x:v>14432.205968402568</x:v>
      </x:c>
      <x:c r="AE22" s="12">
        <x:f>Q22*E22</x:f>
        <x:v>14432.205968402568</x:v>
      </x:c>
      <x:c r="AF22" s="12">
        <x:f>R22*E22</x:f>
        <x:v>360.8051492100642</x:v>
      </x:c>
      <x:c r="AG22" s="1">
        <x:f>IF(AND(I22&gt;=0,I22&lt;=1,Q22+R22&lt;=F22+0.00000001,N22&gt;=0,N22&lt;=1),1,0)</x:f>
        <x:v>1</x:v>
      </x:c>
      <x:c r="AH22" s="1"/>
      <x:c r="AI22" s="1"/>
    </x:row>
    <x:row r="23" ht="24" customHeight="1">
      <x:c r="A23" s="1" t="str">
        <x:v>H2</x:v>
      </x:c>
      <x:c r="B23" s="1" t="str">
        <x:v>S1</x:v>
      </x:c>
      <x:c r="C23" s="1" t="str">
        <x:v>Оба</x:v>
      </x:c>
      <x:c r="D23" s="1" t="n">
        <x:v>1</x:v>
      </x:c>
      <x:c r="E23" s="1" t="n">
        <x:v>1</x:v>
      </x:c>
      <x:c r="F23" s="12">
        <x:f>'Когорты'!D5*'Когорты'!K5</x:f>
        <x:v>1281280</x:v>
      </x:c>
      <x:c r="G23" s="8">
        <x:f>'Когорты'!F5</x:f>
        <x:v>0.23099999999999998</x:v>
      </x:c>
      <x:c r="H23" s="1">
        <x:f>'Когорты'!Q5</x:f>
        <x:v>1</x:v>
      </x:c>
      <x:c r="I23" s="8">
        <x:f>IF('Когорты'!S5&gt;0,G23*H23/'Когорты'!S5,0)</x:f>
        <x:v>0.22527794031597423</x:v>
      </x:c>
      <x:c r="J23" s="1">
        <x:f>F23*I23</x:f>
        <x:v>288644.11936805147</x:v>
      </x:c>
      <x:c r="K23" s="8">
        <x:f>'Воздействие'!C9*D23</x:f>
        <x:v>0.20000000000000001</x:v>
      </x:c>
      <x:c r="L23" s="8">
        <x:f>'Воздействие'!D9*E23</x:f>
        <x:v>0.25</x:v>
      </x:c>
      <x:c r="M23" s="8">
        <x:f>'Воздействие'!E9*D23*E23</x:f>
        <x:v>0.10000000000000001</x:v>
      </x:c>
      <x:c r="N23" s="8">
        <x:f>K23+L23-M23</x:f>
        <x:v>0.34999999999999998</x:v>
      </x:c>
      <x:c r="O23" s="1">
        <x:f>J23*'Параметры'!$B$10*N23</x:f>
        <x:v>10102.5441778818</x:v>
      </x:c>
      <x:c r="P23" s="8">
        <x:f>(1-'Воздействие'!F9*D23)*(1-'Воздействие'!G9*E23)</x:f>
        <x:v>1</x:v>
      </x:c>
      <x:c r="Q23" s="1">
        <x:f>J23*P23</x:f>
        <x:v>288644.11936805147</x:v>
      </x:c>
      <x:c r="R23" s="1">
        <x:f>O23*P23</x:f>
        <x:v>10102.5441778818</x:v>
      </x:c>
      <x:c r="S23" s="8">
        <x:f>(1-'Гипотезы'!D6)*(1-'Гипотезы'!E6)</x:f>
        <x:v>0.5625</x:v>
      </x:c>
      <x:c r="T23" s="12">
        <x:f>Q23+R23*S23</x:f>
        <x:v>294326.80046810996</x:v>
      </x:c>
      <x:c r="U23" s="12">
        <x:f>T23-J23</x:f>
        <x:v>5682.6811000584858</x:v>
      </x:c>
      <x:c r="V23" s="12">
        <x:f>J23*'Когорты'!T5</x:f>
        <x:v>288644.11936805147</x:v>
      </x:c>
      <x:c r="W23" s="12">
        <x:f>Q23*'Когорты'!T5*(1+'Воздействие'!H9*N23)</x:f>
        <x:v>288644.11936805147</x:v>
      </x:c>
      <x:c r="X23" s="12">
        <x:f>R23*'Когорты'!T5*(1+'Воздействие'!H9*N23)</x:f>
        <x:v>10102.5441778818</x:v>
      </x:c>
      <x:c r="Y23" s="12">
        <x:f>W23+X23*S23</x:f>
        <x:v>294326.80046810996</x:v>
      </x:c>
      <x:c r="Z23" s="12">
        <x:f>F23*N23</x:f>
        <x:v>448448</x:v>
      </x:c>
      <x:c r="AA23" s="12">
        <x:f>J23*D23</x:f>
        <x:v>288644.11936805147</x:v>
      </x:c>
      <x:c r="AB23" s="12">
        <x:f>Q23*D23</x:f>
        <x:v>288644.11936805147</x:v>
      </x:c>
      <x:c r="AC23" s="12">
        <x:f>R23*D23</x:f>
        <x:v>10102.5441778818</x:v>
      </x:c>
      <x:c r="AD23" s="12">
        <x:f>J23*E23</x:f>
        <x:v>288644.11936805147</x:v>
      </x:c>
      <x:c r="AE23" s="12">
        <x:f>Q23*E23</x:f>
        <x:v>288644.11936805147</x:v>
      </x:c>
      <x:c r="AF23" s="12">
        <x:f>R23*E23</x:f>
        <x:v>10102.5441778818</x:v>
      </x:c>
      <x:c r="AG23" s="1">
        <x:f>IF(AND(I23&gt;=0,I23&lt;=1,Q23+R23&lt;=F23+0.00000001,N23&gt;=0,N23&lt;=1),1,0)</x:f>
        <x:v>1</x:v>
      </x:c>
      <x:c r="AH23" s="1"/>
      <x:c r="AI23" s="1"/>
    </x:row>
    <x:row r="24" ht="24" customHeight="1">
      <x:c r="A24" s="1" t="str">
        <x:v>H2</x:v>
      </x:c>
      <x:c r="B24" s="1" t="str">
        <x:v>S1</x:v>
      </x:c>
      <x:c r="C24" s="1" t="str">
        <x:v>Ни один</x:v>
      </x:c>
      <x:c r="D24" s="1" t="n">
        <x:v>0</x:v>
      </x:c>
      <x:c r="E24" s="1" t="n">
        <x:v>0</x:v>
      </x:c>
      <x:c r="F24" s="12">
        <x:f>'Когорты'!D5*'Когорты'!N5</x:f>
        <x:v>3991679.9999999991</x:v>
      </x:c>
      <x:c r="G24" s="8">
        <x:f>'Когорты'!F5</x:f>
        <x:v>0.23099999999999998</x:v>
      </x:c>
      <x:c r="H24" s="1">
        <x:f>'Когорты'!R5</x:f>
        <x:v>0.29999999999999999</x:v>
      </x:c>
      <x:c r="I24" s="8">
        <x:f>IF('Когорты'!S5&gt;0,G24*H24/'Когорты'!S5,0)</x:f>
        <x:v>0.067583382094792255</x:v>
      </x:c>
      <x:c r="J24" s="1">
        <x:f>F24*I24</x:f>
        <x:v>269771.23464014026</x:v>
      </x:c>
      <x:c r="K24" s="8">
        <x:f>'Воздействие'!C9*D24</x:f>
        <x:v>0</x:v>
      </x:c>
      <x:c r="L24" s="8">
        <x:f>'Воздействие'!D9*E24</x:f>
        <x:v>0</x:v>
      </x:c>
      <x:c r="M24" s="8">
        <x:f>'Воздействие'!E9*D24*E24</x:f>
        <x:v>0</x:v>
      </x:c>
      <x:c r="N24" s="8">
        <x:f>K24+L24-M24</x:f>
        <x:v>0</x:v>
      </x:c>
      <x:c r="O24" s="1">
        <x:f>J24*'Параметры'!$B$10*N24</x:f>
        <x:v>0</x:v>
      </x:c>
      <x:c r="P24" s="8">
        <x:f>(1-'Воздействие'!F9*D24)*(1-'Воздействие'!G9*E24)</x:f>
        <x:v>1</x:v>
      </x:c>
      <x:c r="Q24" s="1">
        <x:f>J24*P24</x:f>
        <x:v>269771.23464014026</x:v>
      </x:c>
      <x:c r="R24" s="1">
        <x:f>O24*P24</x:f>
        <x:v>0</x:v>
      </x:c>
      <x:c r="S24" s="8">
        <x:f>(1-'Гипотезы'!D6)*(1-'Гипотезы'!E6)</x:f>
        <x:v>0.5625</x:v>
      </x:c>
      <x:c r="T24" s="12">
        <x:f>Q24+R24*S24</x:f>
        <x:v>269771.23464014026</x:v>
      </x:c>
      <x:c r="U24" s="12">
        <x:f>T24-J24</x:f>
        <x:v>0</x:v>
      </x:c>
      <x:c r="V24" s="12">
        <x:f>J24*'Когорты'!T5</x:f>
        <x:v>269771.23464014026</x:v>
      </x:c>
      <x:c r="W24" s="12">
        <x:f>Q24*'Когорты'!T5*(1+'Воздействие'!H9*N24)</x:f>
        <x:v>269771.23464014026</x:v>
      </x:c>
      <x:c r="X24" s="12">
        <x:f>R24*'Когорты'!T5*(1+'Воздействие'!H9*N24)</x:f>
        <x:v>0</x:v>
      </x:c>
      <x:c r="Y24" s="12">
        <x:f>W24+X24*S24</x:f>
        <x:v>269771.23464014026</x:v>
      </x:c>
      <x:c r="Z24" s="12">
        <x:f>F24*N24</x:f>
        <x:v>0</x:v>
      </x:c>
      <x:c r="AA24" s="12">
        <x:f>J24*D24</x:f>
        <x:v>0</x:v>
      </x:c>
      <x:c r="AB24" s="12">
        <x:f>Q24*D24</x:f>
        <x:v>0</x:v>
      </x:c>
      <x:c r="AC24" s="12">
        <x:f>R24*D24</x:f>
        <x:v>0</x:v>
      </x:c>
      <x:c r="AD24" s="12">
        <x:f>J24*E24</x:f>
        <x:v>0</x:v>
      </x:c>
      <x:c r="AE24" s="12">
        <x:f>Q24*E24</x:f>
        <x:v>0</x:v>
      </x:c>
      <x:c r="AF24" s="12">
        <x:f>R24*E24</x:f>
        <x:v>0</x:v>
      </x:c>
      <x:c r="AG24" s="1">
        <x:f>IF(AND(I24&gt;=0,I24&lt;=1,Q24+R24&lt;=F24+0.00000001,N24&gt;=0,N24&lt;=1),1,0)</x:f>
        <x:v>1</x:v>
      </x:c>
      <x:c r="AH24" s="1"/>
      <x:c r="AI24" s="1"/>
    </x:row>
    <x:row r="25" ht="24" customHeight="1">
      <x:c r="A25" s="1" t="str">
        <x:v>H2</x:v>
      </x:c>
      <x:c r="B25" s="1" t="str">
        <x:v>S2</x:v>
      </x:c>
      <x:c r="C25" s="1" t="str">
        <x:v>Только C</x:v>
      </x:c>
      <x:c r="D25" s="1" t="n">
        <x:v>1</x:v>
      </x:c>
      <x:c r="E25" s="1" t="n">
        <x:v>0</x:v>
      </x:c>
      <x:c r="F25" s="12">
        <x:f>'Когорты'!D6*'Когорты'!L6</x:f>
        <x:v>2882880</x:v>
      </x:c>
      <x:c r="G25" s="8">
        <x:f>'Когорты'!F6</x:f>
        <x:v>0.14099999999999999</x:v>
      </x:c>
      <x:c r="H25" s="1">
        <x:f>'Когорты'!O6</x:f>
        <x:v>1.5</x:v>
      </x:c>
      <x:c r="I25" s="8">
        <x:f>IF('Когорты'!S6&gt;0,G25*H25/'Когорты'!S6,0)</x:f>
        <x:v>0.2062609713282621</x:v>
      </x:c>
      <x:c r="J25" s="1">
        <x:f>F25*I25</x:f>
        <x:v>594625.62902282027</x:v>
      </x:c>
      <x:c r="K25" s="8">
        <x:f>'Воздействие'!C10*D25</x:f>
        <x:v>0.20000000000000001</x:v>
      </x:c>
      <x:c r="L25" s="8">
        <x:f>'Воздействие'!D10*E25</x:f>
        <x:v>0</x:v>
      </x:c>
      <x:c r="M25" s="8">
        <x:f>'Воздействие'!E10*D25*E25</x:f>
        <x:v>0</x:v>
      </x:c>
      <x:c r="N25" s="8">
        <x:f>K25+L25-M25</x:f>
        <x:v>0.20000000000000001</x:v>
      </x:c>
      <x:c r="O25" s="1">
        <x:f>J25*'Параметры'!$B$10*N25</x:f>
        <x:v>11892.512580456407</x:v>
      </x:c>
      <x:c r="P25" s="8">
        <x:f>(1-'Воздействие'!F10*D25)*(1-'Воздействие'!G10*E25)</x:f>
        <x:v>1</x:v>
      </x:c>
      <x:c r="Q25" s="1">
        <x:f>J25*P25</x:f>
        <x:v>594625.62902282027</x:v>
      </x:c>
      <x:c r="R25" s="1">
        <x:f>O25*P25</x:f>
        <x:v>11892.512580456407</x:v>
      </x:c>
      <x:c r="S25" s="8">
        <x:f>(1-'Гипотезы'!D6)*(1-'Гипотезы'!E6)</x:f>
        <x:v>0.5625</x:v>
      </x:c>
      <x:c r="T25" s="12">
        <x:f>Q25+R25*S25</x:f>
        <x:v>601315.16734932701</x:v>
      </x:c>
      <x:c r="U25" s="12">
        <x:f>T25-J25</x:f>
        <x:v>6689.5383265067358</x:v>
      </x:c>
      <x:c r="V25" s="12">
        <x:f>J25*'Когорты'!T6</x:f>
        <x:v>594625.62902282027</x:v>
      </x:c>
      <x:c r="W25" s="12">
        <x:f>Q25*'Когорты'!T6*(1+'Воздействие'!H10*N25)</x:f>
        <x:v>594625.62902282027</x:v>
      </x:c>
      <x:c r="X25" s="12">
        <x:f>R25*'Когорты'!T6*(1+'Воздействие'!H10*N25)</x:f>
        <x:v>11892.512580456407</x:v>
      </x:c>
      <x:c r="Y25" s="12">
        <x:f>W25+X25*S25</x:f>
        <x:v>601315.16734932701</x:v>
      </x:c>
      <x:c r="Z25" s="12">
        <x:f>F25*N25</x:f>
        <x:v>576576</x:v>
      </x:c>
      <x:c r="AA25" s="12">
        <x:f>J25*D25</x:f>
        <x:v>594625.62902282027</x:v>
      </x:c>
      <x:c r="AB25" s="12">
        <x:f>Q25*D25</x:f>
        <x:v>594625.62902282027</x:v>
      </x:c>
      <x:c r="AC25" s="12">
        <x:f>R25*D25</x:f>
        <x:v>11892.512580456407</x:v>
      </x:c>
      <x:c r="AD25" s="12">
        <x:f>J25*E25</x:f>
        <x:v>0</x:v>
      </x:c>
      <x:c r="AE25" s="12">
        <x:f>Q25*E25</x:f>
        <x:v>0</x:v>
      </x:c>
      <x:c r="AF25" s="12">
        <x:f>R25*E25</x:f>
        <x:v>0</x:v>
      </x:c>
      <x:c r="AG25" s="1">
        <x:f>IF(AND(I25&gt;=0,I25&lt;=1,Q25+R25&lt;=F25+0.00000001,N25&gt;=0,N25&lt;=1),1,0)</x:f>
        <x:v>1</x:v>
      </x:c>
      <x:c r="AH25" s="1"/>
      <x:c r="AI25" s="1"/>
    </x:row>
    <x:row r="26" ht="24" customHeight="1">
      <x:c r="A26" s="1" t="str">
        <x:v>H2</x:v>
      </x:c>
      <x:c r="B26" s="1" t="str">
        <x:v>S2</x:v>
      </x:c>
      <x:c r="C26" s="1" t="str">
        <x:v>Только F</x:v>
      </x:c>
      <x:c r="D26" s="1" t="n">
        <x:v>0</x:v>
      </x:c>
      <x:c r="E26" s="1" t="n">
        <x:v>1</x:v>
      </x:c>
      <x:c r="F26" s="12">
        <x:f>'Когорты'!D6*'Когорты'!M6</x:f>
        <x:v>137279.99999999997</x:v>
      </x:c>
      <x:c r="G26" s="8">
        <x:f>'Когорты'!F6</x:f>
        <x:v>0.14099999999999999</x:v>
      </x:c>
      <x:c r="H26" s="1">
        <x:f>'Когорты'!P6</x:f>
        <x:v>0.20000000000000001</x:v>
      </x:c>
      <x:c r="I26" s="8">
        <x:f>IF('Когорты'!S6&gt;0,G26*H26/'Когорты'!S6,0)</x:f>
        <x:v>0.027501462843768282</x:v>
      </x:c>
      <x:c r="J26" s="1">
        <x:f>F26*I26</x:f>
        <x:v>3775.4008191925091</x:v>
      </x:c>
      <x:c r="K26" s="8">
        <x:f>'Воздействие'!C10*D26</x:f>
        <x:v>0</x:v>
      </x:c>
      <x:c r="L26" s="8">
        <x:f>'Воздействие'!D10*E26</x:f>
        <x:v>0.25</x:v>
      </x:c>
      <x:c r="M26" s="8">
        <x:f>'Воздействие'!E10*D26*E26</x:f>
        <x:v>0</x:v>
      </x:c>
      <x:c r="N26" s="8">
        <x:f>K26+L26-M26</x:f>
        <x:v>0.25</x:v>
      </x:c>
      <x:c r="O26" s="1">
        <x:f>J26*'Параметры'!$B$10*N26</x:f>
        <x:v>94.385020479812738</x:v>
      </x:c>
      <x:c r="P26" s="8">
        <x:f>(1-'Воздействие'!F10*D26)*(1-'Воздействие'!G10*E26)</x:f>
        <x:v>1</x:v>
      </x:c>
      <x:c r="Q26" s="1">
        <x:f>J26*P26</x:f>
        <x:v>3775.4008191925091</x:v>
      </x:c>
      <x:c r="R26" s="1">
        <x:f>O26*P26</x:f>
        <x:v>94.385020479812738</x:v>
      </x:c>
      <x:c r="S26" s="8">
        <x:f>(1-'Гипотезы'!D6)*(1-'Гипотезы'!E6)</x:f>
        <x:v>0.5625</x:v>
      </x:c>
      <x:c r="T26" s="12">
        <x:f>Q26+R26*S26</x:f>
        <x:v>3828.4923932124038</x:v>
      </x:c>
      <x:c r="U26" s="12">
        <x:f>T26-J26</x:f>
        <x:v>53.091574019894779</x:v>
      </x:c>
      <x:c r="V26" s="12">
        <x:f>J26*'Когорты'!T6</x:f>
        <x:v>3775.4008191925091</x:v>
      </x:c>
      <x:c r="W26" s="12">
        <x:f>Q26*'Когорты'!T6*(1+'Воздействие'!H10*N26)</x:f>
        <x:v>3775.4008191925091</x:v>
      </x:c>
      <x:c r="X26" s="12">
        <x:f>R26*'Когорты'!T6*(1+'Воздействие'!H10*N26)</x:f>
        <x:v>94.385020479812738</x:v>
      </x:c>
      <x:c r="Y26" s="12">
        <x:f>W26+X26*S26</x:f>
        <x:v>3828.4923932124038</x:v>
      </x:c>
      <x:c r="Z26" s="12">
        <x:f>F26*N26</x:f>
        <x:v>34319.999999999993</x:v>
      </x:c>
      <x:c r="AA26" s="12">
        <x:f>J26*D26</x:f>
        <x:v>0</x:v>
      </x:c>
      <x:c r="AB26" s="12">
        <x:f>Q26*D26</x:f>
        <x:v>0</x:v>
      </x:c>
      <x:c r="AC26" s="12">
        <x:f>R26*D26</x:f>
        <x:v>0</x:v>
      </x:c>
      <x:c r="AD26" s="12">
        <x:f>J26*E26</x:f>
        <x:v>3775.4008191925091</x:v>
      </x:c>
      <x:c r="AE26" s="12">
        <x:f>Q26*E26</x:f>
        <x:v>3775.4008191925091</x:v>
      </x:c>
      <x:c r="AF26" s="12">
        <x:f>R26*E26</x:f>
        <x:v>94.385020479812738</x:v>
      </x:c>
      <x:c r="AG26" s="1">
        <x:f>IF(AND(I26&gt;=0,I26&lt;=1,Q26+R26&lt;=F26+0.00000001,N26&gt;=0,N26&lt;=1),1,0)</x:f>
        <x:v>1</x:v>
      </x:c>
      <x:c r="AH26" s="1"/>
      <x:c r="AI26" s="1"/>
    </x:row>
    <x:row r="27" ht="24" customHeight="1">
      <x:c r="A27" s="1" t="str">
        <x:v>H2</x:v>
      </x:c>
      <x:c r="B27" s="1" t="str">
        <x:v>S2</x:v>
      </x:c>
      <x:c r="C27" s="1" t="str">
        <x:v>Оба</x:v>
      </x:c>
      <x:c r="D27" s="1" t="n">
        <x:v>1</x:v>
      </x:c>
      <x:c r="E27" s="1" t="n">
        <x:v>1</x:v>
      </x:c>
      <x:c r="F27" s="12">
        <x:f>'Когорты'!D6*'Когорты'!K6</x:f>
        <x:v>549120</x:v>
      </x:c>
      <x:c r="G27" s="8">
        <x:f>'Когорты'!F6</x:f>
        <x:v>0.14099999999999999</x:v>
      </x:c>
      <x:c r="H27" s="1">
        <x:f>'Когорты'!Q6</x:f>
        <x:v>1</x:v>
      </x:c>
      <x:c r="I27" s="8">
        <x:f>IF('Когорты'!S6&gt;0,G27*H27/'Когорты'!S6,0)</x:f>
        <x:v>0.13750731421884141</x:v>
      </x:c>
      <x:c r="J27" s="1">
        <x:f>F27*I27</x:f>
        <x:v>75508.01638385019</x:v>
      </x:c>
      <x:c r="K27" s="8">
        <x:f>'Воздействие'!C10*D27</x:f>
        <x:v>0.20000000000000001</x:v>
      </x:c>
      <x:c r="L27" s="8">
        <x:f>'Воздействие'!D10*E27</x:f>
        <x:v>0.25</x:v>
      </x:c>
      <x:c r="M27" s="8">
        <x:f>'Воздействие'!E10*D27*E27</x:f>
        <x:v>0.10000000000000001</x:v>
      </x:c>
      <x:c r="N27" s="8">
        <x:f>K27+L27-M27</x:f>
        <x:v>0.34999999999999998</x:v>
      </x:c>
      <x:c r="O27" s="1">
        <x:f>J27*'Параметры'!$B$10*N27</x:f>
        <x:v>2642.7805734347567</x:v>
      </x:c>
      <x:c r="P27" s="8">
        <x:f>(1-'Воздействие'!F10*D27)*(1-'Воздействие'!G10*E27)</x:f>
        <x:v>1</x:v>
      </x:c>
      <x:c r="Q27" s="1">
        <x:f>J27*P27</x:f>
        <x:v>75508.01638385019</x:v>
      </x:c>
      <x:c r="R27" s="1">
        <x:f>O27*P27</x:f>
        <x:v>2642.7805734347567</x:v>
      </x:c>
      <x:c r="S27" s="8">
        <x:f>(1-'Гипотезы'!D6)*(1-'Гипотезы'!E6)</x:f>
        <x:v>0.5625</x:v>
      </x:c>
      <x:c r="T27" s="12">
        <x:f>Q27+R27*S27</x:f>
        <x:v>76994.580456407246</x:v>
      </x:c>
      <x:c r="U27" s="12">
        <x:f>T27-J27</x:f>
        <x:v>1486.5640725570556</x:v>
      </x:c>
      <x:c r="V27" s="12">
        <x:f>J27*'Когорты'!T6</x:f>
        <x:v>75508.01638385019</x:v>
      </x:c>
      <x:c r="W27" s="12">
        <x:f>Q27*'Когорты'!T6*(1+'Воздействие'!H10*N27)</x:f>
        <x:v>75508.01638385019</x:v>
      </x:c>
      <x:c r="X27" s="12">
        <x:f>R27*'Когорты'!T6*(1+'Воздействие'!H10*N27)</x:f>
        <x:v>2642.7805734347567</x:v>
      </x:c>
      <x:c r="Y27" s="12">
        <x:f>W27+X27*S27</x:f>
        <x:v>76994.580456407246</x:v>
      </x:c>
      <x:c r="Z27" s="12">
        <x:f>F27*N27</x:f>
        <x:v>192192</x:v>
      </x:c>
      <x:c r="AA27" s="12">
        <x:f>J27*D27</x:f>
        <x:v>75508.01638385019</x:v>
      </x:c>
      <x:c r="AB27" s="12">
        <x:f>Q27*D27</x:f>
        <x:v>75508.01638385019</x:v>
      </x:c>
      <x:c r="AC27" s="12">
        <x:f>R27*D27</x:f>
        <x:v>2642.7805734347567</x:v>
      </x:c>
      <x:c r="AD27" s="12">
        <x:f>J27*E27</x:f>
        <x:v>75508.01638385019</x:v>
      </x:c>
      <x:c r="AE27" s="12">
        <x:f>Q27*E27</x:f>
        <x:v>75508.01638385019</x:v>
      </x:c>
      <x:c r="AF27" s="12">
        <x:f>R27*E27</x:f>
        <x:v>2642.7805734347567</x:v>
      </x:c>
      <x:c r="AG27" s="1">
        <x:f>IF(AND(I27&gt;=0,I27&lt;=1,Q27+R27&lt;=F27+0.00000001,N27&gt;=0,N27&lt;=1),1,0)</x:f>
        <x:v>1</x:v>
      </x:c>
      <x:c r="AH27" s="1"/>
      <x:c r="AI27" s="1"/>
    </x:row>
    <x:row r="28" ht="24" customHeight="1">
      <x:c r="A28" s="1" t="str">
        <x:v>H2</x:v>
      </x:c>
      <x:c r="B28" s="1" t="str">
        <x:v>S2</x:v>
      </x:c>
      <x:c r="C28" s="1" t="str">
        <x:v>Ни один</x:v>
      </x:c>
      <x:c r="D28" s="1" t="n">
        <x:v>0</x:v>
      </x:c>
      <x:c r="E28" s="1" t="n">
        <x:v>0</x:v>
      </x:c>
      <x:c r="F28" s="12">
        <x:f>'Когорты'!D6*'Когорты'!N6</x:f>
        <x:v>1710719.9999999998</x:v>
      </x:c>
      <x:c r="G28" s="8">
        <x:f>'Когорты'!F6</x:f>
        <x:v>0.14099999999999999</x:v>
      </x:c>
      <x:c r="H28" s="1">
        <x:f>'Когорты'!R6</x:f>
        <x:v>0.29999999999999999</x:v>
      </x:c>
      <x:c r="I28" s="8">
        <x:f>IF('Когорты'!S6&gt;0,G28*H28/'Когорты'!S6,0)</x:f>
        <x:v>0.041252194265652423</x:v>
      </x:c>
      <x:c r="J28" s="1">
        <x:f>F28*I28</x:f>
        <x:v>70570.953774136899</x:v>
      </x:c>
      <x:c r="K28" s="8">
        <x:f>'Воздействие'!C10*D28</x:f>
        <x:v>0</x:v>
      </x:c>
      <x:c r="L28" s="8">
        <x:f>'Воздействие'!D10*E28</x:f>
        <x:v>0</x:v>
      </x:c>
      <x:c r="M28" s="8">
        <x:f>'Воздействие'!E10*D28*E28</x:f>
        <x:v>0</x:v>
      </x:c>
      <x:c r="N28" s="8">
        <x:f>K28+L28-M28</x:f>
        <x:v>0</x:v>
      </x:c>
      <x:c r="O28" s="1">
        <x:f>J28*'Параметры'!$B$10*N28</x:f>
        <x:v>0</x:v>
      </x:c>
      <x:c r="P28" s="8">
        <x:f>(1-'Воздействие'!F10*D28)*(1-'Воздействие'!G10*E28)</x:f>
        <x:v>1</x:v>
      </x:c>
      <x:c r="Q28" s="1">
        <x:f>J28*P28</x:f>
        <x:v>70570.953774136899</x:v>
      </x:c>
      <x:c r="R28" s="1">
        <x:f>O28*P28</x:f>
        <x:v>0</x:v>
      </x:c>
      <x:c r="S28" s="8">
        <x:f>(1-'Гипотезы'!D6)*(1-'Гипотезы'!E6)</x:f>
        <x:v>0.5625</x:v>
      </x:c>
      <x:c r="T28" s="12">
        <x:f>Q28+R28*S28</x:f>
        <x:v>70570.953774136899</x:v>
      </x:c>
      <x:c r="U28" s="12">
        <x:f>T28-J28</x:f>
        <x:v>0</x:v>
      </x:c>
      <x:c r="V28" s="12">
        <x:f>J28*'Когорты'!T6</x:f>
        <x:v>70570.953774136899</x:v>
      </x:c>
      <x:c r="W28" s="12">
        <x:f>Q28*'Когорты'!T6*(1+'Воздействие'!H10*N28)</x:f>
        <x:v>70570.953774136899</x:v>
      </x:c>
      <x:c r="X28" s="12">
        <x:f>R28*'Когорты'!T6*(1+'Воздействие'!H10*N28)</x:f>
        <x:v>0</x:v>
      </x:c>
      <x:c r="Y28" s="12">
        <x:f>W28+X28*S28</x:f>
        <x:v>70570.953774136899</x:v>
      </x:c>
      <x:c r="Z28" s="12">
        <x:f>F28*N28</x:f>
        <x:v>0</x:v>
      </x:c>
      <x:c r="AA28" s="12">
        <x:f>J28*D28</x:f>
        <x:v>0</x:v>
      </x:c>
      <x:c r="AB28" s="12">
        <x:f>Q28*D28</x:f>
        <x:v>0</x:v>
      </x:c>
      <x:c r="AC28" s="12">
        <x:f>R28*D28</x:f>
        <x:v>0</x:v>
      </x:c>
      <x:c r="AD28" s="12">
        <x:f>J28*E28</x:f>
        <x:v>0</x:v>
      </x:c>
      <x:c r="AE28" s="12">
        <x:f>Q28*E28</x:f>
        <x:v>0</x:v>
      </x:c>
      <x:c r="AF28" s="12">
        <x:f>R28*E28</x:f>
        <x:v>0</x:v>
      </x:c>
      <x:c r="AG28" s="1">
        <x:f>IF(AND(I28&gt;=0,I28&lt;=1,Q28+R28&lt;=F28+0.00000001,N28&gt;=0,N28&lt;=1),1,0)</x:f>
        <x:v>1</x:v>
      </x:c>
      <x:c r="AH28" s="1"/>
      <x:c r="AI28" s="1"/>
    </x:row>
    <x:row r="29" ht="24" customHeight="1">
      <x:c r="A29" s="1" t="str">
        <x:v>H2</x:v>
      </x:c>
      <x:c r="B29" s="1" t="str">
        <x:v>S3</x:v>
      </x:c>
      <x:c r="C29" s="1" t="str">
        <x:v>Только C</x:v>
      </x:c>
      <x:c r="D29" s="1" t="n">
        <x:v>1</x:v>
      </x:c>
      <x:c r="E29" s="1" t="n">
        <x:v>0</x:v>
      </x:c>
      <x:c r="F29" s="12">
        <x:f>'Когорты'!D7*'Когорты'!L7</x:f>
        <x:v>4324320</x:v>
      </x:c>
      <x:c r="G29" s="8">
        <x:f>'Когорты'!F7</x:f>
        <x:v>0.05099999999999999</x:v>
      </x:c>
      <x:c r="H29" s="1">
        <x:f>'Когорты'!O7</x:f>
        <x:v>1.5</x:v>
      </x:c>
      <x:c r="I29" s="8">
        <x:f>IF('Когорты'!S7&gt;0,G29*H29/'Когорты'!S7,0)</x:f>
        <x:v>0.074605032182562883</x:v>
      </x:c>
      <x:c r="J29" s="1">
        <x:f>F29*I29</x:f>
        <x:v>322616.03276770032</x:v>
      </x:c>
      <x:c r="K29" s="8">
        <x:f>'Воздействие'!C11*D29</x:f>
        <x:v>0.20000000000000001</x:v>
      </x:c>
      <x:c r="L29" s="8">
        <x:f>'Воздействие'!D11*E29</x:f>
        <x:v>0</x:v>
      </x:c>
      <x:c r="M29" s="8">
        <x:f>'Воздействие'!E11*D29*E29</x:f>
        <x:v>0</x:v>
      </x:c>
      <x:c r="N29" s="8">
        <x:f>K29+L29-M29</x:f>
        <x:v>0.20000000000000001</x:v>
      </x:c>
      <x:c r="O29" s="1">
        <x:f>J29*'Параметры'!$B$10*N29</x:f>
        <x:v>6452.3206553540076</x:v>
      </x:c>
      <x:c r="P29" s="8">
        <x:f>(1-'Воздействие'!F11*D29)*(1-'Воздействие'!G11*E29)</x:f>
        <x:v>1</x:v>
      </x:c>
      <x:c r="Q29" s="1">
        <x:f>J29*P29</x:f>
        <x:v>322616.03276770032</x:v>
      </x:c>
      <x:c r="R29" s="1">
        <x:f>O29*P29</x:f>
        <x:v>6452.3206553540076</x:v>
      </x:c>
      <x:c r="S29" s="8">
        <x:f>(1-'Гипотезы'!D6)*(1-'Гипотезы'!E6)</x:f>
        <x:v>0.5625</x:v>
      </x:c>
      <x:c r="T29" s="12">
        <x:f>Q29+R29*S29</x:f>
        <x:v>326245.46313633694</x:v>
      </x:c>
      <x:c r="U29" s="12">
        <x:f>T29-J29</x:f>
        <x:v>3629.4303686366184</x:v>
      </x:c>
      <x:c r="V29" s="12">
        <x:f>J29*'Когорты'!T7</x:f>
        <x:v>322616.03276770032</x:v>
      </x:c>
      <x:c r="W29" s="12">
        <x:f>Q29*'Когорты'!T7*(1+'Воздействие'!H11*N29)</x:f>
        <x:v>322616.03276770032</x:v>
      </x:c>
      <x:c r="X29" s="12">
        <x:f>R29*'Когорты'!T7*(1+'Воздействие'!H11*N29)</x:f>
        <x:v>6452.3206553540076</x:v>
      </x:c>
      <x:c r="Y29" s="12">
        <x:f>W29+X29*S29</x:f>
        <x:v>326245.46313633694</x:v>
      </x:c>
      <x:c r="Z29" s="12">
        <x:f>F29*N29</x:f>
        <x:v>864864</x:v>
      </x:c>
      <x:c r="AA29" s="12">
        <x:f>J29*D29</x:f>
        <x:v>322616.03276770032</x:v>
      </x:c>
      <x:c r="AB29" s="12">
        <x:f>Q29*D29</x:f>
        <x:v>322616.03276770032</x:v>
      </x:c>
      <x:c r="AC29" s="12">
        <x:f>R29*D29</x:f>
        <x:v>6452.3206553540076</x:v>
      </x:c>
      <x:c r="AD29" s="12">
        <x:f>J29*E29</x:f>
        <x:v>0</x:v>
      </x:c>
      <x:c r="AE29" s="12">
        <x:f>Q29*E29</x:f>
        <x:v>0</x:v>
      </x:c>
      <x:c r="AF29" s="12">
        <x:f>R29*E29</x:f>
        <x:v>0</x:v>
      </x:c>
      <x:c r="AG29" s="1">
        <x:f>IF(AND(I29&gt;=0,I29&lt;=1,Q29+R29&lt;=F29+0.00000001,N29&gt;=0,N29&lt;=1),1,0)</x:f>
        <x:v>1</x:v>
      </x:c>
      <x:c r="AH29" s="1"/>
      <x:c r="AI29" s="1"/>
    </x:row>
    <x:row r="30" ht="24" customHeight="1">
      <x:c r="A30" s="1" t="str">
        <x:v>H2</x:v>
      </x:c>
      <x:c r="B30" s="1" t="str">
        <x:v>S3</x:v>
      </x:c>
      <x:c r="C30" s="1" t="str">
        <x:v>Только F</x:v>
      </x:c>
      <x:c r="D30" s="1" t="n">
        <x:v>0</x:v>
      </x:c>
      <x:c r="E30" s="1" t="n">
        <x:v>1</x:v>
      </x:c>
      <x:c r="F30" s="12">
        <x:f>'Когорты'!D7*'Когорты'!M7</x:f>
        <x:v>205919.99999999997</x:v>
      </x:c>
      <x:c r="G30" s="8">
        <x:f>'Когорты'!F7</x:f>
        <x:v>0.05099999999999999</x:v>
      </x:c>
      <x:c r="H30" s="1">
        <x:f>'Когорты'!P7</x:f>
        <x:v>0.20000000000000001</x:v>
      </x:c>
      <x:c r="I30" s="8">
        <x:f>IF('Когорты'!S7&gt;0,G30*H30/'Когорты'!S7,0)</x:f>
        <x:v>0.0099473376243417178</x:v>
      </x:c>
      <x:c r="J30" s="1">
        <x:f>F30*I30</x:f>
        <x:v>2048.3557636044461</x:v>
      </x:c>
      <x:c r="K30" s="8">
        <x:f>'Воздействие'!C11*D30</x:f>
        <x:v>0</x:v>
      </x:c>
      <x:c r="L30" s="8">
        <x:f>'Воздействие'!D11*E30</x:f>
        <x:v>0.25</x:v>
      </x:c>
      <x:c r="M30" s="8">
        <x:f>'Воздействие'!E11*D30*E30</x:f>
        <x:v>0</x:v>
      </x:c>
      <x:c r="N30" s="8">
        <x:f>K30+L30-M30</x:f>
        <x:v>0.25</x:v>
      </x:c>
      <x:c r="O30" s="1">
        <x:f>J30*'Параметры'!$B$10*N30</x:f>
        <x:v>51.208894090111158</x:v>
      </x:c>
      <x:c r="P30" s="8">
        <x:f>(1-'Воздействие'!F11*D30)*(1-'Воздействие'!G11*E30)</x:f>
        <x:v>1</x:v>
      </x:c>
      <x:c r="Q30" s="1">
        <x:f>J30*P30</x:f>
        <x:v>2048.3557636044461</x:v>
      </x:c>
      <x:c r="R30" s="1">
        <x:f>O30*P30</x:f>
        <x:v>51.208894090111158</x:v>
      </x:c>
      <x:c r="S30" s="8">
        <x:f>(1-'Гипотезы'!D6)*(1-'Гипотезы'!E6)</x:f>
        <x:v>0.5625</x:v>
      </x:c>
      <x:c r="T30" s="12">
        <x:f>Q30+R30*S30</x:f>
        <x:v>2077.1607665301335</x:v>
      </x:c>
      <x:c r="U30" s="12">
        <x:f>T30-J30</x:f>
        <x:v>28.805002925687404</x:v>
      </x:c>
      <x:c r="V30" s="12">
        <x:f>J30*'Когорты'!T7</x:f>
        <x:v>2048.3557636044461</x:v>
      </x:c>
      <x:c r="W30" s="12">
        <x:f>Q30*'Когорты'!T7*(1+'Воздействие'!H11*N30)</x:f>
        <x:v>2048.3557636044461</x:v>
      </x:c>
      <x:c r="X30" s="12">
        <x:f>R30*'Когорты'!T7*(1+'Воздействие'!H11*N30)</x:f>
        <x:v>51.208894090111158</x:v>
      </x:c>
      <x:c r="Y30" s="12">
        <x:f>W30+X30*S30</x:f>
        <x:v>2077.1607665301335</x:v>
      </x:c>
      <x:c r="Z30" s="12">
        <x:f>F30*N30</x:f>
        <x:v>51479.999999999993</x:v>
      </x:c>
      <x:c r="AA30" s="12">
        <x:f>J30*D30</x:f>
        <x:v>0</x:v>
      </x:c>
      <x:c r="AB30" s="12">
        <x:f>Q30*D30</x:f>
        <x:v>0</x:v>
      </x:c>
      <x:c r="AC30" s="12">
        <x:f>R30*D30</x:f>
        <x:v>0</x:v>
      </x:c>
      <x:c r="AD30" s="12">
        <x:f>J30*E30</x:f>
        <x:v>2048.3557636044461</x:v>
      </x:c>
      <x:c r="AE30" s="12">
        <x:f>Q30*E30</x:f>
        <x:v>2048.3557636044461</x:v>
      </x:c>
      <x:c r="AF30" s="12">
        <x:f>R30*E30</x:f>
        <x:v>51.208894090111158</x:v>
      </x:c>
      <x:c r="AG30" s="1">
        <x:f>IF(AND(I30&gt;=0,I30&lt;=1,Q30+R30&lt;=F30+0.00000001,N30&gt;=0,N30&lt;=1),1,0)</x:f>
        <x:v>1</x:v>
      </x:c>
      <x:c r="AH30" s="1"/>
      <x:c r="AI30" s="1"/>
    </x:row>
    <x:row r="31" ht="24" customHeight="1">
      <x:c r="A31" s="1" t="str">
        <x:v>H2</x:v>
      </x:c>
      <x:c r="B31" s="1" t="str">
        <x:v>S3</x:v>
      </x:c>
      <x:c r="C31" s="1" t="str">
        <x:v>Оба</x:v>
      </x:c>
      <x:c r="D31" s="1" t="n">
        <x:v>1</x:v>
      </x:c>
      <x:c r="E31" s="1" t="n">
        <x:v>1</x:v>
      </x:c>
      <x:c r="F31" s="12">
        <x:f>'Когорты'!D7*'Когорты'!K7</x:f>
        <x:v>823680.00000000012</x:v>
      </x:c>
      <x:c r="G31" s="8">
        <x:f>'Когорты'!F7</x:f>
        <x:v>0.05099999999999999</x:v>
      </x:c>
      <x:c r="H31" s="1">
        <x:f>'Когорты'!Q7</x:f>
        <x:v>1</x:v>
      </x:c>
      <x:c r="I31" s="8">
        <x:f>IF('Когорты'!S7&gt;0,G31*H31/'Когорты'!S7,0)</x:f>
        <x:v>0.049736688121708589</x:v>
      </x:c>
      <x:c r="J31" s="1">
        <x:f>F31*I31</x:f>
        <x:v>40967.115272088937</x:v>
      </x:c>
      <x:c r="K31" s="8">
        <x:f>'Воздействие'!C11*D31</x:f>
        <x:v>0.20000000000000001</x:v>
      </x:c>
      <x:c r="L31" s="8">
        <x:f>'Воздействие'!D11*E31</x:f>
        <x:v>0.25</x:v>
      </x:c>
      <x:c r="M31" s="8">
        <x:f>'Воздействие'!E11*D31*E31</x:f>
        <x:v>0.10000000000000001</x:v>
      </x:c>
      <x:c r="N31" s="8">
        <x:f>K31+L31-M31</x:f>
        <x:v>0.34999999999999998</x:v>
      </x:c>
      <x:c r="O31" s="1">
        <x:f>J31*'Параметры'!$B$10*N31</x:f>
        <x:v>1433.8490345231128</x:v>
      </x:c>
      <x:c r="P31" s="8">
        <x:f>(1-'Воздействие'!F11*D31)*(1-'Воздействие'!G11*E31)</x:f>
        <x:v>1</x:v>
      </x:c>
      <x:c r="Q31" s="1">
        <x:f>J31*P31</x:f>
        <x:v>40967.115272088937</x:v>
      </x:c>
      <x:c r="R31" s="1">
        <x:f>O31*P31</x:f>
        <x:v>1433.8490345231128</x:v>
      </x:c>
      <x:c r="S31" s="8">
        <x:f>(1-'Гипотезы'!D6)*(1-'Гипотезы'!E6)</x:f>
        <x:v>0.5625</x:v>
      </x:c>
      <x:c r="T31" s="12">
        <x:f>Q31+R31*S31</x:f>
        <x:v>41773.655354008188</x:v>
      </x:c>
      <x:c r="U31" s="12">
        <x:f>T31-J31</x:f>
        <x:v>806.54008191925095</x:v>
      </x:c>
      <x:c r="V31" s="12">
        <x:f>J31*'Когорты'!T7</x:f>
        <x:v>40967.115272088937</x:v>
      </x:c>
      <x:c r="W31" s="12">
        <x:f>Q31*'Когорты'!T7*(1+'Воздействие'!H11*N31)</x:f>
        <x:v>40967.115272088937</x:v>
      </x:c>
      <x:c r="X31" s="12">
        <x:f>R31*'Когорты'!T7*(1+'Воздействие'!H11*N31)</x:f>
        <x:v>1433.8490345231128</x:v>
      </x:c>
      <x:c r="Y31" s="12">
        <x:f>W31+X31*S31</x:f>
        <x:v>41773.655354008188</x:v>
      </x:c>
      <x:c r="Z31" s="12">
        <x:f>F31*N31</x:f>
        <x:v>288288</x:v>
      </x:c>
      <x:c r="AA31" s="12">
        <x:f>J31*D31</x:f>
        <x:v>40967.115272088937</x:v>
      </x:c>
      <x:c r="AB31" s="12">
        <x:f>Q31*D31</x:f>
        <x:v>40967.115272088937</x:v>
      </x:c>
      <x:c r="AC31" s="12">
        <x:f>R31*D31</x:f>
        <x:v>1433.8490345231128</x:v>
      </x:c>
      <x:c r="AD31" s="12">
        <x:f>J31*E31</x:f>
        <x:v>40967.115272088937</x:v>
      </x:c>
      <x:c r="AE31" s="12">
        <x:f>Q31*E31</x:f>
        <x:v>40967.115272088937</x:v>
      </x:c>
      <x:c r="AF31" s="12">
        <x:f>R31*E31</x:f>
        <x:v>1433.8490345231128</x:v>
      </x:c>
      <x:c r="AG31" s="1">
        <x:f>IF(AND(I31&gt;=0,I31&lt;=1,Q31+R31&lt;=F31+0.00000001,N31&gt;=0,N31&lt;=1),1,0)</x:f>
        <x:v>1</x:v>
      </x:c>
      <x:c r="AH31" s="1"/>
      <x:c r="AI31" s="1"/>
    </x:row>
    <x:row r="32" ht="24" customHeight="1">
      <x:c r="A32" s="1" t="str">
        <x:v>H2</x:v>
      </x:c>
      <x:c r="B32" s="1" t="str">
        <x:v>S3</x:v>
      </x:c>
      <x:c r="C32" s="1" t="str">
        <x:v>Ни один</x:v>
      </x:c>
      <x:c r="D32" s="1" t="n">
        <x:v>0</x:v>
      </x:c>
      <x:c r="E32" s="1" t="n">
        <x:v>0</x:v>
      </x:c>
      <x:c r="F32" s="12">
        <x:f>'Когорты'!D7*'Когорты'!N7</x:f>
        <x:v>2566079.9999999995</x:v>
      </x:c>
      <x:c r="G32" s="8">
        <x:f>'Когорты'!F7</x:f>
        <x:v>0.05099999999999999</x:v>
      </x:c>
      <x:c r="H32" s="1">
        <x:f>'Когорты'!R7</x:f>
        <x:v>0.29999999999999999</x:v>
      </x:c>
      <x:c r="I32" s="8">
        <x:f>IF('Когорты'!S7&gt;0,G32*H32/'Когорты'!S7,0)</x:f>
        <x:v>0.014921006436512575</x:v>
      </x:c>
      <x:c r="J32" s="1">
        <x:f>F32*I32</x:f>
        <x:v>38288.496196606182</x:v>
      </x:c>
      <x:c r="K32" s="8">
        <x:f>'Воздействие'!C11*D32</x:f>
        <x:v>0</x:v>
      </x:c>
      <x:c r="L32" s="8">
        <x:f>'Воздействие'!D11*E32</x:f>
        <x:v>0</x:v>
      </x:c>
      <x:c r="M32" s="8">
        <x:f>'Воздействие'!E11*D32*E32</x:f>
        <x:v>0</x:v>
      </x:c>
      <x:c r="N32" s="8">
        <x:f>K32+L32-M32</x:f>
        <x:v>0</x:v>
      </x:c>
      <x:c r="O32" s="1">
        <x:f>J32*'Параметры'!$B$10*N32</x:f>
        <x:v>0</x:v>
      </x:c>
      <x:c r="P32" s="8">
        <x:f>(1-'Воздействие'!F11*D32)*(1-'Воздействие'!G11*E32)</x:f>
        <x:v>1</x:v>
      </x:c>
      <x:c r="Q32" s="1">
        <x:f>J32*P32</x:f>
        <x:v>38288.496196606182</x:v>
      </x:c>
      <x:c r="R32" s="1">
        <x:f>O32*P32</x:f>
        <x:v>0</x:v>
      </x:c>
      <x:c r="S32" s="8">
        <x:f>(1-'Гипотезы'!D6)*(1-'Гипотезы'!E6)</x:f>
        <x:v>0.5625</x:v>
      </x:c>
      <x:c r="T32" s="12">
        <x:f>Q32+R32*S32</x:f>
        <x:v>38288.496196606182</x:v>
      </x:c>
      <x:c r="U32" s="12">
        <x:f>T32-J32</x:f>
        <x:v>0</x:v>
      </x:c>
      <x:c r="V32" s="12">
        <x:f>J32*'Когорты'!T7</x:f>
        <x:v>38288.496196606182</x:v>
      </x:c>
      <x:c r="W32" s="12">
        <x:f>Q32*'Когорты'!T7*(1+'Воздействие'!H11*N32)</x:f>
        <x:v>38288.496196606182</x:v>
      </x:c>
      <x:c r="X32" s="12">
        <x:f>R32*'Когорты'!T7*(1+'Воздействие'!H11*N32)</x:f>
        <x:v>0</x:v>
      </x:c>
      <x:c r="Y32" s="12">
        <x:f>W32+X32*S32</x:f>
        <x:v>38288.496196606182</x:v>
      </x:c>
      <x:c r="Z32" s="12">
        <x:f>F32*N32</x:f>
        <x:v>0</x:v>
      </x:c>
      <x:c r="AA32" s="12">
        <x:f>J32*D32</x:f>
        <x:v>0</x:v>
      </x:c>
      <x:c r="AB32" s="12">
        <x:f>Q32*D32</x:f>
        <x:v>0</x:v>
      </x:c>
      <x:c r="AC32" s="12">
        <x:f>R32*D32</x:f>
        <x:v>0</x:v>
      </x:c>
      <x:c r="AD32" s="12">
        <x:f>J32*E32</x:f>
        <x:v>0</x:v>
      </x:c>
      <x:c r="AE32" s="12">
        <x:f>Q32*E32</x:f>
        <x:v>0</x:v>
      </x:c>
      <x:c r="AF32" s="12">
        <x:f>R32*E32</x:f>
        <x:v>0</x:v>
      </x:c>
      <x:c r="AG32" s="1">
        <x:f>IF(AND(I32&gt;=0,I32&lt;=1,Q32+R32&lt;=F32+0.00000001,N32&gt;=0,N32&lt;=1),1,0)</x:f>
        <x:v>1</x:v>
      </x:c>
      <x:c r="AH32" s="1"/>
      <x:c r="AI32" s="1"/>
    </x:row>
    <x:row r="33" ht="24" customHeight="1">
      <x:c r="A33" s="1" t="str">
        <x:v>H2</x:v>
      </x:c>
      <x:c r="B33" s="1" t="str">
        <x:v>S4</x:v>
      </x:c>
      <x:c r="C33" s="1" t="str">
        <x:v>Только C</x:v>
      </x:c>
      <x:c r="D33" s="1" t="n">
        <x:v>1</x:v>
      </x:c>
      <x:c r="E33" s="1" t="n">
        <x:v>0</x:v>
      </x:c>
      <x:c r="F33" s="12">
        <x:f>'Когорты'!D8*'Когорты'!L8</x:f>
        <x:v>10090080</x:v>
      </x:c>
      <x:c r="G33" s="8">
        <x:f>'Когорты'!F8</x:f>
        <x:v>0.14099999999999999</x:v>
      </x:c>
      <x:c r="H33" s="1">
        <x:f>'Когорты'!O8</x:f>
        <x:v>1.5</x:v>
      </x:c>
      <x:c r="I33" s="8">
        <x:f>IF('Когорты'!S8&gt;0,G33*H33/'Когорты'!S8,0)</x:f>
        <x:v>0.2062609713282621</x:v>
      </x:c>
      <x:c r="J33" s="1">
        <x:f>F33*I33</x:f>
        <x:v>2081189.7015798709</x:v>
      </x:c>
      <x:c r="K33" s="8">
        <x:f>'Воздействие'!C12*D33</x:f>
        <x:v>0.20000000000000001</x:v>
      </x:c>
      <x:c r="L33" s="8">
        <x:f>'Воздействие'!D12*E33</x:f>
        <x:v>0</x:v>
      </x:c>
      <x:c r="M33" s="8">
        <x:f>'Воздействие'!E12*D33*E33</x:f>
        <x:v>0</x:v>
      </x:c>
      <x:c r="N33" s="8">
        <x:f>K33+L33-M33</x:f>
        <x:v>0.20000000000000001</x:v>
      </x:c>
      <x:c r="O33" s="1">
        <x:f>J33*'Параметры'!$B$10*N33</x:f>
        <x:v>41623.794031597419</x:v>
      </x:c>
      <x:c r="P33" s="8">
        <x:f>(1-'Воздействие'!F12*D33)*(1-'Воздействие'!G12*E33)</x:f>
        <x:v>1</x:v>
      </x:c>
      <x:c r="Q33" s="1">
        <x:f>J33*P33</x:f>
        <x:v>2081189.7015798709</x:v>
      </x:c>
      <x:c r="R33" s="1">
        <x:f>O33*P33</x:f>
        <x:v>41623.794031597419</x:v>
      </x:c>
      <x:c r="S33" s="8">
        <x:f>(1-'Гипотезы'!D6)*(1-'Гипотезы'!E6)</x:f>
        <x:v>0.5625</x:v>
      </x:c>
      <x:c r="T33" s="12">
        <x:f>Q33+R33*S33</x:f>
        <x:v>2104603.0857226443</x:v>
      </x:c>
      <x:c r="U33" s="12">
        <x:f>T33-J33</x:f>
        <x:v>23413.384142773459</x:v>
      </x:c>
      <x:c r="V33" s="12">
        <x:f>J33*'Когорты'!T8</x:f>
        <x:v>2081189.7015798709</x:v>
      </x:c>
      <x:c r="W33" s="12">
        <x:f>Q33*'Когорты'!T8*(1+'Воздействие'!H12*N33)</x:f>
        <x:v>2081189.7015798709</x:v>
      </x:c>
      <x:c r="X33" s="12">
        <x:f>R33*'Когорты'!T8*(1+'Воздействие'!H12*N33)</x:f>
        <x:v>41623.794031597419</x:v>
      </x:c>
      <x:c r="Y33" s="12">
        <x:f>W33+X33*S33</x:f>
        <x:v>2104603.0857226443</x:v>
      </x:c>
      <x:c r="Z33" s="12">
        <x:f>F33*N33</x:f>
        <x:v>2018016</x:v>
      </x:c>
      <x:c r="AA33" s="12">
        <x:f>J33*D33</x:f>
        <x:v>2081189.7015798709</x:v>
      </x:c>
      <x:c r="AB33" s="12">
        <x:f>Q33*D33</x:f>
        <x:v>2081189.7015798709</x:v>
      </x:c>
      <x:c r="AC33" s="12">
        <x:f>R33*D33</x:f>
        <x:v>41623.794031597419</x:v>
      </x:c>
      <x:c r="AD33" s="12">
        <x:f>J33*E33</x:f>
        <x:v>0</x:v>
      </x:c>
      <x:c r="AE33" s="12">
        <x:f>Q33*E33</x:f>
        <x:v>0</x:v>
      </x:c>
      <x:c r="AF33" s="12">
        <x:f>R33*E33</x:f>
        <x:v>0</x:v>
      </x:c>
      <x:c r="AG33" s="1">
        <x:f>IF(AND(I33&gt;=0,I33&lt;=1,Q33+R33&lt;=F33+0.00000001,N33&gt;=0,N33&lt;=1),1,0)</x:f>
        <x:v>1</x:v>
      </x:c>
      <x:c r="AH33" s="1"/>
      <x:c r="AI33" s="1"/>
    </x:row>
    <x:row r="34" ht="24" customHeight="1">
      <x:c r="A34" s="1" t="str">
        <x:v>H2</x:v>
      </x:c>
      <x:c r="B34" s="1" t="str">
        <x:v>S4</x:v>
      </x:c>
      <x:c r="C34" s="1" t="str">
        <x:v>Только F</x:v>
      </x:c>
      <x:c r="D34" s="1" t="n">
        <x:v>0</x:v>
      </x:c>
      <x:c r="E34" s="1" t="n">
        <x:v>1</x:v>
      </x:c>
      <x:c r="F34" s="12">
        <x:f>'Когорты'!D8*'Когорты'!M8</x:f>
        <x:v>480479.99999999994</x:v>
      </x:c>
      <x:c r="G34" s="8">
        <x:f>'Когорты'!F8</x:f>
        <x:v>0.14099999999999999</x:v>
      </x:c>
      <x:c r="H34" s="1">
        <x:f>'Когорты'!P8</x:f>
        <x:v>0.20000000000000001</x:v>
      </x:c>
      <x:c r="I34" s="8">
        <x:f>IF('Когорты'!S8&gt;0,G34*H34/'Когорты'!S8,0)</x:f>
        <x:v>0.027501462843768282</x:v>
      </x:c>
      <x:c r="J34" s="1">
        <x:f>F34*I34</x:f>
        <x:v>13213.902867173783</x:v>
      </x:c>
      <x:c r="K34" s="8">
        <x:f>'Воздействие'!C12*D34</x:f>
        <x:v>0</x:v>
      </x:c>
      <x:c r="L34" s="8">
        <x:f>'Воздействие'!D12*E34</x:f>
        <x:v>0.25</x:v>
      </x:c>
      <x:c r="M34" s="8">
        <x:f>'Воздействие'!E12*D34*E34</x:f>
        <x:v>0</x:v>
      </x:c>
      <x:c r="N34" s="8">
        <x:f>K34+L34-M34</x:f>
        <x:v>0.25</x:v>
      </x:c>
      <x:c r="O34" s="1">
        <x:f>J34*'Параметры'!$B$10*N34</x:f>
        <x:v>330.34757167934458</x:v>
      </x:c>
      <x:c r="P34" s="8">
        <x:f>(1-'Воздействие'!F12*D34)*(1-'Воздействие'!G12*E34)</x:f>
        <x:v>1</x:v>
      </x:c>
      <x:c r="Q34" s="1">
        <x:f>J34*P34</x:f>
        <x:v>13213.902867173783</x:v>
      </x:c>
      <x:c r="R34" s="1">
        <x:f>O34*P34</x:f>
        <x:v>330.34757167934458</x:v>
      </x:c>
      <x:c r="S34" s="8">
        <x:f>(1-'Гипотезы'!D6)*(1-'Гипотезы'!E6)</x:f>
        <x:v>0.5625</x:v>
      </x:c>
      <x:c r="T34" s="12">
        <x:f>Q34+R34*S34</x:f>
        <x:v>13399.723376243415</x:v>
      </x:c>
      <x:c r="U34" s="12">
        <x:f>T34-J34</x:f>
        <x:v>185.82050906963195</x:v>
      </x:c>
      <x:c r="V34" s="12">
        <x:f>J34*'Когорты'!T8</x:f>
        <x:v>13213.902867173783</x:v>
      </x:c>
      <x:c r="W34" s="12">
        <x:f>Q34*'Когорты'!T8*(1+'Воздействие'!H12*N34)</x:f>
        <x:v>13213.902867173783</x:v>
      </x:c>
      <x:c r="X34" s="12">
        <x:f>R34*'Когорты'!T8*(1+'Воздействие'!H12*N34)</x:f>
        <x:v>330.34757167934458</x:v>
      </x:c>
      <x:c r="Y34" s="12">
        <x:f>W34+X34*S34</x:f>
        <x:v>13399.723376243415</x:v>
      </x:c>
      <x:c r="Z34" s="12">
        <x:f>F34*N34</x:f>
        <x:v>120119.99999999999</x:v>
      </x:c>
      <x:c r="AA34" s="12">
        <x:f>J34*D34</x:f>
        <x:v>0</x:v>
      </x:c>
      <x:c r="AB34" s="12">
        <x:f>Q34*D34</x:f>
        <x:v>0</x:v>
      </x:c>
      <x:c r="AC34" s="12">
        <x:f>R34*D34</x:f>
        <x:v>0</x:v>
      </x:c>
      <x:c r="AD34" s="12">
        <x:f>J34*E34</x:f>
        <x:v>13213.902867173783</x:v>
      </x:c>
      <x:c r="AE34" s="12">
        <x:f>Q34*E34</x:f>
        <x:v>13213.902867173783</x:v>
      </x:c>
      <x:c r="AF34" s="12">
        <x:f>R34*E34</x:f>
        <x:v>330.34757167934458</x:v>
      </x:c>
      <x:c r="AG34" s="1">
        <x:f>IF(AND(I34&gt;=0,I34&lt;=1,Q34+R34&lt;=F34+0.00000001,N34&gt;=0,N34&lt;=1),1,0)</x:f>
        <x:v>1</x:v>
      </x:c>
      <x:c r="AH34" s="1"/>
      <x:c r="AI34" s="1"/>
    </x:row>
    <x:row r="35" ht="24" customHeight="1">
      <x:c r="A35" s="1" t="str">
        <x:v>H2</x:v>
      </x:c>
      <x:c r="B35" s="1" t="str">
        <x:v>S4</x:v>
      </x:c>
      <x:c r="C35" s="1" t="str">
        <x:v>Оба</x:v>
      </x:c>
      <x:c r="D35" s="1" t="n">
        <x:v>1</x:v>
      </x:c>
      <x:c r="E35" s="1" t="n">
        <x:v>1</x:v>
      </x:c>
      <x:c r="F35" s="12">
        <x:f>'Когорты'!D8*'Когорты'!K8</x:f>
        <x:v>1921920.0000000002</x:v>
      </x:c>
      <x:c r="G35" s="8">
        <x:f>'Когорты'!F8</x:f>
        <x:v>0.14099999999999999</x:v>
      </x:c>
      <x:c r="H35" s="1">
        <x:f>'Когорты'!Q8</x:f>
        <x:v>1</x:v>
      </x:c>
      <x:c r="I35" s="8">
        <x:f>IF('Когорты'!S8&gt;0,G35*H35/'Когорты'!S8,0)</x:f>
        <x:v>0.13750731421884141</x:v>
      </x:c>
      <x:c r="J35" s="1">
        <x:f>F35*I35</x:f>
        <x:v>264278.0573434757</x:v>
      </x:c>
      <x:c r="K35" s="8">
        <x:f>'Воздействие'!C12*D35</x:f>
        <x:v>0.20000000000000001</x:v>
      </x:c>
      <x:c r="L35" s="8">
        <x:f>'Воздействие'!D12*E35</x:f>
        <x:v>0.25</x:v>
      </x:c>
      <x:c r="M35" s="8">
        <x:f>'Воздействие'!E12*D35*E35</x:f>
        <x:v>0.10000000000000001</x:v>
      </x:c>
      <x:c r="N35" s="8">
        <x:f>K35+L35-M35</x:f>
        <x:v>0.34999999999999998</x:v>
      </x:c>
      <x:c r="O35" s="1">
        <x:f>J35*'Параметры'!$B$10*N35</x:f>
        <x:v>9249.7320070216483</x:v>
      </x:c>
      <x:c r="P35" s="8">
        <x:f>(1-'Воздействие'!F12*D35)*(1-'Воздействие'!G12*E35)</x:f>
        <x:v>1</x:v>
      </x:c>
      <x:c r="Q35" s="1">
        <x:f>J35*P35</x:f>
        <x:v>264278.0573434757</x:v>
      </x:c>
      <x:c r="R35" s="1">
        <x:f>O35*P35</x:f>
        <x:v>9249.7320070216483</x:v>
      </x:c>
      <x:c r="S35" s="8">
        <x:f>(1-'Гипотезы'!D6)*(1-'Гипотезы'!E6)</x:f>
        <x:v>0.5625</x:v>
      </x:c>
      <x:c r="T35" s="12">
        <x:f>Q35+R35*S35</x:f>
        <x:v>269481.03159742535</x:v>
      </x:c>
      <x:c r="U35" s="12">
        <x:f>T35-J35</x:f>
        <x:v>5202.974253949651</x:v>
      </x:c>
      <x:c r="V35" s="12">
        <x:f>J35*'Когорты'!T8</x:f>
        <x:v>264278.0573434757</x:v>
      </x:c>
      <x:c r="W35" s="12">
        <x:f>Q35*'Когорты'!T8*(1+'Воздействие'!H12*N35)</x:f>
        <x:v>264278.0573434757</x:v>
      </x:c>
      <x:c r="X35" s="12">
        <x:f>R35*'Когорты'!T8*(1+'Воздействие'!H12*N35)</x:f>
        <x:v>9249.7320070216483</x:v>
      </x:c>
      <x:c r="Y35" s="12">
        <x:f>W35+X35*S35</x:f>
        <x:v>269481.03159742535</x:v>
      </x:c>
      <x:c r="Z35" s="12">
        <x:f>F35*N35</x:f>
        <x:v>672672</x:v>
      </x:c>
      <x:c r="AA35" s="12">
        <x:f>J35*D35</x:f>
        <x:v>264278.0573434757</x:v>
      </x:c>
      <x:c r="AB35" s="12">
        <x:f>Q35*D35</x:f>
        <x:v>264278.0573434757</x:v>
      </x:c>
      <x:c r="AC35" s="12">
        <x:f>R35*D35</x:f>
        <x:v>9249.7320070216483</x:v>
      </x:c>
      <x:c r="AD35" s="12">
        <x:f>J35*E35</x:f>
        <x:v>264278.0573434757</x:v>
      </x:c>
      <x:c r="AE35" s="12">
        <x:f>Q35*E35</x:f>
        <x:v>264278.0573434757</x:v>
      </x:c>
      <x:c r="AF35" s="12">
        <x:f>R35*E35</x:f>
        <x:v>9249.7320070216483</x:v>
      </x:c>
      <x:c r="AG35" s="1">
        <x:f>IF(AND(I35&gt;=0,I35&lt;=1,Q35+R35&lt;=F35+0.00000001,N35&gt;=0,N35&lt;=1),1,0)</x:f>
        <x:v>1</x:v>
      </x:c>
      <x:c r="AH35" s="1"/>
      <x:c r="AI35" s="1"/>
    </x:row>
    <x:row r="36" ht="24" customHeight="1">
      <x:c r="A36" s="1" t="str">
        <x:v>H2</x:v>
      </x:c>
      <x:c r="B36" s="1" t="str">
        <x:v>S4</x:v>
      </x:c>
      <x:c r="C36" s="1" t="str">
        <x:v>Ни один</x:v>
      </x:c>
      <x:c r="D36" s="1" t="n">
        <x:v>0</x:v>
      </x:c>
      <x:c r="E36" s="1" t="n">
        <x:v>0</x:v>
      </x:c>
      <x:c r="F36" s="12">
        <x:f>'Когорты'!D8*'Когорты'!N8</x:f>
        <x:v>5987519.9999999991</x:v>
      </x:c>
      <x:c r="G36" s="8">
        <x:f>'Когорты'!F8</x:f>
        <x:v>0.14099999999999999</x:v>
      </x:c>
      <x:c r="H36" s="1">
        <x:f>'Когорты'!R8</x:f>
        <x:v>0.29999999999999999</x:v>
      </x:c>
      <x:c r="I36" s="8">
        <x:f>IF('Когорты'!S8&gt;0,G36*H36/'Когорты'!S8,0)</x:f>
        <x:v>0.041252194265652423</x:v>
      </x:c>
      <x:c r="J36" s="1">
        <x:f>F36*I36</x:f>
        <x:v>246998.33820947915</x:v>
      </x:c>
      <x:c r="K36" s="8">
        <x:f>'Воздействие'!C12*D36</x:f>
        <x:v>0</x:v>
      </x:c>
      <x:c r="L36" s="8">
        <x:f>'Воздействие'!D12*E36</x:f>
        <x:v>0</x:v>
      </x:c>
      <x:c r="M36" s="8">
        <x:f>'Воздействие'!E12*D36*E36</x:f>
        <x:v>0</x:v>
      </x:c>
      <x:c r="N36" s="8">
        <x:f>K36+L36-M36</x:f>
        <x:v>0</x:v>
      </x:c>
      <x:c r="O36" s="1">
        <x:f>J36*'Параметры'!$B$10*N36</x:f>
        <x:v>0</x:v>
      </x:c>
      <x:c r="P36" s="8">
        <x:f>(1-'Воздействие'!F12*D36)*(1-'Воздействие'!G12*E36)</x:f>
        <x:v>1</x:v>
      </x:c>
      <x:c r="Q36" s="1">
        <x:f>J36*P36</x:f>
        <x:v>246998.33820947915</x:v>
      </x:c>
      <x:c r="R36" s="1">
        <x:f>O36*P36</x:f>
        <x:v>0</x:v>
      </x:c>
      <x:c r="S36" s="8">
        <x:f>(1-'Гипотезы'!D6)*(1-'Гипотезы'!E6)</x:f>
        <x:v>0.5625</x:v>
      </x:c>
      <x:c r="T36" s="12">
        <x:f>Q36+R36*S36</x:f>
        <x:v>246998.33820947915</x:v>
      </x:c>
      <x:c r="U36" s="12">
        <x:f>T36-J36</x:f>
        <x:v>0</x:v>
      </x:c>
      <x:c r="V36" s="12">
        <x:f>J36*'Когорты'!T8</x:f>
        <x:v>246998.33820947915</x:v>
      </x:c>
      <x:c r="W36" s="12">
        <x:f>Q36*'Когорты'!T8*(1+'Воздействие'!H12*N36)</x:f>
        <x:v>246998.33820947915</x:v>
      </x:c>
      <x:c r="X36" s="12">
        <x:f>R36*'Когорты'!T8*(1+'Воздействие'!H12*N36)</x:f>
        <x:v>0</x:v>
      </x:c>
      <x:c r="Y36" s="12">
        <x:f>W36+X36*S36</x:f>
        <x:v>246998.33820947915</x:v>
      </x:c>
      <x:c r="Z36" s="12">
        <x:f>F36*N36</x:f>
        <x:v>0</x:v>
      </x:c>
      <x:c r="AA36" s="12">
        <x:f>J36*D36</x:f>
        <x:v>0</x:v>
      </x:c>
      <x:c r="AB36" s="12">
        <x:f>Q36*D36</x:f>
        <x:v>0</x:v>
      </x:c>
      <x:c r="AC36" s="12">
        <x:f>R36*D36</x:f>
        <x:v>0</x:v>
      </x:c>
      <x:c r="AD36" s="12">
        <x:f>J36*E36</x:f>
        <x:v>0</x:v>
      </x:c>
      <x:c r="AE36" s="12">
        <x:f>Q36*E36</x:f>
        <x:v>0</x:v>
      </x:c>
      <x:c r="AF36" s="12">
        <x:f>R36*E36</x:f>
        <x:v>0</x:v>
      </x:c>
      <x:c r="AG36" s="1">
        <x:f>IF(AND(I36&gt;=0,I36&lt;=1,Q36+R36&lt;=F36+0.00000001,N36&gt;=0,N36&lt;=1),1,0)</x:f>
        <x:v>1</x:v>
      </x:c>
      <x:c r="AH36" s="1"/>
      <x:c r="AI36" s="1"/>
    </x:row>
    <x:row r="37" ht="24" customHeight="1">
      <x:c r="A37" s="1" t="str">
        <x:v>H3</x:v>
      </x:c>
      <x:c r="B37" s="1" t="str">
        <x:v>S1</x:v>
      </x:c>
      <x:c r="C37" s="1" t="str">
        <x:v>Только C</x:v>
      </x:c>
      <x:c r="D37" s="1" t="n">
        <x:v>1</x:v>
      </x:c>
      <x:c r="E37" s="1" t="n">
        <x:v>0</x:v>
      </x:c>
      <x:c r="F37" s="12">
        <x:f>'Когорты'!D5*'Когорты'!L5</x:f>
        <x:v>6726719.9999999991</x:v>
      </x:c>
      <x:c r="G37" s="8">
        <x:f>'Когорты'!F5</x:f>
        <x:v>0.23099999999999998</x:v>
      </x:c>
      <x:c r="H37" s="1">
        <x:f>'Когорты'!O5</x:f>
        <x:v>1.5</x:v>
      </x:c>
      <x:c r="I37" s="8">
        <x:f>IF('Когорты'!S5&gt;0,G37*H37/'Когорты'!S5,0)</x:f>
        <x:v>0.33791691047396133</x:v>
      </x:c>
      <x:c r="J37" s="1">
        <x:f>F37*I37</x:f>
        <x:v>2273072.440023405</x:v>
      </x:c>
      <x:c r="K37" s="8">
        <x:f>'Воздействие'!C13*D37</x:f>
        <x:v>0.10000000000000001</x:v>
      </x:c>
      <x:c r="L37" s="8">
        <x:f>'Воздействие'!D13*E37</x:f>
        <x:v>0</x:v>
      </x:c>
      <x:c r="M37" s="8">
        <x:f>'Воздействие'!E13*D37*E37</x:f>
        <x:v>0</x:v>
      </x:c>
      <x:c r="N37" s="8">
        <x:f>K37+L37-M37</x:f>
        <x:v>0.10000000000000001</x:v>
      </x:c>
      <x:c r="O37" s="1">
        <x:f>J37*'Параметры'!$B$10*N37</x:f>
        <x:v>22730.724400234052</x:v>
      </x:c>
      <x:c r="P37" s="8">
        <x:f>(1-'Воздействие'!F13*D37)*(1-'Воздействие'!G13*E37)</x:f>
        <x:v>1</x:v>
      </x:c>
      <x:c r="Q37" s="1">
        <x:f>J37*P37</x:f>
        <x:v>2273072.440023405</x:v>
      </x:c>
      <x:c r="R37" s="1">
        <x:f>O37*P37</x:f>
        <x:v>22730.724400234052</x:v>
      </x:c>
      <x:c r="S37" s="8">
        <x:f>(1-'Гипотезы'!D7)*(1-'Гипотезы'!E7)</x:f>
        <x:v>0.5625</x:v>
      </x:c>
      <x:c r="T37" s="12">
        <x:f>Q37+R37*S37</x:f>
        <x:v>2285858.4724985366</x:v>
      </x:c>
      <x:c r="U37" s="12">
        <x:f>T37-J37</x:f>
        <x:v>12786.032475131564</x:v>
      </x:c>
      <x:c r="V37" s="12">
        <x:f>J37*'Когорты'!T5</x:f>
        <x:v>2273072.440023405</x:v>
      </x:c>
      <x:c r="W37" s="12">
        <x:f>Q37*'Когорты'!T5*(1+'Воздействие'!H13*N37)</x:f>
        <x:v>2273072.440023405</x:v>
      </x:c>
      <x:c r="X37" s="12">
        <x:f>R37*'Когорты'!T5*(1+'Воздействие'!H13*N37)</x:f>
        <x:v>22730.724400234052</x:v>
      </x:c>
      <x:c r="Y37" s="12">
        <x:f>W37+X37*S37</x:f>
        <x:v>2285858.4724985366</x:v>
      </x:c>
      <x:c r="Z37" s="12">
        <x:f>F37*N37</x:f>
        <x:v>672672</x:v>
      </x:c>
      <x:c r="AA37" s="12">
        <x:f>J37*D37</x:f>
        <x:v>2273072.440023405</x:v>
      </x:c>
      <x:c r="AB37" s="12">
        <x:f>Q37*D37</x:f>
        <x:v>2273072.440023405</x:v>
      </x:c>
      <x:c r="AC37" s="12">
        <x:f>R37*D37</x:f>
        <x:v>22730.724400234052</x:v>
      </x:c>
      <x:c r="AD37" s="12">
        <x:f>J37*E37</x:f>
        <x:v>0</x:v>
      </x:c>
      <x:c r="AE37" s="12">
        <x:f>Q37*E37</x:f>
        <x:v>0</x:v>
      </x:c>
      <x:c r="AF37" s="12">
        <x:f>R37*E37</x:f>
        <x:v>0</x:v>
      </x:c>
      <x:c r="AG37" s="1">
        <x:f>IF(AND(I37&gt;=0,I37&lt;=1,Q37+R37&lt;=F37+0.00000001,N37&gt;=0,N37&lt;=1),1,0)</x:f>
        <x:v>1</x:v>
      </x:c>
      <x:c r="AH37" s="1"/>
      <x:c r="AI37" s="1"/>
    </x:row>
    <x:row r="38" ht="24" customHeight="1">
      <x:c r="A38" s="1" t="str">
        <x:v>H3</x:v>
      </x:c>
      <x:c r="B38" s="1" t="str">
        <x:v>S1</x:v>
      </x:c>
      <x:c r="C38" s="1" t="str">
        <x:v>Только F</x:v>
      </x:c>
      <x:c r="D38" s="1" t="n">
        <x:v>0</x:v>
      </x:c>
      <x:c r="E38" s="1" t="n">
        <x:v>1</x:v>
      </x:c>
      <x:c r="F38" s="12">
        <x:f>'Когорты'!D5*'Когорты'!M5</x:f>
        <x:v>320319.99999999988</x:v>
      </x:c>
      <x:c r="G38" s="8">
        <x:f>'Когорты'!F5</x:f>
        <x:v>0.23099999999999998</x:v>
      </x:c>
      <x:c r="H38" s="1">
        <x:f>'Когорты'!P5</x:f>
        <x:v>0.20000000000000001</x:v>
      </x:c>
      <x:c r="I38" s="8">
        <x:f>IF('Когорты'!S5&gt;0,G38*H38/'Когорты'!S5,0)</x:f>
        <x:v>0.045055588063194846</x:v>
      </x:c>
      <x:c r="J38" s="1">
        <x:f>F38*I38</x:f>
        <x:v>14432.205968402568</x:v>
      </x:c>
      <x:c r="K38" s="8">
        <x:f>'Воздействие'!C13*D38</x:f>
        <x:v>0</x:v>
      </x:c>
      <x:c r="L38" s="8">
        <x:f>'Воздействие'!D13*E38</x:f>
        <x:v>0</x:v>
      </x:c>
      <x:c r="M38" s="8">
        <x:f>'Воздействие'!E13*D38*E38</x:f>
        <x:v>0</x:v>
      </x:c>
      <x:c r="N38" s="8">
        <x:f>K38+L38-M38</x:f>
        <x:v>0</x:v>
      </x:c>
      <x:c r="O38" s="1">
        <x:f>J38*'Параметры'!$B$10*N38</x:f>
        <x:v>0</x:v>
      </x:c>
      <x:c r="P38" s="8">
        <x:f>(1-'Воздействие'!F13*D38)*(1-'Воздействие'!G13*E38)</x:f>
        <x:v>1</x:v>
      </x:c>
      <x:c r="Q38" s="1">
        <x:f>J38*P38</x:f>
        <x:v>14432.205968402568</x:v>
      </x:c>
      <x:c r="R38" s="1">
        <x:f>O38*P38</x:f>
        <x:v>0</x:v>
      </x:c>
      <x:c r="S38" s="8">
        <x:f>(1-'Гипотезы'!D7)*(1-'Гипотезы'!E7)</x:f>
        <x:v>0.5625</x:v>
      </x:c>
      <x:c r="T38" s="12">
        <x:f>Q38+R38*S38</x:f>
        <x:v>14432.205968402568</x:v>
      </x:c>
      <x:c r="U38" s="12">
        <x:f>T38-J38</x:f>
        <x:v>0</x:v>
      </x:c>
      <x:c r="V38" s="12">
        <x:f>J38*'Когорты'!T5</x:f>
        <x:v>14432.205968402568</x:v>
      </x:c>
      <x:c r="W38" s="12">
        <x:f>Q38*'Когорты'!T5*(1+'Воздействие'!H13*N38)</x:f>
        <x:v>14432.205968402568</x:v>
      </x:c>
      <x:c r="X38" s="12">
        <x:f>R38*'Когорты'!T5*(1+'Воздействие'!H13*N38)</x:f>
        <x:v>0</x:v>
      </x:c>
      <x:c r="Y38" s="12">
        <x:f>W38+X38*S38</x:f>
        <x:v>14432.205968402568</x:v>
      </x:c>
      <x:c r="Z38" s="12">
        <x:f>F38*N38</x:f>
        <x:v>0</x:v>
      </x:c>
      <x:c r="AA38" s="12">
        <x:f>J38*D38</x:f>
        <x:v>0</x:v>
      </x:c>
      <x:c r="AB38" s="12">
        <x:f>Q38*D38</x:f>
        <x:v>0</x:v>
      </x:c>
      <x:c r="AC38" s="12">
        <x:f>R38*D38</x:f>
        <x:v>0</x:v>
      </x:c>
      <x:c r="AD38" s="12">
        <x:f>J38*E38</x:f>
        <x:v>14432.205968402568</x:v>
      </x:c>
      <x:c r="AE38" s="12">
        <x:f>Q38*E38</x:f>
        <x:v>14432.205968402568</x:v>
      </x:c>
      <x:c r="AF38" s="12">
        <x:f>R38*E38</x:f>
        <x:v>0</x:v>
      </x:c>
      <x:c r="AG38" s="1">
        <x:f>IF(AND(I38&gt;=0,I38&lt;=1,Q38+R38&lt;=F38+0.00000001,N38&gt;=0,N38&lt;=1),1,0)</x:f>
        <x:v>1</x:v>
      </x:c>
      <x:c r="AH38" s="1"/>
      <x:c r="AI38" s="1"/>
    </x:row>
    <x:row r="39" ht="24" customHeight="1">
      <x:c r="A39" s="1" t="str">
        <x:v>H3</x:v>
      </x:c>
      <x:c r="B39" s="1" t="str">
        <x:v>S1</x:v>
      </x:c>
      <x:c r="C39" s="1" t="str">
        <x:v>Оба</x:v>
      </x:c>
      <x:c r="D39" s="1" t="n">
        <x:v>1</x:v>
      </x:c>
      <x:c r="E39" s="1" t="n">
        <x:v>1</x:v>
      </x:c>
      <x:c r="F39" s="12">
        <x:f>'Когорты'!D5*'Когорты'!K5</x:f>
        <x:v>1281280</x:v>
      </x:c>
      <x:c r="G39" s="8">
        <x:f>'Когорты'!F5</x:f>
        <x:v>0.23099999999999998</x:v>
      </x:c>
      <x:c r="H39" s="1">
        <x:f>'Когорты'!Q5</x:f>
        <x:v>1</x:v>
      </x:c>
      <x:c r="I39" s="8">
        <x:f>IF('Когорты'!S5&gt;0,G39*H39/'Когорты'!S5,0)</x:f>
        <x:v>0.22527794031597423</x:v>
      </x:c>
      <x:c r="J39" s="1">
        <x:f>F39*I39</x:f>
        <x:v>288644.11936805147</x:v>
      </x:c>
      <x:c r="K39" s="8">
        <x:f>'Воздействие'!C13*D39</x:f>
        <x:v>0.10000000000000001</x:v>
      </x:c>
      <x:c r="L39" s="8">
        <x:f>'Воздействие'!D13*E39</x:f>
        <x:v>0</x:v>
      </x:c>
      <x:c r="M39" s="8">
        <x:f>'Воздействие'!E13*D39*E39</x:f>
        <x:v>0</x:v>
      </x:c>
      <x:c r="N39" s="8">
        <x:f>K39+L39-M39</x:f>
        <x:v>0.10000000000000001</x:v>
      </x:c>
      <x:c r="O39" s="1">
        <x:f>J39*'Параметры'!$B$10*N39</x:f>
        <x:v>2886.441193680515</x:v>
      </x:c>
      <x:c r="P39" s="8">
        <x:f>(1-'Воздействие'!F13*D39)*(1-'Воздействие'!G13*E39)</x:f>
        <x:v>1</x:v>
      </x:c>
      <x:c r="Q39" s="1">
        <x:f>J39*P39</x:f>
        <x:v>288644.11936805147</x:v>
      </x:c>
      <x:c r="R39" s="1">
        <x:f>O39*P39</x:f>
        <x:v>2886.441193680515</x:v>
      </x:c>
      <x:c r="S39" s="8">
        <x:f>(1-'Гипотезы'!D7)*(1-'Гипотезы'!E7)</x:f>
        <x:v>0.5625</x:v>
      </x:c>
      <x:c r="T39" s="12">
        <x:f>Q39+R39*S39</x:f>
        <x:v>290267.74253949674</x:v>
      </x:c>
      <x:c r="U39" s="12">
        <x:f>T39-J39</x:f>
        <x:v>1623.6231714452733</x:v>
      </x:c>
      <x:c r="V39" s="12">
        <x:f>J39*'Когорты'!T5</x:f>
        <x:v>288644.11936805147</x:v>
      </x:c>
      <x:c r="W39" s="12">
        <x:f>Q39*'Когорты'!T5*(1+'Воздействие'!H13*N39)</x:f>
        <x:v>288644.11936805147</x:v>
      </x:c>
      <x:c r="X39" s="12">
        <x:f>R39*'Когорты'!T5*(1+'Воздействие'!H13*N39)</x:f>
        <x:v>2886.441193680515</x:v>
      </x:c>
      <x:c r="Y39" s="12">
        <x:f>W39+X39*S39</x:f>
        <x:v>290267.74253949674</x:v>
      </x:c>
      <x:c r="Z39" s="12">
        <x:f>F39*N39</x:f>
        <x:v>128128</x:v>
      </x:c>
      <x:c r="AA39" s="12">
        <x:f>J39*D39</x:f>
        <x:v>288644.11936805147</x:v>
      </x:c>
      <x:c r="AB39" s="12">
        <x:f>Q39*D39</x:f>
        <x:v>288644.11936805147</x:v>
      </x:c>
      <x:c r="AC39" s="12">
        <x:f>R39*D39</x:f>
        <x:v>2886.441193680515</x:v>
      </x:c>
      <x:c r="AD39" s="12">
        <x:f>J39*E39</x:f>
        <x:v>288644.11936805147</x:v>
      </x:c>
      <x:c r="AE39" s="12">
        <x:f>Q39*E39</x:f>
        <x:v>288644.11936805147</x:v>
      </x:c>
      <x:c r="AF39" s="12">
        <x:f>R39*E39</x:f>
        <x:v>2886.441193680515</x:v>
      </x:c>
      <x:c r="AG39" s="1">
        <x:f>IF(AND(I39&gt;=0,I39&lt;=1,Q39+R39&lt;=F39+0.00000001,N39&gt;=0,N39&lt;=1),1,0)</x:f>
        <x:v>1</x:v>
      </x:c>
      <x:c r="AH39" s="1"/>
      <x:c r="AI39" s="1"/>
    </x:row>
    <x:row r="40" ht="24" customHeight="1">
      <x:c r="A40" s="1" t="str">
        <x:v>H3</x:v>
      </x:c>
      <x:c r="B40" s="1" t="str">
        <x:v>S1</x:v>
      </x:c>
      <x:c r="C40" s="1" t="str">
        <x:v>Ни один</x:v>
      </x:c>
      <x:c r="D40" s="1" t="n">
        <x:v>0</x:v>
      </x:c>
      <x:c r="E40" s="1" t="n">
        <x:v>0</x:v>
      </x:c>
      <x:c r="F40" s="12">
        <x:f>'Когорты'!D5*'Когорты'!N5</x:f>
        <x:v>3991679.9999999991</x:v>
      </x:c>
      <x:c r="G40" s="8">
        <x:f>'Когорты'!F5</x:f>
        <x:v>0.23099999999999998</x:v>
      </x:c>
      <x:c r="H40" s="1">
        <x:f>'Когорты'!R5</x:f>
        <x:v>0.29999999999999999</x:v>
      </x:c>
      <x:c r="I40" s="8">
        <x:f>IF('Когорты'!S5&gt;0,G40*H40/'Когорты'!S5,0)</x:f>
        <x:v>0.067583382094792255</x:v>
      </x:c>
      <x:c r="J40" s="1">
        <x:f>F40*I40</x:f>
        <x:v>269771.23464014026</x:v>
      </x:c>
      <x:c r="K40" s="8">
        <x:f>'Воздействие'!C13*D40</x:f>
        <x:v>0</x:v>
      </x:c>
      <x:c r="L40" s="8">
        <x:f>'Воздействие'!D13*E40</x:f>
        <x:v>0</x:v>
      </x:c>
      <x:c r="M40" s="8">
        <x:f>'Воздействие'!E13*D40*E40</x:f>
        <x:v>0</x:v>
      </x:c>
      <x:c r="N40" s="8">
        <x:f>K40+L40-M40</x:f>
        <x:v>0</x:v>
      </x:c>
      <x:c r="O40" s="1">
        <x:f>J40*'Параметры'!$B$10*N40</x:f>
        <x:v>0</x:v>
      </x:c>
      <x:c r="P40" s="8">
        <x:f>(1-'Воздействие'!F13*D40)*(1-'Воздействие'!G13*E40)</x:f>
        <x:v>1</x:v>
      </x:c>
      <x:c r="Q40" s="1">
        <x:f>J40*P40</x:f>
        <x:v>269771.23464014026</x:v>
      </x:c>
      <x:c r="R40" s="1">
        <x:f>O40*P40</x:f>
        <x:v>0</x:v>
      </x:c>
      <x:c r="S40" s="8">
        <x:f>(1-'Гипотезы'!D7)*(1-'Гипотезы'!E7)</x:f>
        <x:v>0.5625</x:v>
      </x:c>
      <x:c r="T40" s="12">
        <x:f>Q40+R40*S40</x:f>
        <x:v>269771.23464014026</x:v>
      </x:c>
      <x:c r="U40" s="12">
        <x:f>T40-J40</x:f>
        <x:v>0</x:v>
      </x:c>
      <x:c r="V40" s="12">
        <x:f>J40*'Когорты'!T5</x:f>
        <x:v>269771.23464014026</x:v>
      </x:c>
      <x:c r="W40" s="12">
        <x:f>Q40*'Когорты'!T5*(1+'Воздействие'!H13*N40)</x:f>
        <x:v>269771.23464014026</x:v>
      </x:c>
      <x:c r="X40" s="12">
        <x:f>R40*'Когорты'!T5*(1+'Воздействие'!H13*N40)</x:f>
        <x:v>0</x:v>
      </x:c>
      <x:c r="Y40" s="12">
        <x:f>W40+X40*S40</x:f>
        <x:v>269771.23464014026</x:v>
      </x:c>
      <x:c r="Z40" s="12">
        <x:f>F40*N40</x:f>
        <x:v>0</x:v>
      </x:c>
      <x:c r="AA40" s="12">
        <x:f>J40*D40</x:f>
        <x:v>0</x:v>
      </x:c>
      <x:c r="AB40" s="12">
        <x:f>Q40*D40</x:f>
        <x:v>0</x:v>
      </x:c>
      <x:c r="AC40" s="12">
        <x:f>R40*D40</x:f>
        <x:v>0</x:v>
      </x:c>
      <x:c r="AD40" s="12">
        <x:f>J40*E40</x:f>
        <x:v>0</x:v>
      </x:c>
      <x:c r="AE40" s="12">
        <x:f>Q40*E40</x:f>
        <x:v>0</x:v>
      </x:c>
      <x:c r="AF40" s="12">
        <x:f>R40*E40</x:f>
        <x:v>0</x:v>
      </x:c>
      <x:c r="AG40" s="1">
        <x:f>IF(AND(I40&gt;=0,I40&lt;=1,Q40+R40&lt;=F40+0.00000001,N40&gt;=0,N40&lt;=1),1,0)</x:f>
        <x:v>1</x:v>
      </x:c>
      <x:c r="AH40" s="1"/>
      <x:c r="AI40" s="1"/>
    </x:row>
    <x:row r="41" ht="24" customHeight="1">
      <x:c r="A41" s="1" t="str">
        <x:v>H3</x:v>
      </x:c>
      <x:c r="B41" s="1" t="str">
        <x:v>S2</x:v>
      </x:c>
      <x:c r="C41" s="1" t="str">
        <x:v>Только C</x:v>
      </x:c>
      <x:c r="D41" s="1" t="n">
        <x:v>1</x:v>
      </x:c>
      <x:c r="E41" s="1" t="n">
        <x:v>0</x:v>
      </x:c>
      <x:c r="F41" s="12">
        <x:f>'Когорты'!D6*'Когорты'!L6</x:f>
        <x:v>2882880</x:v>
      </x:c>
      <x:c r="G41" s="8">
        <x:f>'Когорты'!F6</x:f>
        <x:v>0.14099999999999999</x:v>
      </x:c>
      <x:c r="H41" s="1">
        <x:f>'Когорты'!O6</x:f>
        <x:v>1.5</x:v>
      </x:c>
      <x:c r="I41" s="8">
        <x:f>IF('Когорты'!S6&gt;0,G41*H41/'Когорты'!S6,0)</x:f>
        <x:v>0.2062609713282621</x:v>
      </x:c>
      <x:c r="J41" s="1">
        <x:f>F41*I41</x:f>
        <x:v>594625.62902282027</x:v>
      </x:c>
      <x:c r="K41" s="8">
        <x:f>'Воздействие'!C14*D41</x:f>
        <x:v>0.40000000000000002</x:v>
      </x:c>
      <x:c r="L41" s="8">
        <x:f>'Воздействие'!D14*E41</x:f>
        <x:v>0</x:v>
      </x:c>
      <x:c r="M41" s="8">
        <x:f>'Воздействие'!E14*D41*E41</x:f>
        <x:v>0</x:v>
      </x:c>
      <x:c r="N41" s="8">
        <x:f>K41+L41-M41</x:f>
        <x:v>0.40000000000000002</x:v>
      </x:c>
      <x:c r="O41" s="1">
        <x:f>J41*'Параметры'!$B$10*N41</x:f>
        <x:v>23785.025160912814</x:v>
      </x:c>
      <x:c r="P41" s="8">
        <x:f>(1-'Воздействие'!F14*D41)*(1-'Воздействие'!G14*E41)</x:f>
        <x:v>1</x:v>
      </x:c>
      <x:c r="Q41" s="1">
        <x:f>J41*P41</x:f>
        <x:v>594625.62902282027</x:v>
      </x:c>
      <x:c r="R41" s="1">
        <x:f>O41*P41</x:f>
        <x:v>23785.025160912814</x:v>
      </x:c>
      <x:c r="S41" s="8">
        <x:f>(1-'Гипотезы'!D7)*(1-'Гипотезы'!E7)</x:f>
        <x:v>0.5625</x:v>
      </x:c>
      <x:c r="T41" s="12">
        <x:f>Q41+R41*S41</x:f>
        <x:v>608004.70567583374</x:v>
      </x:c>
      <x:c r="U41" s="12">
        <x:f>T41-J41</x:f>
        <x:v>13379.076653013472</x:v>
      </x:c>
      <x:c r="V41" s="12">
        <x:f>J41*'Когорты'!T6</x:f>
        <x:v>594625.62902282027</x:v>
      </x:c>
      <x:c r="W41" s="12">
        <x:f>Q41*'Когорты'!T6*(1+'Воздействие'!H14*N41)</x:f>
        <x:v>594625.62902282027</x:v>
      </x:c>
      <x:c r="X41" s="12">
        <x:f>R41*'Когорты'!T6*(1+'Воздействие'!H14*N41)</x:f>
        <x:v>23785.025160912814</x:v>
      </x:c>
      <x:c r="Y41" s="12">
        <x:f>W41+X41*S41</x:f>
        <x:v>608004.70567583374</x:v>
      </x:c>
      <x:c r="Z41" s="12">
        <x:f>F41*N41</x:f>
        <x:v>1153152</x:v>
      </x:c>
      <x:c r="AA41" s="12">
        <x:f>J41*D41</x:f>
        <x:v>594625.62902282027</x:v>
      </x:c>
      <x:c r="AB41" s="12">
        <x:f>Q41*D41</x:f>
        <x:v>594625.62902282027</x:v>
      </x:c>
      <x:c r="AC41" s="12">
        <x:f>R41*D41</x:f>
        <x:v>23785.025160912814</x:v>
      </x:c>
      <x:c r="AD41" s="12">
        <x:f>J41*E41</x:f>
        <x:v>0</x:v>
      </x:c>
      <x:c r="AE41" s="12">
        <x:f>Q41*E41</x:f>
        <x:v>0</x:v>
      </x:c>
      <x:c r="AF41" s="12">
        <x:f>R41*E41</x:f>
        <x:v>0</x:v>
      </x:c>
      <x:c r="AG41" s="1">
        <x:f>IF(AND(I41&gt;=0,I41&lt;=1,Q41+R41&lt;=F41+0.00000001,N41&gt;=0,N41&lt;=1),1,0)</x:f>
        <x:v>1</x:v>
      </x:c>
      <x:c r="AH41" s="1"/>
      <x:c r="AI41" s="1"/>
    </x:row>
    <x:row r="42" ht="24" customHeight="1">
      <x:c r="A42" s="1" t="str">
        <x:v>H3</x:v>
      </x:c>
      <x:c r="B42" s="1" t="str">
        <x:v>S2</x:v>
      </x:c>
      <x:c r="C42" s="1" t="str">
        <x:v>Только F</x:v>
      </x:c>
      <x:c r="D42" s="1" t="n">
        <x:v>0</x:v>
      </x:c>
      <x:c r="E42" s="1" t="n">
        <x:v>1</x:v>
      </x:c>
      <x:c r="F42" s="12">
        <x:f>'Когорты'!D6*'Когорты'!M6</x:f>
        <x:v>137279.99999999997</x:v>
      </x:c>
      <x:c r="G42" s="8">
        <x:f>'Когорты'!F6</x:f>
        <x:v>0.14099999999999999</x:v>
      </x:c>
      <x:c r="H42" s="1">
        <x:f>'Когорты'!P6</x:f>
        <x:v>0.20000000000000001</x:v>
      </x:c>
      <x:c r="I42" s="8">
        <x:f>IF('Когорты'!S6&gt;0,G42*H42/'Когорты'!S6,0)</x:f>
        <x:v>0.027501462843768282</x:v>
      </x:c>
      <x:c r="J42" s="1">
        <x:f>F42*I42</x:f>
        <x:v>3775.4008191925091</x:v>
      </x:c>
      <x:c r="K42" s="8">
        <x:f>'Воздействие'!C14*D42</x:f>
        <x:v>0</x:v>
      </x:c>
      <x:c r="L42" s="8">
        <x:f>'Воздействие'!D14*E42</x:f>
        <x:v>0</x:v>
      </x:c>
      <x:c r="M42" s="8">
        <x:f>'Воздействие'!E14*D42*E42</x:f>
        <x:v>0</x:v>
      </x:c>
      <x:c r="N42" s="8">
        <x:f>K42+L42-M42</x:f>
        <x:v>0</x:v>
      </x:c>
      <x:c r="O42" s="1">
        <x:f>J42*'Параметры'!$B$10*N42</x:f>
        <x:v>0</x:v>
      </x:c>
      <x:c r="P42" s="8">
        <x:f>(1-'Воздействие'!F14*D42)*(1-'Воздействие'!G14*E42)</x:f>
        <x:v>1</x:v>
      </x:c>
      <x:c r="Q42" s="1">
        <x:f>J42*P42</x:f>
        <x:v>3775.4008191925091</x:v>
      </x:c>
      <x:c r="R42" s="1">
        <x:f>O42*P42</x:f>
        <x:v>0</x:v>
      </x:c>
      <x:c r="S42" s="8">
        <x:f>(1-'Гипотезы'!D7)*(1-'Гипотезы'!E7)</x:f>
        <x:v>0.5625</x:v>
      </x:c>
      <x:c r="T42" s="12">
        <x:f>Q42+R42*S42</x:f>
        <x:v>3775.4008191925091</x:v>
      </x:c>
      <x:c r="U42" s="12">
        <x:f>T42-J42</x:f>
        <x:v>0</x:v>
      </x:c>
      <x:c r="V42" s="12">
        <x:f>J42*'Когорты'!T6</x:f>
        <x:v>3775.4008191925091</x:v>
      </x:c>
      <x:c r="W42" s="12">
        <x:f>Q42*'Когорты'!T6*(1+'Воздействие'!H14*N42)</x:f>
        <x:v>3775.4008191925091</x:v>
      </x:c>
      <x:c r="X42" s="12">
        <x:f>R42*'Когорты'!T6*(1+'Воздействие'!H14*N42)</x:f>
        <x:v>0</x:v>
      </x:c>
      <x:c r="Y42" s="12">
        <x:f>W42+X42*S42</x:f>
        <x:v>3775.4008191925091</x:v>
      </x:c>
      <x:c r="Z42" s="12">
        <x:f>F42*N42</x:f>
        <x:v>0</x:v>
      </x:c>
      <x:c r="AA42" s="12">
        <x:f>J42*D42</x:f>
        <x:v>0</x:v>
      </x:c>
      <x:c r="AB42" s="12">
        <x:f>Q42*D42</x:f>
        <x:v>0</x:v>
      </x:c>
      <x:c r="AC42" s="12">
        <x:f>R42*D42</x:f>
        <x:v>0</x:v>
      </x:c>
      <x:c r="AD42" s="12">
        <x:f>J42*E42</x:f>
        <x:v>3775.4008191925091</x:v>
      </x:c>
      <x:c r="AE42" s="12">
        <x:f>Q42*E42</x:f>
        <x:v>3775.4008191925091</x:v>
      </x:c>
      <x:c r="AF42" s="12">
        <x:f>R42*E42</x:f>
        <x:v>0</x:v>
      </x:c>
      <x:c r="AG42" s="1">
        <x:f>IF(AND(I42&gt;=0,I42&lt;=1,Q42+R42&lt;=F42+0.00000001,N42&gt;=0,N42&lt;=1),1,0)</x:f>
        <x:v>1</x:v>
      </x:c>
      <x:c r="AH42" s="1"/>
      <x:c r="AI42" s="1"/>
    </x:row>
    <x:row r="43" ht="24" customHeight="1">
      <x:c r="A43" s="1" t="str">
        <x:v>H3</x:v>
      </x:c>
      <x:c r="B43" s="1" t="str">
        <x:v>S2</x:v>
      </x:c>
      <x:c r="C43" s="1" t="str">
        <x:v>Оба</x:v>
      </x:c>
      <x:c r="D43" s="1" t="n">
        <x:v>1</x:v>
      </x:c>
      <x:c r="E43" s="1" t="n">
        <x:v>1</x:v>
      </x:c>
      <x:c r="F43" s="12">
        <x:f>'Когорты'!D6*'Когорты'!K6</x:f>
        <x:v>549120</x:v>
      </x:c>
      <x:c r="G43" s="8">
        <x:f>'Когорты'!F6</x:f>
        <x:v>0.14099999999999999</x:v>
      </x:c>
      <x:c r="H43" s="1">
        <x:f>'Когорты'!Q6</x:f>
        <x:v>1</x:v>
      </x:c>
      <x:c r="I43" s="8">
        <x:f>IF('Когорты'!S6&gt;0,G43*H43/'Когорты'!S6,0)</x:f>
        <x:v>0.13750731421884141</x:v>
      </x:c>
      <x:c r="J43" s="1">
        <x:f>F43*I43</x:f>
        <x:v>75508.01638385019</x:v>
      </x:c>
      <x:c r="K43" s="8">
        <x:f>'Воздействие'!C14*D43</x:f>
        <x:v>0.40000000000000002</x:v>
      </x:c>
      <x:c r="L43" s="8">
        <x:f>'Воздействие'!D14*E43</x:f>
        <x:v>0</x:v>
      </x:c>
      <x:c r="M43" s="8">
        <x:f>'Воздействие'!E14*D43*E43</x:f>
        <x:v>0</x:v>
      </x:c>
      <x:c r="N43" s="8">
        <x:f>K43+L43-M43</x:f>
        <x:v>0.40000000000000002</x:v>
      </x:c>
      <x:c r="O43" s="1">
        <x:f>J43*'Параметры'!$B$10*N43</x:f>
        <x:v>3020.3206553540076</x:v>
      </x:c>
      <x:c r="P43" s="8">
        <x:f>(1-'Воздействие'!F14*D43)*(1-'Воздействие'!G14*E43)</x:f>
        <x:v>1</x:v>
      </x:c>
      <x:c r="Q43" s="1">
        <x:f>J43*P43</x:f>
        <x:v>75508.01638385019</x:v>
      </x:c>
      <x:c r="R43" s="1">
        <x:f>O43*P43</x:f>
        <x:v>3020.3206553540076</x:v>
      </x:c>
      <x:c r="S43" s="8">
        <x:f>(1-'Гипотезы'!D7)*(1-'Гипотезы'!E7)</x:f>
        <x:v>0.5625</x:v>
      </x:c>
      <x:c r="T43" s="12">
        <x:f>Q43+R43*S43</x:f>
        <x:v>77206.946752486823</x:v>
      </x:c>
      <x:c r="U43" s="12">
        <x:f>T43-J43</x:f>
        <x:v>1698.9303686366329</x:v>
      </x:c>
      <x:c r="V43" s="12">
        <x:f>J43*'Когорты'!T6</x:f>
        <x:v>75508.01638385019</x:v>
      </x:c>
      <x:c r="W43" s="12">
        <x:f>Q43*'Когорты'!T6*(1+'Воздействие'!H14*N43)</x:f>
        <x:v>75508.01638385019</x:v>
      </x:c>
      <x:c r="X43" s="12">
        <x:f>R43*'Когорты'!T6*(1+'Воздействие'!H14*N43)</x:f>
        <x:v>3020.3206553540076</x:v>
      </x:c>
      <x:c r="Y43" s="12">
        <x:f>W43+X43*S43</x:f>
        <x:v>77206.946752486823</x:v>
      </x:c>
      <x:c r="Z43" s="12">
        <x:f>F43*N43</x:f>
        <x:v>219648</x:v>
      </x:c>
      <x:c r="AA43" s="12">
        <x:f>J43*D43</x:f>
        <x:v>75508.01638385019</x:v>
      </x:c>
      <x:c r="AB43" s="12">
        <x:f>Q43*D43</x:f>
        <x:v>75508.01638385019</x:v>
      </x:c>
      <x:c r="AC43" s="12">
        <x:f>R43*D43</x:f>
        <x:v>3020.3206553540076</x:v>
      </x:c>
      <x:c r="AD43" s="12">
        <x:f>J43*E43</x:f>
        <x:v>75508.01638385019</x:v>
      </x:c>
      <x:c r="AE43" s="12">
        <x:f>Q43*E43</x:f>
        <x:v>75508.01638385019</x:v>
      </x:c>
      <x:c r="AF43" s="12">
        <x:f>R43*E43</x:f>
        <x:v>3020.3206553540076</x:v>
      </x:c>
      <x:c r="AG43" s="1">
        <x:f>IF(AND(I43&gt;=0,I43&lt;=1,Q43+R43&lt;=F43+0.00000001,N43&gt;=0,N43&lt;=1),1,0)</x:f>
        <x:v>1</x:v>
      </x:c>
      <x:c r="AH43" s="1"/>
      <x:c r="AI43" s="1"/>
    </x:row>
    <x:row r="44" ht="24" customHeight="1">
      <x:c r="A44" s="1" t="str">
        <x:v>H3</x:v>
      </x:c>
      <x:c r="B44" s="1" t="str">
        <x:v>S2</x:v>
      </x:c>
      <x:c r="C44" s="1" t="str">
        <x:v>Ни один</x:v>
      </x:c>
      <x:c r="D44" s="1" t="n">
        <x:v>0</x:v>
      </x:c>
      <x:c r="E44" s="1" t="n">
        <x:v>0</x:v>
      </x:c>
      <x:c r="F44" s="12">
        <x:f>'Когорты'!D6*'Когорты'!N6</x:f>
        <x:v>1710719.9999999998</x:v>
      </x:c>
      <x:c r="G44" s="8">
        <x:f>'Когорты'!F6</x:f>
        <x:v>0.14099999999999999</x:v>
      </x:c>
      <x:c r="H44" s="1">
        <x:f>'Когорты'!R6</x:f>
        <x:v>0.29999999999999999</x:v>
      </x:c>
      <x:c r="I44" s="8">
        <x:f>IF('Когорты'!S6&gt;0,G44*H44/'Когорты'!S6,0)</x:f>
        <x:v>0.041252194265652423</x:v>
      </x:c>
      <x:c r="J44" s="1">
        <x:f>F44*I44</x:f>
        <x:v>70570.953774136899</x:v>
      </x:c>
      <x:c r="K44" s="8">
        <x:f>'Воздействие'!C14*D44</x:f>
        <x:v>0</x:v>
      </x:c>
      <x:c r="L44" s="8">
        <x:f>'Воздействие'!D14*E44</x:f>
        <x:v>0</x:v>
      </x:c>
      <x:c r="M44" s="8">
        <x:f>'Воздействие'!E14*D44*E44</x:f>
        <x:v>0</x:v>
      </x:c>
      <x:c r="N44" s="8">
        <x:f>K44+L44-M44</x:f>
        <x:v>0</x:v>
      </x:c>
      <x:c r="O44" s="1">
        <x:f>J44*'Параметры'!$B$10*N44</x:f>
        <x:v>0</x:v>
      </x:c>
      <x:c r="P44" s="8">
        <x:f>(1-'Воздействие'!F14*D44)*(1-'Воздействие'!G14*E44)</x:f>
        <x:v>1</x:v>
      </x:c>
      <x:c r="Q44" s="1">
        <x:f>J44*P44</x:f>
        <x:v>70570.953774136899</x:v>
      </x:c>
      <x:c r="R44" s="1">
        <x:f>O44*P44</x:f>
        <x:v>0</x:v>
      </x:c>
      <x:c r="S44" s="8">
        <x:f>(1-'Гипотезы'!D7)*(1-'Гипотезы'!E7)</x:f>
        <x:v>0.5625</x:v>
      </x:c>
      <x:c r="T44" s="12">
        <x:f>Q44+R44*S44</x:f>
        <x:v>70570.953774136899</x:v>
      </x:c>
      <x:c r="U44" s="12">
        <x:f>T44-J44</x:f>
        <x:v>0</x:v>
      </x:c>
      <x:c r="V44" s="12">
        <x:f>J44*'Когорты'!T6</x:f>
        <x:v>70570.953774136899</x:v>
      </x:c>
      <x:c r="W44" s="12">
        <x:f>Q44*'Когорты'!T6*(1+'Воздействие'!H14*N44)</x:f>
        <x:v>70570.953774136899</x:v>
      </x:c>
      <x:c r="X44" s="12">
        <x:f>R44*'Когорты'!T6*(1+'Воздействие'!H14*N44)</x:f>
        <x:v>0</x:v>
      </x:c>
      <x:c r="Y44" s="12">
        <x:f>W44+X44*S44</x:f>
        <x:v>70570.953774136899</x:v>
      </x:c>
      <x:c r="Z44" s="12">
        <x:f>F44*N44</x:f>
        <x:v>0</x:v>
      </x:c>
      <x:c r="AA44" s="12">
        <x:f>J44*D44</x:f>
        <x:v>0</x:v>
      </x:c>
      <x:c r="AB44" s="12">
        <x:f>Q44*D44</x:f>
        <x:v>0</x:v>
      </x:c>
      <x:c r="AC44" s="12">
        <x:f>R44*D44</x:f>
        <x:v>0</x:v>
      </x:c>
      <x:c r="AD44" s="12">
        <x:f>J44*E44</x:f>
        <x:v>0</x:v>
      </x:c>
      <x:c r="AE44" s="12">
        <x:f>Q44*E44</x:f>
        <x:v>0</x:v>
      </x:c>
      <x:c r="AF44" s="12">
        <x:f>R44*E44</x:f>
        <x:v>0</x:v>
      </x:c>
      <x:c r="AG44" s="1">
        <x:f>IF(AND(I44&gt;=0,I44&lt;=1,Q44+R44&lt;=F44+0.00000001,N44&gt;=0,N44&lt;=1),1,0)</x:f>
        <x:v>1</x:v>
      </x:c>
      <x:c r="AH44" s="1"/>
      <x:c r="AI44" s="1"/>
    </x:row>
    <x:row r="45" ht="24" customHeight="1">
      <x:c r="A45" s="1" t="str">
        <x:v>H3</x:v>
      </x:c>
      <x:c r="B45" s="1" t="str">
        <x:v>S3</x:v>
      </x:c>
      <x:c r="C45" s="1" t="str">
        <x:v>Только C</x:v>
      </x:c>
      <x:c r="D45" s="1" t="n">
        <x:v>1</x:v>
      </x:c>
      <x:c r="E45" s="1" t="n">
        <x:v>0</x:v>
      </x:c>
      <x:c r="F45" s="12">
        <x:f>'Когорты'!D7*'Когорты'!L7</x:f>
        <x:v>4324320</x:v>
      </x:c>
      <x:c r="G45" s="8">
        <x:f>'Когорты'!F7</x:f>
        <x:v>0.05099999999999999</x:v>
      </x:c>
      <x:c r="H45" s="1">
        <x:f>'Когорты'!O7</x:f>
        <x:v>1.5</x:v>
      </x:c>
      <x:c r="I45" s="8">
        <x:f>IF('Когорты'!S7&gt;0,G45*H45/'Когорты'!S7,0)</x:f>
        <x:v>0.074605032182562883</x:v>
      </x:c>
      <x:c r="J45" s="1">
        <x:f>F45*I45</x:f>
        <x:v>322616.03276770032</x:v>
      </x:c>
      <x:c r="K45" s="8">
        <x:f>'Воздействие'!C15*D45</x:f>
        <x:v>0.40000000000000002</x:v>
      </x:c>
      <x:c r="L45" s="8">
        <x:f>'Воздействие'!D15*E45</x:f>
        <x:v>0</x:v>
      </x:c>
      <x:c r="M45" s="8">
        <x:f>'Воздействие'!E15*D45*E45</x:f>
        <x:v>0</x:v>
      </x:c>
      <x:c r="N45" s="8">
        <x:f>K45+L45-M45</x:f>
        <x:v>0.40000000000000002</x:v>
      </x:c>
      <x:c r="O45" s="1">
        <x:f>J45*'Параметры'!$B$10*N45</x:f>
        <x:v>12904.641310708015</x:v>
      </x:c>
      <x:c r="P45" s="8">
        <x:f>(1-'Воздействие'!F15*D45)*(1-'Воздействие'!G15*E45)</x:f>
        <x:v>1</x:v>
      </x:c>
      <x:c r="Q45" s="1">
        <x:f>J45*P45</x:f>
        <x:v>322616.03276770032</x:v>
      </x:c>
      <x:c r="R45" s="1">
        <x:f>O45*P45</x:f>
        <x:v>12904.641310708015</x:v>
      </x:c>
      <x:c r="S45" s="8">
        <x:f>(1-'Гипотезы'!D7)*(1-'Гипотезы'!E7)</x:f>
        <x:v>0.5625</x:v>
      </x:c>
      <x:c r="T45" s="12">
        <x:f>Q45+R45*S45</x:f>
        <x:v>329874.89350497356</x:v>
      </x:c>
      <x:c r="U45" s="12">
        <x:f>T45-J45</x:f>
        <x:v>7258.8607372732367</x:v>
      </x:c>
      <x:c r="V45" s="12">
        <x:f>J45*'Когорты'!T7</x:f>
        <x:v>322616.03276770032</x:v>
      </x:c>
      <x:c r="W45" s="12">
        <x:f>Q45*'Когорты'!T7*(1+'Воздействие'!H15*N45)</x:f>
        <x:v>322616.03276770032</x:v>
      </x:c>
      <x:c r="X45" s="12">
        <x:f>R45*'Когорты'!T7*(1+'Воздействие'!H15*N45)</x:f>
        <x:v>12904.641310708015</x:v>
      </x:c>
      <x:c r="Y45" s="12">
        <x:f>W45+X45*S45</x:f>
        <x:v>329874.89350497356</x:v>
      </x:c>
      <x:c r="Z45" s="12">
        <x:f>F45*N45</x:f>
        <x:v>1729728</x:v>
      </x:c>
      <x:c r="AA45" s="12">
        <x:f>J45*D45</x:f>
        <x:v>322616.03276770032</x:v>
      </x:c>
      <x:c r="AB45" s="12">
        <x:f>Q45*D45</x:f>
        <x:v>322616.03276770032</x:v>
      </x:c>
      <x:c r="AC45" s="12">
        <x:f>R45*D45</x:f>
        <x:v>12904.641310708015</x:v>
      </x:c>
      <x:c r="AD45" s="12">
        <x:f>J45*E45</x:f>
        <x:v>0</x:v>
      </x:c>
      <x:c r="AE45" s="12">
        <x:f>Q45*E45</x:f>
        <x:v>0</x:v>
      </x:c>
      <x:c r="AF45" s="12">
        <x:f>R45*E45</x:f>
        <x:v>0</x:v>
      </x:c>
      <x:c r="AG45" s="1">
        <x:f>IF(AND(I45&gt;=0,I45&lt;=1,Q45+R45&lt;=F45+0.00000001,N45&gt;=0,N45&lt;=1),1,0)</x:f>
        <x:v>1</x:v>
      </x:c>
      <x:c r="AH45" s="1"/>
      <x:c r="AI45" s="1"/>
    </x:row>
    <x:row r="46" ht="24" customHeight="1">
      <x:c r="A46" s="1" t="str">
        <x:v>H3</x:v>
      </x:c>
      <x:c r="B46" s="1" t="str">
        <x:v>S3</x:v>
      </x:c>
      <x:c r="C46" s="1" t="str">
        <x:v>Только F</x:v>
      </x:c>
      <x:c r="D46" s="1" t="n">
        <x:v>0</x:v>
      </x:c>
      <x:c r="E46" s="1" t="n">
        <x:v>1</x:v>
      </x:c>
      <x:c r="F46" s="12">
        <x:f>'Когорты'!D7*'Когорты'!M7</x:f>
        <x:v>205919.99999999997</x:v>
      </x:c>
      <x:c r="G46" s="8">
        <x:f>'Когорты'!F7</x:f>
        <x:v>0.05099999999999999</x:v>
      </x:c>
      <x:c r="H46" s="1">
        <x:f>'Когорты'!P7</x:f>
        <x:v>0.20000000000000001</x:v>
      </x:c>
      <x:c r="I46" s="8">
        <x:f>IF('Когорты'!S7&gt;0,G46*H46/'Когорты'!S7,0)</x:f>
        <x:v>0.0099473376243417178</x:v>
      </x:c>
      <x:c r="J46" s="1">
        <x:f>F46*I46</x:f>
        <x:v>2048.3557636044461</x:v>
      </x:c>
      <x:c r="K46" s="8">
        <x:f>'Воздействие'!C15*D46</x:f>
        <x:v>0</x:v>
      </x:c>
      <x:c r="L46" s="8">
        <x:f>'Воздействие'!D15*E46</x:f>
        <x:v>0</x:v>
      </x:c>
      <x:c r="M46" s="8">
        <x:f>'Воздействие'!E15*D46*E46</x:f>
        <x:v>0</x:v>
      </x:c>
      <x:c r="N46" s="8">
        <x:f>K46+L46-M46</x:f>
        <x:v>0</x:v>
      </x:c>
      <x:c r="O46" s="1">
        <x:f>J46*'Параметры'!$B$10*N46</x:f>
        <x:v>0</x:v>
      </x:c>
      <x:c r="P46" s="8">
        <x:f>(1-'Воздействие'!F15*D46)*(1-'Воздействие'!G15*E46)</x:f>
        <x:v>1</x:v>
      </x:c>
      <x:c r="Q46" s="1">
        <x:f>J46*P46</x:f>
        <x:v>2048.3557636044461</x:v>
      </x:c>
      <x:c r="R46" s="1">
        <x:f>O46*P46</x:f>
        <x:v>0</x:v>
      </x:c>
      <x:c r="S46" s="8">
        <x:f>(1-'Гипотезы'!D7)*(1-'Гипотезы'!E7)</x:f>
        <x:v>0.5625</x:v>
      </x:c>
      <x:c r="T46" s="12">
        <x:f>Q46+R46*S46</x:f>
        <x:v>2048.3557636044461</x:v>
      </x:c>
      <x:c r="U46" s="12">
        <x:f>T46-J46</x:f>
        <x:v>0</x:v>
      </x:c>
      <x:c r="V46" s="12">
        <x:f>J46*'Когорты'!T7</x:f>
        <x:v>2048.3557636044461</x:v>
      </x:c>
      <x:c r="W46" s="12">
        <x:f>Q46*'Когорты'!T7*(1+'Воздействие'!H15*N46)</x:f>
        <x:v>2048.3557636044461</x:v>
      </x:c>
      <x:c r="X46" s="12">
        <x:f>R46*'Когорты'!T7*(1+'Воздействие'!H15*N46)</x:f>
        <x:v>0</x:v>
      </x:c>
      <x:c r="Y46" s="12">
        <x:f>W46+X46*S46</x:f>
        <x:v>2048.3557636044461</x:v>
      </x:c>
      <x:c r="Z46" s="12">
        <x:f>F46*N46</x:f>
        <x:v>0</x:v>
      </x:c>
      <x:c r="AA46" s="12">
        <x:f>J46*D46</x:f>
        <x:v>0</x:v>
      </x:c>
      <x:c r="AB46" s="12">
        <x:f>Q46*D46</x:f>
        <x:v>0</x:v>
      </x:c>
      <x:c r="AC46" s="12">
        <x:f>R46*D46</x:f>
        <x:v>0</x:v>
      </x:c>
      <x:c r="AD46" s="12">
        <x:f>J46*E46</x:f>
        <x:v>2048.3557636044461</x:v>
      </x:c>
      <x:c r="AE46" s="12">
        <x:f>Q46*E46</x:f>
        <x:v>2048.3557636044461</x:v>
      </x:c>
      <x:c r="AF46" s="12">
        <x:f>R46*E46</x:f>
        <x:v>0</x:v>
      </x:c>
      <x:c r="AG46" s="1">
        <x:f>IF(AND(I46&gt;=0,I46&lt;=1,Q46+R46&lt;=F46+0.00000001,N46&gt;=0,N46&lt;=1),1,0)</x:f>
        <x:v>1</x:v>
      </x:c>
      <x:c r="AH46" s="1"/>
      <x:c r="AI46" s="1"/>
    </x:row>
    <x:row r="47" ht="24" customHeight="1">
      <x:c r="A47" s="1" t="str">
        <x:v>H3</x:v>
      </x:c>
      <x:c r="B47" s="1" t="str">
        <x:v>S3</x:v>
      </x:c>
      <x:c r="C47" s="1" t="str">
        <x:v>Оба</x:v>
      </x:c>
      <x:c r="D47" s="1" t="n">
        <x:v>1</x:v>
      </x:c>
      <x:c r="E47" s="1" t="n">
        <x:v>1</x:v>
      </x:c>
      <x:c r="F47" s="12">
        <x:f>'Когорты'!D7*'Когорты'!K7</x:f>
        <x:v>823680.00000000012</x:v>
      </x:c>
      <x:c r="G47" s="8">
        <x:f>'Когорты'!F7</x:f>
        <x:v>0.05099999999999999</x:v>
      </x:c>
      <x:c r="H47" s="1">
        <x:f>'Когорты'!Q7</x:f>
        <x:v>1</x:v>
      </x:c>
      <x:c r="I47" s="8">
        <x:f>IF('Когорты'!S7&gt;0,G47*H47/'Когорты'!S7,0)</x:f>
        <x:v>0.049736688121708589</x:v>
      </x:c>
      <x:c r="J47" s="1">
        <x:f>F47*I47</x:f>
        <x:v>40967.115272088937</x:v>
      </x:c>
      <x:c r="K47" s="8">
        <x:f>'Воздействие'!C15*D47</x:f>
        <x:v>0.40000000000000002</x:v>
      </x:c>
      <x:c r="L47" s="8">
        <x:f>'Воздействие'!D15*E47</x:f>
        <x:v>0</x:v>
      </x:c>
      <x:c r="M47" s="8">
        <x:f>'Воздействие'!E15*D47*E47</x:f>
        <x:v>0</x:v>
      </x:c>
      <x:c r="N47" s="8">
        <x:f>K47+L47-M47</x:f>
        <x:v>0.40000000000000002</x:v>
      </x:c>
      <x:c r="O47" s="1">
        <x:f>J47*'Параметры'!$B$10*N47</x:f>
        <x:v>1638.6846108835578</x:v>
      </x:c>
      <x:c r="P47" s="8">
        <x:f>(1-'Воздействие'!F15*D47)*(1-'Воздействие'!G15*E47)</x:f>
        <x:v>1</x:v>
      </x:c>
      <x:c r="Q47" s="1">
        <x:f>J47*P47</x:f>
        <x:v>40967.115272088937</x:v>
      </x:c>
      <x:c r="R47" s="1">
        <x:f>O47*P47</x:f>
        <x:v>1638.6846108835578</x:v>
      </x:c>
      <x:c r="S47" s="8">
        <x:f>(1-'Гипотезы'!D7)*(1-'Гипотезы'!E7)</x:f>
        <x:v>0.5625</x:v>
      </x:c>
      <x:c r="T47" s="12">
        <x:f>Q47+R47*S47</x:f>
        <x:v>41888.875365710941</x:v>
      </x:c>
      <x:c r="U47" s="12">
        <x:f>T47-J47</x:f>
        <x:v>921.76009362200421</x:v>
      </x:c>
      <x:c r="V47" s="12">
        <x:f>J47*'Когорты'!T7</x:f>
        <x:v>40967.115272088937</x:v>
      </x:c>
      <x:c r="W47" s="12">
        <x:f>Q47*'Когорты'!T7*(1+'Воздействие'!H15*N47)</x:f>
        <x:v>40967.115272088937</x:v>
      </x:c>
      <x:c r="X47" s="12">
        <x:f>R47*'Когорты'!T7*(1+'Воздействие'!H15*N47)</x:f>
        <x:v>1638.6846108835578</x:v>
      </x:c>
      <x:c r="Y47" s="12">
        <x:f>W47+X47*S47</x:f>
        <x:v>41888.875365710941</x:v>
      </x:c>
      <x:c r="Z47" s="12">
        <x:f>F47*N47</x:f>
        <x:v>329472.00000000006</x:v>
      </x:c>
      <x:c r="AA47" s="12">
        <x:f>J47*D47</x:f>
        <x:v>40967.115272088937</x:v>
      </x:c>
      <x:c r="AB47" s="12">
        <x:f>Q47*D47</x:f>
        <x:v>40967.115272088937</x:v>
      </x:c>
      <x:c r="AC47" s="12">
        <x:f>R47*D47</x:f>
        <x:v>1638.6846108835578</x:v>
      </x:c>
      <x:c r="AD47" s="12">
        <x:f>J47*E47</x:f>
        <x:v>40967.115272088937</x:v>
      </x:c>
      <x:c r="AE47" s="12">
        <x:f>Q47*E47</x:f>
        <x:v>40967.115272088937</x:v>
      </x:c>
      <x:c r="AF47" s="12">
        <x:f>R47*E47</x:f>
        <x:v>1638.6846108835578</x:v>
      </x:c>
      <x:c r="AG47" s="1">
        <x:f>IF(AND(I47&gt;=0,I47&lt;=1,Q47+R47&lt;=F47+0.00000001,N47&gt;=0,N47&lt;=1),1,0)</x:f>
        <x:v>1</x:v>
      </x:c>
      <x:c r="AH47" s="1"/>
      <x:c r="AI47" s="1"/>
    </x:row>
    <x:row r="48" ht="24" customHeight="1">
      <x:c r="A48" s="1" t="str">
        <x:v>H3</x:v>
      </x:c>
      <x:c r="B48" s="1" t="str">
        <x:v>S3</x:v>
      </x:c>
      <x:c r="C48" s="1" t="str">
        <x:v>Ни один</x:v>
      </x:c>
      <x:c r="D48" s="1" t="n">
        <x:v>0</x:v>
      </x:c>
      <x:c r="E48" s="1" t="n">
        <x:v>0</x:v>
      </x:c>
      <x:c r="F48" s="12">
        <x:f>'Когорты'!D7*'Когорты'!N7</x:f>
        <x:v>2566079.9999999995</x:v>
      </x:c>
      <x:c r="G48" s="8">
        <x:f>'Когорты'!F7</x:f>
        <x:v>0.05099999999999999</x:v>
      </x:c>
      <x:c r="H48" s="1">
        <x:f>'Когорты'!R7</x:f>
        <x:v>0.29999999999999999</x:v>
      </x:c>
      <x:c r="I48" s="8">
        <x:f>IF('Когорты'!S7&gt;0,G48*H48/'Когорты'!S7,0)</x:f>
        <x:v>0.014921006436512575</x:v>
      </x:c>
      <x:c r="J48" s="1">
        <x:f>F48*I48</x:f>
        <x:v>38288.496196606182</x:v>
      </x:c>
      <x:c r="K48" s="8">
        <x:f>'Воздействие'!C15*D48</x:f>
        <x:v>0</x:v>
      </x:c>
      <x:c r="L48" s="8">
        <x:f>'Воздействие'!D15*E48</x:f>
        <x:v>0</x:v>
      </x:c>
      <x:c r="M48" s="8">
        <x:f>'Воздействие'!E15*D48*E48</x:f>
        <x:v>0</x:v>
      </x:c>
      <x:c r="N48" s="8">
        <x:f>K48+L48-M48</x:f>
        <x:v>0</x:v>
      </x:c>
      <x:c r="O48" s="1">
        <x:f>J48*'Параметры'!$B$10*N48</x:f>
        <x:v>0</x:v>
      </x:c>
      <x:c r="P48" s="8">
        <x:f>(1-'Воздействие'!F15*D48)*(1-'Воздействие'!G15*E48)</x:f>
        <x:v>1</x:v>
      </x:c>
      <x:c r="Q48" s="1">
        <x:f>J48*P48</x:f>
        <x:v>38288.496196606182</x:v>
      </x:c>
      <x:c r="R48" s="1">
        <x:f>O48*P48</x:f>
        <x:v>0</x:v>
      </x:c>
      <x:c r="S48" s="8">
        <x:f>(1-'Гипотезы'!D7)*(1-'Гипотезы'!E7)</x:f>
        <x:v>0.5625</x:v>
      </x:c>
      <x:c r="T48" s="12">
        <x:f>Q48+R48*S48</x:f>
        <x:v>38288.496196606182</x:v>
      </x:c>
      <x:c r="U48" s="12">
        <x:f>T48-J48</x:f>
        <x:v>0</x:v>
      </x:c>
      <x:c r="V48" s="12">
        <x:f>J48*'Когорты'!T7</x:f>
        <x:v>38288.496196606182</x:v>
      </x:c>
      <x:c r="W48" s="12">
        <x:f>Q48*'Когорты'!T7*(1+'Воздействие'!H15*N48)</x:f>
        <x:v>38288.496196606182</x:v>
      </x:c>
      <x:c r="X48" s="12">
        <x:f>R48*'Когорты'!T7*(1+'Воздействие'!H15*N48)</x:f>
        <x:v>0</x:v>
      </x:c>
      <x:c r="Y48" s="12">
        <x:f>W48+X48*S48</x:f>
        <x:v>38288.496196606182</x:v>
      </x:c>
      <x:c r="Z48" s="12">
        <x:f>F48*N48</x:f>
        <x:v>0</x:v>
      </x:c>
      <x:c r="AA48" s="12">
        <x:f>J48*D48</x:f>
        <x:v>0</x:v>
      </x:c>
      <x:c r="AB48" s="12">
        <x:f>Q48*D48</x:f>
        <x:v>0</x:v>
      </x:c>
      <x:c r="AC48" s="12">
        <x:f>R48*D48</x:f>
        <x:v>0</x:v>
      </x:c>
      <x:c r="AD48" s="12">
        <x:f>J48*E48</x:f>
        <x:v>0</x:v>
      </x:c>
      <x:c r="AE48" s="12">
        <x:f>Q48*E48</x:f>
        <x:v>0</x:v>
      </x:c>
      <x:c r="AF48" s="12">
        <x:f>R48*E48</x:f>
        <x:v>0</x:v>
      </x:c>
      <x:c r="AG48" s="1">
        <x:f>IF(AND(I48&gt;=0,I48&lt;=1,Q48+R48&lt;=F48+0.00000001,N48&gt;=0,N48&lt;=1),1,0)</x:f>
        <x:v>1</x:v>
      </x:c>
      <x:c r="AH48" s="1"/>
      <x:c r="AI48" s="1"/>
    </x:row>
    <x:row r="49" ht="24" customHeight="1">
      <x:c r="A49" s="1" t="str">
        <x:v>H3</x:v>
      </x:c>
      <x:c r="B49" s="1" t="str">
        <x:v>S4</x:v>
      </x:c>
      <x:c r="C49" s="1" t="str">
        <x:v>Только C</x:v>
      </x:c>
      <x:c r="D49" s="1" t="n">
        <x:v>1</x:v>
      </x:c>
      <x:c r="E49" s="1" t="n">
        <x:v>0</x:v>
      </x:c>
      <x:c r="F49" s="12">
        <x:f>'Когорты'!D8*'Когорты'!L8</x:f>
        <x:v>10090080</x:v>
      </x:c>
      <x:c r="G49" s="8">
        <x:f>'Когорты'!F8</x:f>
        <x:v>0.14099999999999999</x:v>
      </x:c>
      <x:c r="H49" s="1">
        <x:f>'Когорты'!O8</x:f>
        <x:v>1.5</x:v>
      </x:c>
      <x:c r="I49" s="8">
        <x:f>IF('Когорты'!S8&gt;0,G49*H49/'Когорты'!S8,0)</x:f>
        <x:v>0.2062609713282621</x:v>
      </x:c>
      <x:c r="J49" s="1">
        <x:f>F49*I49</x:f>
        <x:v>2081189.7015798709</x:v>
      </x:c>
      <x:c r="K49" s="8">
        <x:f>'Воздействие'!C16*D49</x:f>
        <x:v>0.10000000000000001</x:v>
      </x:c>
      <x:c r="L49" s="8">
        <x:f>'Воздействие'!D16*E49</x:f>
        <x:v>0</x:v>
      </x:c>
      <x:c r="M49" s="8">
        <x:f>'Воздействие'!E16*D49*E49</x:f>
        <x:v>0</x:v>
      </x:c>
      <x:c r="N49" s="8">
        <x:f>K49+L49-M49</x:f>
        <x:v>0.10000000000000001</x:v>
      </x:c>
      <x:c r="O49" s="1">
        <x:f>J49*'Параметры'!$B$10*N49</x:f>
        <x:v>20811.89701579871</x:v>
      </x:c>
      <x:c r="P49" s="8">
        <x:f>(1-'Воздействие'!F16*D49)*(1-'Воздействие'!G16*E49)</x:f>
        <x:v>1</x:v>
      </x:c>
      <x:c r="Q49" s="1">
        <x:f>J49*P49</x:f>
        <x:v>2081189.7015798709</x:v>
      </x:c>
      <x:c r="R49" s="1">
        <x:f>O49*P49</x:f>
        <x:v>20811.89701579871</x:v>
      </x:c>
      <x:c r="S49" s="8">
        <x:f>(1-'Гипотезы'!D7)*(1-'Гипотезы'!E7)</x:f>
        <x:v>0.5625</x:v>
      </x:c>
      <x:c r="T49" s="12">
        <x:f>Q49+R49*S49</x:f>
        <x:v>2092896.3936512577</x:v>
      </x:c>
      <x:c r="U49" s="12">
        <x:f>T49-J49</x:f>
        <x:v>11706.692071386846</x:v>
      </x:c>
      <x:c r="V49" s="12">
        <x:f>J49*'Когорты'!T8</x:f>
        <x:v>2081189.7015798709</x:v>
      </x:c>
      <x:c r="W49" s="12">
        <x:f>Q49*'Когорты'!T8*(1+'Воздействие'!H16*N49)</x:f>
        <x:v>2081189.7015798709</x:v>
      </x:c>
      <x:c r="X49" s="12">
        <x:f>R49*'Когорты'!T8*(1+'Воздействие'!H16*N49)</x:f>
        <x:v>20811.89701579871</x:v>
      </x:c>
      <x:c r="Y49" s="12">
        <x:f>W49+X49*S49</x:f>
        <x:v>2092896.3936512577</x:v>
      </x:c>
      <x:c r="Z49" s="12">
        <x:f>F49*N49</x:f>
        <x:v>1009008</x:v>
      </x:c>
      <x:c r="AA49" s="12">
        <x:f>J49*D49</x:f>
        <x:v>2081189.7015798709</x:v>
      </x:c>
      <x:c r="AB49" s="12">
        <x:f>Q49*D49</x:f>
        <x:v>2081189.7015798709</x:v>
      </x:c>
      <x:c r="AC49" s="12">
        <x:f>R49*D49</x:f>
        <x:v>20811.89701579871</x:v>
      </x:c>
      <x:c r="AD49" s="12">
        <x:f>J49*E49</x:f>
        <x:v>0</x:v>
      </x:c>
      <x:c r="AE49" s="12">
        <x:f>Q49*E49</x:f>
        <x:v>0</x:v>
      </x:c>
      <x:c r="AF49" s="12">
        <x:f>R49*E49</x:f>
        <x:v>0</x:v>
      </x:c>
      <x:c r="AG49" s="1">
        <x:f>IF(AND(I49&gt;=0,I49&lt;=1,Q49+R49&lt;=F49+0.00000001,N49&gt;=0,N49&lt;=1),1,0)</x:f>
        <x:v>1</x:v>
      </x:c>
      <x:c r="AH49" s="1"/>
      <x:c r="AI49" s="1"/>
    </x:row>
    <x:row r="50" ht="24" customHeight="1">
      <x:c r="A50" s="1" t="str">
        <x:v>H3</x:v>
      </x:c>
      <x:c r="B50" s="1" t="str">
        <x:v>S4</x:v>
      </x:c>
      <x:c r="C50" s="1" t="str">
        <x:v>Только F</x:v>
      </x:c>
      <x:c r="D50" s="1" t="n">
        <x:v>0</x:v>
      </x:c>
      <x:c r="E50" s="1" t="n">
        <x:v>1</x:v>
      </x:c>
      <x:c r="F50" s="12">
        <x:f>'Когорты'!D8*'Когорты'!M8</x:f>
        <x:v>480479.99999999994</x:v>
      </x:c>
      <x:c r="G50" s="8">
        <x:f>'Когорты'!F8</x:f>
        <x:v>0.14099999999999999</x:v>
      </x:c>
      <x:c r="H50" s="1">
        <x:f>'Когорты'!P8</x:f>
        <x:v>0.20000000000000001</x:v>
      </x:c>
      <x:c r="I50" s="8">
        <x:f>IF('Когорты'!S8&gt;0,G50*H50/'Когорты'!S8,0)</x:f>
        <x:v>0.027501462843768282</x:v>
      </x:c>
      <x:c r="J50" s="1">
        <x:f>F50*I50</x:f>
        <x:v>13213.902867173783</x:v>
      </x:c>
      <x:c r="K50" s="8">
        <x:f>'Воздействие'!C16*D50</x:f>
        <x:v>0</x:v>
      </x:c>
      <x:c r="L50" s="8">
        <x:f>'Воздействие'!D16*E50</x:f>
        <x:v>0</x:v>
      </x:c>
      <x:c r="M50" s="8">
        <x:f>'Воздействие'!E16*D50*E50</x:f>
        <x:v>0</x:v>
      </x:c>
      <x:c r="N50" s="8">
        <x:f>K50+L50-M50</x:f>
        <x:v>0</x:v>
      </x:c>
      <x:c r="O50" s="1">
        <x:f>J50*'Параметры'!$B$10*N50</x:f>
        <x:v>0</x:v>
      </x:c>
      <x:c r="P50" s="8">
        <x:f>(1-'Воздействие'!F16*D50)*(1-'Воздействие'!G16*E50)</x:f>
        <x:v>1</x:v>
      </x:c>
      <x:c r="Q50" s="1">
        <x:f>J50*P50</x:f>
        <x:v>13213.902867173783</x:v>
      </x:c>
      <x:c r="R50" s="1">
        <x:f>O50*P50</x:f>
        <x:v>0</x:v>
      </x:c>
      <x:c r="S50" s="8">
        <x:f>(1-'Гипотезы'!D7)*(1-'Гипотезы'!E7)</x:f>
        <x:v>0.5625</x:v>
      </x:c>
      <x:c r="T50" s="12">
        <x:f>Q50+R50*S50</x:f>
        <x:v>13213.902867173783</x:v>
      </x:c>
      <x:c r="U50" s="12">
        <x:f>T50-J50</x:f>
        <x:v>0</x:v>
      </x:c>
      <x:c r="V50" s="12">
        <x:f>J50*'Когорты'!T8</x:f>
        <x:v>13213.902867173783</x:v>
      </x:c>
      <x:c r="W50" s="12">
        <x:f>Q50*'Когорты'!T8*(1+'Воздействие'!H16*N50)</x:f>
        <x:v>13213.902867173783</x:v>
      </x:c>
      <x:c r="X50" s="12">
        <x:f>R50*'Когорты'!T8*(1+'Воздействие'!H16*N50)</x:f>
        <x:v>0</x:v>
      </x:c>
      <x:c r="Y50" s="12">
        <x:f>W50+X50*S50</x:f>
        <x:v>13213.902867173783</x:v>
      </x:c>
      <x:c r="Z50" s="12">
        <x:f>F50*N50</x:f>
        <x:v>0</x:v>
      </x:c>
      <x:c r="AA50" s="12">
        <x:f>J50*D50</x:f>
        <x:v>0</x:v>
      </x:c>
      <x:c r="AB50" s="12">
        <x:f>Q50*D50</x:f>
        <x:v>0</x:v>
      </x:c>
      <x:c r="AC50" s="12">
        <x:f>R50*D50</x:f>
        <x:v>0</x:v>
      </x:c>
      <x:c r="AD50" s="12">
        <x:f>J50*E50</x:f>
        <x:v>13213.902867173783</x:v>
      </x:c>
      <x:c r="AE50" s="12">
        <x:f>Q50*E50</x:f>
        <x:v>13213.902867173783</x:v>
      </x:c>
      <x:c r="AF50" s="12">
        <x:f>R50*E50</x:f>
        <x:v>0</x:v>
      </x:c>
      <x:c r="AG50" s="1">
        <x:f>IF(AND(I50&gt;=0,I50&lt;=1,Q50+R50&lt;=F50+0.00000001,N50&gt;=0,N50&lt;=1),1,0)</x:f>
        <x:v>1</x:v>
      </x:c>
      <x:c r="AH50" s="1"/>
      <x:c r="AI50" s="1"/>
    </x:row>
    <x:row r="51" ht="24" customHeight="1">
      <x:c r="A51" s="1" t="str">
        <x:v>H3</x:v>
      </x:c>
      <x:c r="B51" s="1" t="str">
        <x:v>S4</x:v>
      </x:c>
      <x:c r="C51" s="1" t="str">
        <x:v>Оба</x:v>
      </x:c>
      <x:c r="D51" s="1" t="n">
        <x:v>1</x:v>
      </x:c>
      <x:c r="E51" s="1" t="n">
        <x:v>1</x:v>
      </x:c>
      <x:c r="F51" s="12">
        <x:f>'Когорты'!D8*'Когорты'!K8</x:f>
        <x:v>1921920.0000000002</x:v>
      </x:c>
      <x:c r="G51" s="8">
        <x:f>'Когорты'!F8</x:f>
        <x:v>0.14099999999999999</x:v>
      </x:c>
      <x:c r="H51" s="1">
        <x:f>'Когорты'!Q8</x:f>
        <x:v>1</x:v>
      </x:c>
      <x:c r="I51" s="8">
        <x:f>IF('Когорты'!S8&gt;0,G51*H51/'Когорты'!S8,0)</x:f>
        <x:v>0.13750731421884141</x:v>
      </x:c>
      <x:c r="J51" s="1">
        <x:f>F51*I51</x:f>
        <x:v>264278.0573434757</x:v>
      </x:c>
      <x:c r="K51" s="8">
        <x:f>'Воздействие'!C16*D51</x:f>
        <x:v>0.10000000000000001</x:v>
      </x:c>
      <x:c r="L51" s="8">
        <x:f>'Воздействие'!D16*E51</x:f>
        <x:v>0</x:v>
      </x:c>
      <x:c r="M51" s="8">
        <x:f>'Воздействие'!E16*D51*E51</x:f>
        <x:v>0</x:v>
      </x:c>
      <x:c r="N51" s="8">
        <x:f>K51+L51-M51</x:f>
        <x:v>0.10000000000000001</x:v>
      </x:c>
      <x:c r="O51" s="1">
        <x:f>J51*'Параметры'!$B$10*N51</x:f>
        <x:v>2642.7805734347571</x:v>
      </x:c>
      <x:c r="P51" s="8">
        <x:f>(1-'Воздействие'!F16*D51)*(1-'Воздействие'!G16*E51)</x:f>
        <x:v>1</x:v>
      </x:c>
      <x:c r="Q51" s="1">
        <x:f>J51*P51</x:f>
        <x:v>264278.0573434757</x:v>
      </x:c>
      <x:c r="R51" s="1">
        <x:f>O51*P51</x:f>
        <x:v>2642.7805734347571</x:v>
      </x:c>
      <x:c r="S51" s="8">
        <x:f>(1-'Гипотезы'!D7)*(1-'Гипотезы'!E7)</x:f>
        <x:v>0.5625</x:v>
      </x:c>
      <x:c r="T51" s="12">
        <x:f>Q51+R51*S51</x:f>
        <x:v>265764.62141603272</x:v>
      </x:c>
      <x:c r="U51" s="12">
        <x:f>T51-J51</x:f>
        <x:v>1486.5640725570265</x:v>
      </x:c>
      <x:c r="V51" s="12">
        <x:f>J51*'Когорты'!T8</x:f>
        <x:v>264278.0573434757</x:v>
      </x:c>
      <x:c r="W51" s="12">
        <x:f>Q51*'Когорты'!T8*(1+'Воздействие'!H16*N51)</x:f>
        <x:v>264278.0573434757</x:v>
      </x:c>
      <x:c r="X51" s="12">
        <x:f>R51*'Когорты'!T8*(1+'Воздействие'!H16*N51)</x:f>
        <x:v>2642.7805734347571</x:v>
      </x:c>
      <x:c r="Y51" s="12">
        <x:f>W51+X51*S51</x:f>
        <x:v>265764.62141603272</x:v>
      </x:c>
      <x:c r="Z51" s="12">
        <x:f>F51*N51</x:f>
        <x:v>192192.00000000003</x:v>
      </x:c>
      <x:c r="AA51" s="12">
        <x:f>J51*D51</x:f>
        <x:v>264278.0573434757</x:v>
      </x:c>
      <x:c r="AB51" s="12">
        <x:f>Q51*D51</x:f>
        <x:v>264278.0573434757</x:v>
      </x:c>
      <x:c r="AC51" s="12">
        <x:f>R51*D51</x:f>
        <x:v>2642.7805734347571</x:v>
      </x:c>
      <x:c r="AD51" s="12">
        <x:f>J51*E51</x:f>
        <x:v>264278.0573434757</x:v>
      </x:c>
      <x:c r="AE51" s="12">
        <x:f>Q51*E51</x:f>
        <x:v>264278.0573434757</x:v>
      </x:c>
      <x:c r="AF51" s="12">
        <x:f>R51*E51</x:f>
        <x:v>2642.7805734347571</x:v>
      </x:c>
      <x:c r="AG51" s="1">
        <x:f>IF(AND(I51&gt;=0,I51&lt;=1,Q51+R51&lt;=F51+0.00000001,N51&gt;=0,N51&lt;=1),1,0)</x:f>
        <x:v>1</x:v>
      </x:c>
      <x:c r="AH51" s="1"/>
      <x:c r="AI51" s="1"/>
    </x:row>
    <x:row r="52" ht="24" customHeight="1">
      <x:c r="A52" s="1" t="str">
        <x:v>H3</x:v>
      </x:c>
      <x:c r="B52" s="1" t="str">
        <x:v>S4</x:v>
      </x:c>
      <x:c r="C52" s="1" t="str">
        <x:v>Ни один</x:v>
      </x:c>
      <x:c r="D52" s="1" t="n">
        <x:v>0</x:v>
      </x:c>
      <x:c r="E52" s="1" t="n">
        <x:v>0</x:v>
      </x:c>
      <x:c r="F52" s="12">
        <x:f>'Когорты'!D8*'Когорты'!N8</x:f>
        <x:v>5987519.9999999991</x:v>
      </x:c>
      <x:c r="G52" s="8">
        <x:f>'Когорты'!F8</x:f>
        <x:v>0.14099999999999999</x:v>
      </x:c>
      <x:c r="H52" s="1">
        <x:f>'Когорты'!R8</x:f>
        <x:v>0.29999999999999999</x:v>
      </x:c>
      <x:c r="I52" s="8">
        <x:f>IF('Когорты'!S8&gt;0,G52*H52/'Когорты'!S8,0)</x:f>
        <x:v>0.041252194265652423</x:v>
      </x:c>
      <x:c r="J52" s="1">
        <x:f>F52*I52</x:f>
        <x:v>246998.33820947915</x:v>
      </x:c>
      <x:c r="K52" s="8">
        <x:f>'Воздействие'!C16*D52</x:f>
        <x:v>0</x:v>
      </x:c>
      <x:c r="L52" s="8">
        <x:f>'Воздействие'!D16*E52</x:f>
        <x:v>0</x:v>
      </x:c>
      <x:c r="M52" s="8">
        <x:f>'Воздействие'!E16*D52*E52</x:f>
        <x:v>0</x:v>
      </x:c>
      <x:c r="N52" s="8">
        <x:f>K52+L52-M52</x:f>
        <x:v>0</x:v>
      </x:c>
      <x:c r="O52" s="1">
        <x:f>J52*'Параметры'!$B$10*N52</x:f>
        <x:v>0</x:v>
      </x:c>
      <x:c r="P52" s="8">
        <x:f>(1-'Воздействие'!F16*D52)*(1-'Воздействие'!G16*E52)</x:f>
        <x:v>1</x:v>
      </x:c>
      <x:c r="Q52" s="1">
        <x:f>J52*P52</x:f>
        <x:v>246998.33820947915</x:v>
      </x:c>
      <x:c r="R52" s="1">
        <x:f>O52*P52</x:f>
        <x:v>0</x:v>
      </x:c>
      <x:c r="S52" s="8">
        <x:f>(1-'Гипотезы'!D7)*(1-'Гипотезы'!E7)</x:f>
        <x:v>0.5625</x:v>
      </x:c>
      <x:c r="T52" s="12">
        <x:f>Q52+R52*S52</x:f>
        <x:v>246998.33820947915</x:v>
      </x:c>
      <x:c r="U52" s="12">
        <x:f>T52-J52</x:f>
        <x:v>0</x:v>
      </x:c>
      <x:c r="V52" s="12">
        <x:f>J52*'Когорты'!T8</x:f>
        <x:v>246998.33820947915</x:v>
      </x:c>
      <x:c r="W52" s="12">
        <x:f>Q52*'Когорты'!T8*(1+'Воздействие'!H16*N52)</x:f>
        <x:v>246998.33820947915</x:v>
      </x:c>
      <x:c r="X52" s="12">
        <x:f>R52*'Когорты'!T8*(1+'Воздействие'!H16*N52)</x:f>
        <x:v>0</x:v>
      </x:c>
      <x:c r="Y52" s="12">
        <x:f>W52+X52*S52</x:f>
        <x:v>246998.33820947915</x:v>
      </x:c>
      <x:c r="Z52" s="12">
        <x:f>F52*N52</x:f>
        <x:v>0</x:v>
      </x:c>
      <x:c r="AA52" s="12">
        <x:f>J52*D52</x:f>
        <x:v>0</x:v>
      </x:c>
      <x:c r="AB52" s="12">
        <x:f>Q52*D52</x:f>
        <x:v>0</x:v>
      </x:c>
      <x:c r="AC52" s="12">
        <x:f>R52*D52</x:f>
        <x:v>0</x:v>
      </x:c>
      <x:c r="AD52" s="12">
        <x:f>J52*E52</x:f>
        <x:v>0</x:v>
      </x:c>
      <x:c r="AE52" s="12">
        <x:f>Q52*E52</x:f>
        <x:v>0</x:v>
      </x:c>
      <x:c r="AF52" s="12">
        <x:f>R52*E52</x:f>
        <x:v>0</x:v>
      </x:c>
      <x:c r="AG52" s="1">
        <x:f>IF(AND(I52&gt;=0,I52&lt;=1,Q52+R52&lt;=F52+0.00000001,N52&gt;=0,N52&lt;=1),1,0)</x:f>
        <x:v>1</x:v>
      </x:c>
      <x:c r="AH52" s="1"/>
      <x:c r="AI52" s="1"/>
    </x:row>
    <x:row r="53" ht="24" customHeight="1">
      <x:c r="A53" s="1" t="str">
        <x:v>H4</x:v>
      </x:c>
      <x:c r="B53" s="1" t="str">
        <x:v>S1</x:v>
      </x:c>
      <x:c r="C53" s="1" t="str">
        <x:v>Только C</x:v>
      </x:c>
      <x:c r="D53" s="1" t="n">
        <x:v>1</x:v>
      </x:c>
      <x:c r="E53" s="1" t="n">
        <x:v>0</x:v>
      </x:c>
      <x:c r="F53" s="12">
        <x:f>'Когорты'!D5*'Когорты'!L5</x:f>
        <x:v>6726719.9999999991</x:v>
      </x:c>
      <x:c r="G53" s="8">
        <x:f>'Когорты'!F5</x:f>
        <x:v>0.23099999999999998</x:v>
      </x:c>
      <x:c r="H53" s="1">
        <x:f>'Когорты'!O5</x:f>
        <x:v>1.5</x:v>
      </x:c>
      <x:c r="I53" s="8">
        <x:f>IF('Когорты'!S5&gt;0,G53*H53/'Когорты'!S5,0)</x:f>
        <x:v>0.33791691047396133</x:v>
      </x:c>
      <x:c r="J53" s="1">
        <x:f>F53*I53</x:f>
        <x:v>2273072.440023405</x:v>
      </x:c>
      <x:c r="K53" s="8">
        <x:f>'Воздействие'!C17*D53</x:f>
        <x:v>0.20000000000000001</x:v>
      </x:c>
      <x:c r="L53" s="8">
        <x:f>'Воздействие'!D17*E53</x:f>
        <x:v>0</x:v>
      </x:c>
      <x:c r="M53" s="8">
        <x:f>'Воздействие'!E17*D53*E53</x:f>
        <x:v>0</x:v>
      </x:c>
      <x:c r="N53" s="8">
        <x:f>K53+L53-M53</x:f>
        <x:v>0.20000000000000001</x:v>
      </x:c>
      <x:c r="O53" s="1">
        <x:f>J53*'Параметры'!$B$10*N53</x:f>
        <x:v>45461.448800468104</x:v>
      </x:c>
      <x:c r="P53" s="8">
        <x:f>(1-'Воздействие'!F17*D53)*(1-'Воздействие'!G17*E53)</x:f>
        <x:v>1</x:v>
      </x:c>
      <x:c r="Q53" s="1">
        <x:f>J53*P53</x:f>
        <x:v>2273072.440023405</x:v>
      </x:c>
      <x:c r="R53" s="1">
        <x:f>O53*P53</x:f>
        <x:v>45461.448800468104</x:v>
      </x:c>
      <x:c r="S53" s="8">
        <x:f>(1-'Гипотезы'!D8)*(1-'Гипотезы'!E8)</x:f>
        <x:v>0.5625</x:v>
      </x:c>
      <x:c r="T53" s="12">
        <x:f>Q53+R53*S53</x:f>
        <x:v>2298644.5049736681</x:v>
      </x:c>
      <x:c r="U53" s="12">
        <x:f>T53-J53</x:f>
        <x:v>25572.064950263128</x:v>
      </x:c>
      <x:c r="V53" s="12">
        <x:f>J53*'Когорты'!T5</x:f>
        <x:v>2273072.440023405</x:v>
      </x:c>
      <x:c r="W53" s="12">
        <x:f>Q53*'Когорты'!T5*(1+'Воздействие'!H17*N53)</x:f>
        <x:v>2273072.440023405</x:v>
      </x:c>
      <x:c r="X53" s="12">
        <x:f>R53*'Когорты'!T5*(1+'Воздействие'!H17*N53)</x:f>
        <x:v>45461.448800468104</x:v>
      </x:c>
      <x:c r="Y53" s="12">
        <x:f>W53+X53*S53</x:f>
        <x:v>2298644.5049736681</x:v>
      </x:c>
      <x:c r="Z53" s="12">
        <x:f>F53*N53</x:f>
        <x:v>1345344</x:v>
      </x:c>
      <x:c r="AA53" s="12">
        <x:f>J53*D53</x:f>
        <x:v>2273072.440023405</x:v>
      </x:c>
      <x:c r="AB53" s="12">
        <x:f>Q53*D53</x:f>
        <x:v>2273072.440023405</x:v>
      </x:c>
      <x:c r="AC53" s="12">
        <x:f>R53*D53</x:f>
        <x:v>45461.448800468104</x:v>
      </x:c>
      <x:c r="AD53" s="12">
        <x:f>J53*E53</x:f>
        <x:v>0</x:v>
      </x:c>
      <x:c r="AE53" s="12">
        <x:f>Q53*E53</x:f>
        <x:v>0</x:v>
      </x:c>
      <x:c r="AF53" s="12">
        <x:f>R53*E53</x:f>
        <x:v>0</x:v>
      </x:c>
      <x:c r="AG53" s="1">
        <x:f>IF(AND(I53&gt;=0,I53&lt;=1,Q53+R53&lt;=F53+0.00000001,N53&gt;=0,N53&lt;=1),1,0)</x:f>
        <x:v>1</x:v>
      </x:c>
      <x:c r="AH53" s="1"/>
      <x:c r="AI53" s="1"/>
    </x:row>
    <x:row r="54" ht="24" customHeight="1">
      <x:c r="A54" s="1" t="str">
        <x:v>H4</x:v>
      </x:c>
      <x:c r="B54" s="1" t="str">
        <x:v>S1</x:v>
      </x:c>
      <x:c r="C54" s="1" t="str">
        <x:v>Только F</x:v>
      </x:c>
      <x:c r="D54" s="1" t="n">
        <x:v>0</x:v>
      </x:c>
      <x:c r="E54" s="1" t="n">
        <x:v>1</x:v>
      </x:c>
      <x:c r="F54" s="12">
        <x:f>'Когорты'!D5*'Когорты'!M5</x:f>
        <x:v>320319.99999999988</x:v>
      </x:c>
      <x:c r="G54" s="8">
        <x:f>'Когорты'!F5</x:f>
        <x:v>0.23099999999999998</x:v>
      </x:c>
      <x:c r="H54" s="1">
        <x:f>'Когорты'!P5</x:f>
        <x:v>0.20000000000000001</x:v>
      </x:c>
      <x:c r="I54" s="8">
        <x:f>IF('Когорты'!S5&gt;0,G54*H54/'Когорты'!S5,0)</x:f>
        <x:v>0.045055588063194846</x:v>
      </x:c>
      <x:c r="J54" s="1">
        <x:f>F54*I54</x:f>
        <x:v>14432.205968402568</x:v>
      </x:c>
      <x:c r="K54" s="8">
        <x:f>'Воздействие'!C17*D54</x:f>
        <x:v>0</x:v>
      </x:c>
      <x:c r="L54" s="8">
        <x:f>'Воздействие'!D17*E54</x:f>
        <x:v>0.20000000000000001</x:v>
      </x:c>
      <x:c r="M54" s="8">
        <x:f>'Воздействие'!E17*D54*E54</x:f>
        <x:v>0</x:v>
      </x:c>
      <x:c r="N54" s="8">
        <x:f>K54+L54-M54</x:f>
        <x:v>0.20000000000000001</x:v>
      </x:c>
      <x:c r="O54" s="1">
        <x:f>J54*'Параметры'!$B$10*N54</x:f>
        <x:v>288.64411936805135</x:v>
      </x:c>
      <x:c r="P54" s="8">
        <x:f>(1-'Воздействие'!F17*D54)*(1-'Воздействие'!G17*E54)</x:f>
        <x:v>1</x:v>
      </x:c>
      <x:c r="Q54" s="1">
        <x:f>J54*P54</x:f>
        <x:v>14432.205968402568</x:v>
      </x:c>
      <x:c r="R54" s="1">
        <x:f>O54*P54</x:f>
        <x:v>288.64411936805135</x:v>
      </x:c>
      <x:c r="S54" s="8">
        <x:f>(1-'Гипотезы'!D8)*(1-'Гипотезы'!E8)</x:f>
        <x:v>0.5625</x:v>
      </x:c>
      <x:c r="T54" s="12">
        <x:f>Q54+R54*S54</x:f>
        <x:v>14594.568285547097</x:v>
      </x:c>
      <x:c r="U54" s="12">
        <x:f>T54-J54</x:f>
        <x:v>162.36231714452879</x:v>
      </x:c>
      <x:c r="V54" s="12">
        <x:f>J54*'Когорты'!T5</x:f>
        <x:v>14432.205968402568</x:v>
      </x:c>
      <x:c r="W54" s="12">
        <x:f>Q54*'Когорты'!T5*(1+'Воздействие'!H17*N54)</x:f>
        <x:v>14432.205968402568</x:v>
      </x:c>
      <x:c r="X54" s="12">
        <x:f>R54*'Когорты'!T5*(1+'Воздействие'!H17*N54)</x:f>
        <x:v>288.64411936805135</x:v>
      </x:c>
      <x:c r="Y54" s="12">
        <x:f>W54+X54*S54</x:f>
        <x:v>14594.568285547097</x:v>
      </x:c>
      <x:c r="Z54" s="12">
        <x:f>F54*N54</x:f>
        <x:v>64063.999999999978</x:v>
      </x:c>
      <x:c r="AA54" s="12">
        <x:f>J54*D54</x:f>
        <x:v>0</x:v>
      </x:c>
      <x:c r="AB54" s="12">
        <x:f>Q54*D54</x:f>
        <x:v>0</x:v>
      </x:c>
      <x:c r="AC54" s="12">
        <x:f>R54*D54</x:f>
        <x:v>0</x:v>
      </x:c>
      <x:c r="AD54" s="12">
        <x:f>J54*E54</x:f>
        <x:v>14432.205968402568</x:v>
      </x:c>
      <x:c r="AE54" s="12">
        <x:f>Q54*E54</x:f>
        <x:v>14432.205968402568</x:v>
      </x:c>
      <x:c r="AF54" s="12">
        <x:f>R54*E54</x:f>
        <x:v>288.64411936805135</x:v>
      </x:c>
      <x:c r="AG54" s="1">
        <x:f>IF(AND(I54&gt;=0,I54&lt;=1,Q54+R54&lt;=F54+0.00000001,N54&gt;=0,N54&lt;=1),1,0)</x:f>
        <x:v>1</x:v>
      </x:c>
      <x:c r="AH54" s="1"/>
      <x:c r="AI54" s="1"/>
    </x:row>
    <x:row r="55" ht="24" customHeight="1">
      <x:c r="A55" s="1" t="str">
        <x:v>H4</x:v>
      </x:c>
      <x:c r="B55" s="1" t="str">
        <x:v>S1</x:v>
      </x:c>
      <x:c r="C55" s="1" t="str">
        <x:v>Оба</x:v>
      </x:c>
      <x:c r="D55" s="1" t="n">
        <x:v>1</x:v>
      </x:c>
      <x:c r="E55" s="1" t="n">
        <x:v>1</x:v>
      </x:c>
      <x:c r="F55" s="12">
        <x:f>'Когорты'!D5*'Когорты'!K5</x:f>
        <x:v>1281280</x:v>
      </x:c>
      <x:c r="G55" s="8">
        <x:f>'Когорты'!F5</x:f>
        <x:v>0.23099999999999998</x:v>
      </x:c>
      <x:c r="H55" s="1">
        <x:f>'Когорты'!Q5</x:f>
        <x:v>1</x:v>
      </x:c>
      <x:c r="I55" s="8">
        <x:f>IF('Когорты'!S5&gt;0,G55*H55/'Когорты'!S5,0)</x:f>
        <x:v>0.22527794031597423</x:v>
      </x:c>
      <x:c r="J55" s="1">
        <x:f>F55*I55</x:f>
        <x:v>288644.11936805147</x:v>
      </x:c>
      <x:c r="K55" s="8">
        <x:f>'Воздействие'!C17*D55</x:f>
        <x:v>0.20000000000000001</x:v>
      </x:c>
      <x:c r="L55" s="8">
        <x:f>'Воздействие'!D17*E55</x:f>
        <x:v>0.20000000000000001</x:v>
      </x:c>
      <x:c r="M55" s="8">
        <x:f>'Воздействие'!E17*D55*E55</x:f>
        <x:v>0.10000000000000001</x:v>
      </x:c>
      <x:c r="N55" s="8">
        <x:f>K55+L55-M55</x:f>
        <x:v>0.30000000000000004</x:v>
      </x:c>
      <x:c r="O55" s="1">
        <x:f>J55*'Параметры'!$B$10*N55</x:f>
        <x:v>8659.3235810415463</x:v>
      </x:c>
      <x:c r="P55" s="8">
        <x:f>(1-'Воздействие'!F17*D55)*(1-'Воздействие'!G17*E55)</x:f>
        <x:v>1</x:v>
      </x:c>
      <x:c r="Q55" s="1">
        <x:f>J55*P55</x:f>
        <x:v>288644.11936805147</x:v>
      </x:c>
      <x:c r="R55" s="1">
        <x:f>O55*P55</x:f>
        <x:v>8659.3235810415463</x:v>
      </x:c>
      <x:c r="S55" s="8">
        <x:f>(1-'Гипотезы'!D8)*(1-'Гипотезы'!E8)</x:f>
        <x:v>0.5625</x:v>
      </x:c>
      <x:c r="T55" s="12">
        <x:f>Q55+R55*S55</x:f>
        <x:v>293514.98888238735</x:v>
      </x:c>
      <x:c r="U55" s="12">
        <x:f>T55-J55</x:f>
        <x:v>4870.8695143358782</x:v>
      </x:c>
      <x:c r="V55" s="12">
        <x:f>J55*'Когорты'!T5</x:f>
        <x:v>288644.11936805147</x:v>
      </x:c>
      <x:c r="W55" s="12">
        <x:f>Q55*'Когорты'!T5*(1+'Воздействие'!H17*N55)</x:f>
        <x:v>288644.11936805147</x:v>
      </x:c>
      <x:c r="X55" s="12">
        <x:f>R55*'Когорты'!T5*(1+'Воздействие'!H17*N55)</x:f>
        <x:v>8659.3235810415463</x:v>
      </x:c>
      <x:c r="Y55" s="12">
        <x:f>W55+X55*S55</x:f>
        <x:v>293514.98888238735</x:v>
      </x:c>
      <x:c r="Z55" s="12">
        <x:f>F55*N55</x:f>
        <x:v>384384.00000000006</x:v>
      </x:c>
      <x:c r="AA55" s="12">
        <x:f>J55*D55</x:f>
        <x:v>288644.11936805147</x:v>
      </x:c>
      <x:c r="AB55" s="12">
        <x:f>Q55*D55</x:f>
        <x:v>288644.11936805147</x:v>
      </x:c>
      <x:c r="AC55" s="12">
        <x:f>R55*D55</x:f>
        <x:v>8659.3235810415463</x:v>
      </x:c>
      <x:c r="AD55" s="12">
        <x:f>J55*E55</x:f>
        <x:v>288644.11936805147</x:v>
      </x:c>
      <x:c r="AE55" s="12">
        <x:f>Q55*E55</x:f>
        <x:v>288644.11936805147</x:v>
      </x:c>
      <x:c r="AF55" s="12">
        <x:f>R55*E55</x:f>
        <x:v>8659.3235810415463</x:v>
      </x:c>
      <x:c r="AG55" s="1">
        <x:f>IF(AND(I55&gt;=0,I55&lt;=1,Q55+R55&lt;=F55+0.00000001,N55&gt;=0,N55&lt;=1),1,0)</x:f>
        <x:v>1</x:v>
      </x:c>
      <x:c r="AH55" s="1"/>
      <x:c r="AI55" s="1"/>
    </x:row>
    <x:row r="56" ht="24" customHeight="1">
      <x:c r="A56" s="1" t="str">
        <x:v>H4</x:v>
      </x:c>
      <x:c r="B56" s="1" t="str">
        <x:v>S1</x:v>
      </x:c>
      <x:c r="C56" s="1" t="str">
        <x:v>Ни один</x:v>
      </x:c>
      <x:c r="D56" s="1" t="n">
        <x:v>0</x:v>
      </x:c>
      <x:c r="E56" s="1" t="n">
        <x:v>0</x:v>
      </x:c>
      <x:c r="F56" s="12">
        <x:f>'Когорты'!D5*'Когорты'!N5</x:f>
        <x:v>3991679.9999999991</x:v>
      </x:c>
      <x:c r="G56" s="8">
        <x:f>'Когорты'!F5</x:f>
        <x:v>0.23099999999999998</x:v>
      </x:c>
      <x:c r="H56" s="1">
        <x:f>'Когорты'!R5</x:f>
        <x:v>0.29999999999999999</x:v>
      </x:c>
      <x:c r="I56" s="8">
        <x:f>IF('Когорты'!S5&gt;0,G56*H56/'Когорты'!S5,0)</x:f>
        <x:v>0.067583382094792255</x:v>
      </x:c>
      <x:c r="J56" s="1">
        <x:f>F56*I56</x:f>
        <x:v>269771.23464014026</x:v>
      </x:c>
      <x:c r="K56" s="8">
        <x:f>'Воздействие'!C17*D56</x:f>
        <x:v>0</x:v>
      </x:c>
      <x:c r="L56" s="8">
        <x:f>'Воздействие'!D17*E56</x:f>
        <x:v>0</x:v>
      </x:c>
      <x:c r="M56" s="8">
        <x:f>'Воздействие'!E17*D56*E56</x:f>
        <x:v>0</x:v>
      </x:c>
      <x:c r="N56" s="8">
        <x:f>K56+L56-M56</x:f>
        <x:v>0</x:v>
      </x:c>
      <x:c r="O56" s="1">
        <x:f>J56*'Параметры'!$B$10*N56</x:f>
        <x:v>0</x:v>
      </x:c>
      <x:c r="P56" s="8">
        <x:f>(1-'Воздействие'!F17*D56)*(1-'Воздействие'!G17*E56)</x:f>
        <x:v>1</x:v>
      </x:c>
      <x:c r="Q56" s="1">
        <x:f>J56*P56</x:f>
        <x:v>269771.23464014026</x:v>
      </x:c>
      <x:c r="R56" s="1">
        <x:f>O56*P56</x:f>
        <x:v>0</x:v>
      </x:c>
      <x:c r="S56" s="8">
        <x:f>(1-'Гипотезы'!D8)*(1-'Гипотезы'!E8)</x:f>
        <x:v>0.5625</x:v>
      </x:c>
      <x:c r="T56" s="12">
        <x:f>Q56+R56*S56</x:f>
        <x:v>269771.23464014026</x:v>
      </x:c>
      <x:c r="U56" s="12">
        <x:f>T56-J56</x:f>
        <x:v>0</x:v>
      </x:c>
      <x:c r="V56" s="12">
        <x:f>J56*'Когорты'!T5</x:f>
        <x:v>269771.23464014026</x:v>
      </x:c>
      <x:c r="W56" s="12">
        <x:f>Q56*'Когорты'!T5*(1+'Воздействие'!H17*N56)</x:f>
        <x:v>269771.23464014026</x:v>
      </x:c>
      <x:c r="X56" s="12">
        <x:f>R56*'Когорты'!T5*(1+'Воздействие'!H17*N56)</x:f>
        <x:v>0</x:v>
      </x:c>
      <x:c r="Y56" s="12">
        <x:f>W56+X56*S56</x:f>
        <x:v>269771.23464014026</x:v>
      </x:c>
      <x:c r="Z56" s="12">
        <x:f>F56*N56</x:f>
        <x:v>0</x:v>
      </x:c>
      <x:c r="AA56" s="12">
        <x:f>J56*D56</x:f>
        <x:v>0</x:v>
      </x:c>
      <x:c r="AB56" s="12">
        <x:f>Q56*D56</x:f>
        <x:v>0</x:v>
      </x:c>
      <x:c r="AC56" s="12">
        <x:f>R56*D56</x:f>
        <x:v>0</x:v>
      </x:c>
      <x:c r="AD56" s="12">
        <x:f>J56*E56</x:f>
        <x:v>0</x:v>
      </x:c>
      <x:c r="AE56" s="12">
        <x:f>Q56*E56</x:f>
        <x:v>0</x:v>
      </x:c>
      <x:c r="AF56" s="12">
        <x:f>R56*E56</x:f>
        <x:v>0</x:v>
      </x:c>
      <x:c r="AG56" s="1">
        <x:f>IF(AND(I56&gt;=0,I56&lt;=1,Q56+R56&lt;=F56+0.00000001,N56&gt;=0,N56&lt;=1),1,0)</x:f>
        <x:v>1</x:v>
      </x:c>
      <x:c r="AH56" s="1"/>
      <x:c r="AI56" s="1"/>
    </x:row>
    <x:row r="57" ht="24" customHeight="1">
      <x:c r="A57" s="1" t="str">
        <x:v>H4</x:v>
      </x:c>
      <x:c r="B57" s="1" t="str">
        <x:v>S2</x:v>
      </x:c>
      <x:c r="C57" s="1" t="str">
        <x:v>Только C</x:v>
      </x:c>
      <x:c r="D57" s="1" t="n">
        <x:v>1</x:v>
      </x:c>
      <x:c r="E57" s="1" t="n">
        <x:v>0</x:v>
      </x:c>
      <x:c r="F57" s="12">
        <x:f>'Когорты'!D6*'Когорты'!L6</x:f>
        <x:v>2882880</x:v>
      </x:c>
      <x:c r="G57" s="8">
        <x:f>'Когорты'!F6</x:f>
        <x:v>0.14099999999999999</x:v>
      </x:c>
      <x:c r="H57" s="1">
        <x:f>'Когорты'!O6</x:f>
        <x:v>1.5</x:v>
      </x:c>
      <x:c r="I57" s="8">
        <x:f>IF('Когорты'!S6&gt;0,G57*H57/'Когорты'!S6,0)</x:f>
        <x:v>0.2062609713282621</x:v>
      </x:c>
      <x:c r="J57" s="1">
        <x:f>F57*I57</x:f>
        <x:v>594625.62902282027</x:v>
      </x:c>
      <x:c r="K57" s="8">
        <x:f>'Воздействие'!C18*D57</x:f>
        <x:v>0.29999999999999999</x:v>
      </x:c>
      <x:c r="L57" s="8">
        <x:f>'Воздействие'!D18*E57</x:f>
        <x:v>0</x:v>
      </x:c>
      <x:c r="M57" s="8">
        <x:f>'Воздействие'!E18*D57*E57</x:f>
        <x:v>0</x:v>
      </x:c>
      <x:c r="N57" s="8">
        <x:f>K57+L57-M57</x:f>
        <x:v>0.29999999999999999</x:v>
      </x:c>
      <x:c r="O57" s="1">
        <x:f>J57*'Параметры'!$B$10*N57</x:f>
        <x:v>17838.768870684609</x:v>
      </x:c>
      <x:c r="P57" s="8">
        <x:f>(1-'Воздействие'!F18*D57)*(1-'Воздействие'!G18*E57)</x:f>
        <x:v>1</x:v>
      </x:c>
      <x:c r="Q57" s="1">
        <x:f>J57*P57</x:f>
        <x:v>594625.62902282027</x:v>
      </x:c>
      <x:c r="R57" s="1">
        <x:f>O57*P57</x:f>
        <x:v>17838.768870684609</x:v>
      </x:c>
      <x:c r="S57" s="8">
        <x:f>(1-'Гипотезы'!D8)*(1-'Гипотезы'!E8)</x:f>
        <x:v>0.5625</x:v>
      </x:c>
      <x:c r="T57" s="12">
        <x:f>Q57+R57*S57</x:f>
        <x:v>604659.93651258037</x:v>
      </x:c>
      <x:c r="U57" s="12">
        <x:f>T57-J57</x:f>
        <x:v>10034.307489760104</x:v>
      </x:c>
      <x:c r="V57" s="12">
        <x:f>J57*'Когорты'!T6</x:f>
        <x:v>594625.62902282027</x:v>
      </x:c>
      <x:c r="W57" s="12">
        <x:f>Q57*'Когорты'!T6*(1+'Воздействие'!H18*N57)</x:f>
        <x:v>594625.62902282027</x:v>
      </x:c>
      <x:c r="X57" s="12">
        <x:f>R57*'Когорты'!T6*(1+'Воздействие'!H18*N57)</x:f>
        <x:v>17838.768870684609</x:v>
      </x:c>
      <x:c r="Y57" s="12">
        <x:f>W57+X57*S57</x:f>
        <x:v>604659.93651258037</x:v>
      </x:c>
      <x:c r="Z57" s="12">
        <x:f>F57*N57</x:f>
        <x:v>864864</x:v>
      </x:c>
      <x:c r="AA57" s="12">
        <x:f>J57*D57</x:f>
        <x:v>594625.62902282027</x:v>
      </x:c>
      <x:c r="AB57" s="12">
        <x:f>Q57*D57</x:f>
        <x:v>594625.62902282027</x:v>
      </x:c>
      <x:c r="AC57" s="12">
        <x:f>R57*D57</x:f>
        <x:v>17838.768870684609</x:v>
      </x:c>
      <x:c r="AD57" s="12">
        <x:f>J57*E57</x:f>
        <x:v>0</x:v>
      </x:c>
      <x:c r="AE57" s="12">
        <x:f>Q57*E57</x:f>
        <x:v>0</x:v>
      </x:c>
      <x:c r="AF57" s="12">
        <x:f>R57*E57</x:f>
        <x:v>0</x:v>
      </x:c>
      <x:c r="AG57" s="1">
        <x:f>IF(AND(I57&gt;=0,I57&lt;=1,Q57+R57&lt;=F57+0.00000001,N57&gt;=0,N57&lt;=1),1,0)</x:f>
        <x:v>1</x:v>
      </x:c>
      <x:c r="AH57" s="1"/>
      <x:c r="AI57" s="1"/>
    </x:row>
    <x:row r="58" ht="24" customHeight="1">
      <x:c r="A58" s="1" t="str">
        <x:v>H4</x:v>
      </x:c>
      <x:c r="B58" s="1" t="str">
        <x:v>S2</x:v>
      </x:c>
      <x:c r="C58" s="1" t="str">
        <x:v>Только F</x:v>
      </x:c>
      <x:c r="D58" s="1" t="n">
        <x:v>0</x:v>
      </x:c>
      <x:c r="E58" s="1" t="n">
        <x:v>1</x:v>
      </x:c>
      <x:c r="F58" s="12">
        <x:f>'Когорты'!D6*'Когорты'!M6</x:f>
        <x:v>137279.99999999997</x:v>
      </x:c>
      <x:c r="G58" s="8">
        <x:f>'Когорты'!F6</x:f>
        <x:v>0.14099999999999999</x:v>
      </x:c>
      <x:c r="H58" s="1">
        <x:f>'Когорты'!P6</x:f>
        <x:v>0.20000000000000001</x:v>
      </x:c>
      <x:c r="I58" s="8">
        <x:f>IF('Когорты'!S6&gt;0,G58*H58/'Когорты'!S6,0)</x:f>
        <x:v>0.027501462843768282</x:v>
      </x:c>
      <x:c r="J58" s="1">
        <x:f>F58*I58</x:f>
        <x:v>3775.4008191925091</x:v>
      </x:c>
      <x:c r="K58" s="8">
        <x:f>'Воздействие'!C18*D58</x:f>
        <x:v>0</x:v>
      </x:c>
      <x:c r="L58" s="8">
        <x:f>'Воздействие'!D18*E58</x:f>
        <x:v>0.29999999999999999</x:v>
      </x:c>
      <x:c r="M58" s="8">
        <x:f>'Воздействие'!E18*D58*E58</x:f>
        <x:v>0</x:v>
      </x:c>
      <x:c r="N58" s="8">
        <x:f>K58+L58-M58</x:f>
        <x:v>0.29999999999999999</x:v>
      </x:c>
      <x:c r="O58" s="1">
        <x:f>J58*'Параметры'!$B$10*N58</x:f>
        <x:v>113.26202457577529</x:v>
      </x:c>
      <x:c r="P58" s="8">
        <x:f>(1-'Воздействие'!F18*D58)*(1-'Воздействие'!G18*E58)</x:f>
        <x:v>1</x:v>
      </x:c>
      <x:c r="Q58" s="1">
        <x:f>J58*P58</x:f>
        <x:v>3775.4008191925091</x:v>
      </x:c>
      <x:c r="R58" s="1">
        <x:f>O58*P58</x:f>
        <x:v>113.26202457577529</x:v>
      </x:c>
      <x:c r="S58" s="8">
        <x:f>(1-'Гипотезы'!D8)*(1-'Гипотезы'!E8)</x:f>
        <x:v>0.5625</x:v>
      </x:c>
      <x:c r="T58" s="12">
        <x:f>Q58+R58*S58</x:f>
        <x:v>3839.1107080163829</x:v>
      </x:c>
      <x:c r="U58" s="12">
        <x:f>T58-J58</x:f>
        <x:v>63.709888823873825</x:v>
      </x:c>
      <x:c r="V58" s="12">
        <x:f>J58*'Когорты'!T6</x:f>
        <x:v>3775.4008191925091</x:v>
      </x:c>
      <x:c r="W58" s="12">
        <x:f>Q58*'Когорты'!T6*(1+'Воздействие'!H18*N58)</x:f>
        <x:v>3775.4008191925091</x:v>
      </x:c>
      <x:c r="X58" s="12">
        <x:f>R58*'Когорты'!T6*(1+'Воздействие'!H18*N58)</x:f>
        <x:v>113.26202457577529</x:v>
      </x:c>
      <x:c r="Y58" s="12">
        <x:f>W58+X58*S58</x:f>
        <x:v>3839.1107080163829</x:v>
      </x:c>
      <x:c r="Z58" s="12">
        <x:f>F58*N58</x:f>
        <x:v>41183.999999999993</x:v>
      </x:c>
      <x:c r="AA58" s="12">
        <x:f>J58*D58</x:f>
        <x:v>0</x:v>
      </x:c>
      <x:c r="AB58" s="12">
        <x:f>Q58*D58</x:f>
        <x:v>0</x:v>
      </x:c>
      <x:c r="AC58" s="12">
        <x:f>R58*D58</x:f>
        <x:v>0</x:v>
      </x:c>
      <x:c r="AD58" s="12">
        <x:f>J58*E58</x:f>
        <x:v>3775.4008191925091</x:v>
      </x:c>
      <x:c r="AE58" s="12">
        <x:f>Q58*E58</x:f>
        <x:v>3775.4008191925091</x:v>
      </x:c>
      <x:c r="AF58" s="12">
        <x:f>R58*E58</x:f>
        <x:v>113.26202457577529</x:v>
      </x:c>
      <x:c r="AG58" s="1">
        <x:f>IF(AND(I58&gt;=0,I58&lt;=1,Q58+R58&lt;=F58+0.00000001,N58&gt;=0,N58&lt;=1),1,0)</x:f>
        <x:v>1</x:v>
      </x:c>
      <x:c r="AH58" s="1"/>
      <x:c r="AI58" s="1"/>
    </x:row>
    <x:row r="59" ht="24" customHeight="1">
      <x:c r="A59" s="1" t="str">
        <x:v>H4</x:v>
      </x:c>
      <x:c r="B59" s="1" t="str">
        <x:v>S2</x:v>
      </x:c>
      <x:c r="C59" s="1" t="str">
        <x:v>Оба</x:v>
      </x:c>
      <x:c r="D59" s="1" t="n">
        <x:v>1</x:v>
      </x:c>
      <x:c r="E59" s="1" t="n">
        <x:v>1</x:v>
      </x:c>
      <x:c r="F59" s="12">
        <x:f>'Когорты'!D6*'Когорты'!K6</x:f>
        <x:v>549120</x:v>
      </x:c>
      <x:c r="G59" s="8">
        <x:f>'Когорты'!F6</x:f>
        <x:v>0.14099999999999999</x:v>
      </x:c>
      <x:c r="H59" s="1">
        <x:f>'Когорты'!Q6</x:f>
        <x:v>1</x:v>
      </x:c>
      <x:c r="I59" s="8">
        <x:f>IF('Когорты'!S6&gt;0,G59*H59/'Когорты'!S6,0)</x:f>
        <x:v>0.13750731421884141</x:v>
      </x:c>
      <x:c r="J59" s="1">
        <x:f>F59*I59</x:f>
        <x:v>75508.01638385019</x:v>
      </x:c>
      <x:c r="K59" s="8">
        <x:f>'Воздействие'!C18*D59</x:f>
        <x:v>0.29999999999999999</x:v>
      </x:c>
      <x:c r="L59" s="8">
        <x:f>'Воздействие'!D18*E59</x:f>
        <x:v>0.29999999999999999</x:v>
      </x:c>
      <x:c r="M59" s="8">
        <x:f>'Воздействие'!E18*D59*E59</x:f>
        <x:v>0.10000000000000001</x:v>
      </x:c>
      <x:c r="N59" s="8">
        <x:f>K59+L59-M59</x:f>
        <x:v>0.5</x:v>
      </x:c>
      <x:c r="O59" s="1">
        <x:f>J59*'Параметры'!$B$10*N59</x:f>
        <x:v>3775.4008191925095</x:v>
      </x:c>
      <x:c r="P59" s="8">
        <x:f>(1-'Воздействие'!F18*D59)*(1-'Воздействие'!G18*E59)</x:f>
        <x:v>1</x:v>
      </x:c>
      <x:c r="Q59" s="1">
        <x:f>J59*P59</x:f>
        <x:v>75508.01638385019</x:v>
      </x:c>
      <x:c r="R59" s="1">
        <x:f>O59*P59</x:f>
        <x:v>3775.4008191925095</x:v>
      </x:c>
      <x:c r="S59" s="8">
        <x:f>(1-'Гипотезы'!D8)*(1-'Гипотезы'!E8)</x:f>
        <x:v>0.5625</x:v>
      </x:c>
      <x:c r="T59" s="12">
        <x:f>Q59+R59*S59</x:f>
        <x:v>77631.679344645978</x:v>
      </x:c>
      <x:c r="U59" s="12">
        <x:f>T59-J59</x:f>
        <x:v>2123.6629607957875</x:v>
      </x:c>
      <x:c r="V59" s="12">
        <x:f>J59*'Когорты'!T6</x:f>
        <x:v>75508.01638385019</x:v>
      </x:c>
      <x:c r="W59" s="12">
        <x:f>Q59*'Когорты'!T6*(1+'Воздействие'!H18*N59)</x:f>
        <x:v>75508.01638385019</x:v>
      </x:c>
      <x:c r="X59" s="12">
        <x:f>R59*'Когорты'!T6*(1+'Воздействие'!H18*N59)</x:f>
        <x:v>3775.4008191925095</x:v>
      </x:c>
      <x:c r="Y59" s="12">
        <x:f>W59+X59*S59</x:f>
        <x:v>77631.679344645978</x:v>
      </x:c>
      <x:c r="Z59" s="12">
        <x:f>F59*N59</x:f>
        <x:v>274560</x:v>
      </x:c>
      <x:c r="AA59" s="12">
        <x:f>J59*D59</x:f>
        <x:v>75508.01638385019</x:v>
      </x:c>
      <x:c r="AB59" s="12">
        <x:f>Q59*D59</x:f>
        <x:v>75508.01638385019</x:v>
      </x:c>
      <x:c r="AC59" s="12">
        <x:f>R59*D59</x:f>
        <x:v>3775.4008191925095</x:v>
      </x:c>
      <x:c r="AD59" s="12">
        <x:f>J59*E59</x:f>
        <x:v>75508.01638385019</x:v>
      </x:c>
      <x:c r="AE59" s="12">
        <x:f>Q59*E59</x:f>
        <x:v>75508.01638385019</x:v>
      </x:c>
      <x:c r="AF59" s="12">
        <x:f>R59*E59</x:f>
        <x:v>3775.4008191925095</x:v>
      </x:c>
      <x:c r="AG59" s="1">
        <x:f>IF(AND(I59&gt;=0,I59&lt;=1,Q59+R59&lt;=F59+0.00000001,N59&gt;=0,N59&lt;=1),1,0)</x:f>
        <x:v>1</x:v>
      </x:c>
      <x:c r="AH59" s="1"/>
      <x:c r="AI59" s="1"/>
    </x:row>
    <x:row r="60" ht="24" customHeight="1">
      <x:c r="A60" s="1" t="str">
        <x:v>H4</x:v>
      </x:c>
      <x:c r="B60" s="1" t="str">
        <x:v>S2</x:v>
      </x:c>
      <x:c r="C60" s="1" t="str">
        <x:v>Ни один</x:v>
      </x:c>
      <x:c r="D60" s="1" t="n">
        <x:v>0</x:v>
      </x:c>
      <x:c r="E60" s="1" t="n">
        <x:v>0</x:v>
      </x:c>
      <x:c r="F60" s="12">
        <x:f>'Когорты'!D6*'Когорты'!N6</x:f>
        <x:v>1710719.9999999998</x:v>
      </x:c>
      <x:c r="G60" s="8">
        <x:f>'Когорты'!F6</x:f>
        <x:v>0.14099999999999999</x:v>
      </x:c>
      <x:c r="H60" s="1">
        <x:f>'Когорты'!R6</x:f>
        <x:v>0.29999999999999999</x:v>
      </x:c>
      <x:c r="I60" s="8">
        <x:f>IF('Когорты'!S6&gt;0,G60*H60/'Когорты'!S6,0)</x:f>
        <x:v>0.041252194265652423</x:v>
      </x:c>
      <x:c r="J60" s="1">
        <x:f>F60*I60</x:f>
        <x:v>70570.953774136899</x:v>
      </x:c>
      <x:c r="K60" s="8">
        <x:f>'Воздействие'!C18*D60</x:f>
        <x:v>0</x:v>
      </x:c>
      <x:c r="L60" s="8">
        <x:f>'Воздействие'!D18*E60</x:f>
        <x:v>0</x:v>
      </x:c>
      <x:c r="M60" s="8">
        <x:f>'Воздействие'!E18*D60*E60</x:f>
        <x:v>0</x:v>
      </x:c>
      <x:c r="N60" s="8">
        <x:f>K60+L60-M60</x:f>
        <x:v>0</x:v>
      </x:c>
      <x:c r="O60" s="1">
        <x:f>J60*'Параметры'!$B$10*N60</x:f>
        <x:v>0</x:v>
      </x:c>
      <x:c r="P60" s="8">
        <x:f>(1-'Воздействие'!F18*D60)*(1-'Воздействие'!G18*E60)</x:f>
        <x:v>1</x:v>
      </x:c>
      <x:c r="Q60" s="1">
        <x:f>J60*P60</x:f>
        <x:v>70570.953774136899</x:v>
      </x:c>
      <x:c r="R60" s="1">
        <x:f>O60*P60</x:f>
        <x:v>0</x:v>
      </x:c>
      <x:c r="S60" s="8">
        <x:f>(1-'Гипотезы'!D8)*(1-'Гипотезы'!E8)</x:f>
        <x:v>0.5625</x:v>
      </x:c>
      <x:c r="T60" s="12">
        <x:f>Q60+R60*S60</x:f>
        <x:v>70570.953774136899</x:v>
      </x:c>
      <x:c r="U60" s="12">
        <x:f>T60-J60</x:f>
        <x:v>0</x:v>
      </x:c>
      <x:c r="V60" s="12">
        <x:f>J60*'Когорты'!T6</x:f>
        <x:v>70570.953774136899</x:v>
      </x:c>
      <x:c r="W60" s="12">
        <x:f>Q60*'Когорты'!T6*(1+'Воздействие'!H18*N60)</x:f>
        <x:v>70570.953774136899</x:v>
      </x:c>
      <x:c r="X60" s="12">
        <x:f>R60*'Когорты'!T6*(1+'Воздействие'!H18*N60)</x:f>
        <x:v>0</x:v>
      </x:c>
      <x:c r="Y60" s="12">
        <x:f>W60+X60*S60</x:f>
        <x:v>70570.953774136899</x:v>
      </x:c>
      <x:c r="Z60" s="12">
        <x:f>F60*N60</x:f>
        <x:v>0</x:v>
      </x:c>
      <x:c r="AA60" s="12">
        <x:f>J60*D60</x:f>
        <x:v>0</x:v>
      </x:c>
      <x:c r="AB60" s="12">
        <x:f>Q60*D60</x:f>
        <x:v>0</x:v>
      </x:c>
      <x:c r="AC60" s="12">
        <x:f>R60*D60</x:f>
        <x:v>0</x:v>
      </x:c>
      <x:c r="AD60" s="12">
        <x:f>J60*E60</x:f>
        <x:v>0</x:v>
      </x:c>
      <x:c r="AE60" s="12">
        <x:f>Q60*E60</x:f>
        <x:v>0</x:v>
      </x:c>
      <x:c r="AF60" s="12">
        <x:f>R60*E60</x:f>
        <x:v>0</x:v>
      </x:c>
      <x:c r="AG60" s="1">
        <x:f>IF(AND(I60&gt;=0,I60&lt;=1,Q60+R60&lt;=F60+0.00000001,N60&gt;=0,N60&lt;=1),1,0)</x:f>
        <x:v>1</x:v>
      </x:c>
      <x:c r="AH60" s="1"/>
      <x:c r="AI60" s="1"/>
    </x:row>
    <x:row r="61" ht="24" customHeight="1">
      <x:c r="A61" s="1" t="str">
        <x:v>H4</x:v>
      </x:c>
      <x:c r="B61" s="1" t="str">
        <x:v>S3</x:v>
      </x:c>
      <x:c r="C61" s="1" t="str">
        <x:v>Только C</x:v>
      </x:c>
      <x:c r="D61" s="1" t="n">
        <x:v>1</x:v>
      </x:c>
      <x:c r="E61" s="1" t="n">
        <x:v>0</x:v>
      </x:c>
      <x:c r="F61" s="12">
        <x:f>'Когорты'!D7*'Когорты'!L7</x:f>
        <x:v>4324320</x:v>
      </x:c>
      <x:c r="G61" s="8">
        <x:f>'Когорты'!F7</x:f>
        <x:v>0.05099999999999999</x:v>
      </x:c>
      <x:c r="H61" s="1">
        <x:f>'Когорты'!O7</x:f>
        <x:v>1.5</x:v>
      </x:c>
      <x:c r="I61" s="8">
        <x:f>IF('Когорты'!S7&gt;0,G61*H61/'Когорты'!S7,0)</x:f>
        <x:v>0.074605032182562883</x:v>
      </x:c>
      <x:c r="J61" s="1">
        <x:f>F61*I61</x:f>
        <x:v>322616.03276770032</x:v>
      </x:c>
      <x:c r="K61" s="8">
        <x:f>'Воздействие'!C19*D61</x:f>
        <x:v>0.29999999999999999</x:v>
      </x:c>
      <x:c r="L61" s="8">
        <x:f>'Воздействие'!D19*E61</x:f>
        <x:v>0</x:v>
      </x:c>
      <x:c r="M61" s="8">
        <x:f>'Воздействие'!E19*D61*E61</x:f>
        <x:v>0</x:v>
      </x:c>
      <x:c r="N61" s="8">
        <x:f>K61+L61-M61</x:f>
        <x:v>0.29999999999999999</x:v>
      </x:c>
      <x:c r="O61" s="1">
        <x:f>J61*'Параметры'!$B$10*N61</x:f>
        <x:v>9678.4809830310096</x:v>
      </x:c>
      <x:c r="P61" s="8">
        <x:f>(1-'Воздействие'!F19*D61)*(1-'Воздействие'!G19*E61)</x:f>
        <x:v>1</x:v>
      </x:c>
      <x:c r="Q61" s="1">
        <x:f>J61*P61</x:f>
        <x:v>322616.03276770032</x:v>
      </x:c>
      <x:c r="R61" s="1">
        <x:f>O61*P61</x:f>
        <x:v>9678.4809830310096</x:v>
      </x:c>
      <x:c r="S61" s="8">
        <x:f>(1-'Гипотезы'!D8)*(1-'Гипотезы'!E8)</x:f>
        <x:v>0.5625</x:v>
      </x:c>
      <x:c r="T61" s="12">
        <x:f>Q61+R61*S61</x:f>
        <x:v>328060.17832065525</x:v>
      </x:c>
      <x:c r="U61" s="12">
        <x:f>T61-J61</x:f>
        <x:v>5444.1455529549276</x:v>
      </x:c>
      <x:c r="V61" s="12">
        <x:f>J61*'Когорты'!T7</x:f>
        <x:v>322616.03276770032</x:v>
      </x:c>
      <x:c r="W61" s="12">
        <x:f>Q61*'Когорты'!T7*(1+'Воздействие'!H19*N61)</x:f>
        <x:v>322616.03276770032</x:v>
      </x:c>
      <x:c r="X61" s="12">
        <x:f>R61*'Когорты'!T7*(1+'Воздействие'!H19*N61)</x:f>
        <x:v>9678.4809830310096</x:v>
      </x:c>
      <x:c r="Y61" s="12">
        <x:f>W61+X61*S61</x:f>
        <x:v>328060.17832065525</x:v>
      </x:c>
      <x:c r="Z61" s="12">
        <x:f>F61*N61</x:f>
        <x:v>1297296</x:v>
      </x:c>
      <x:c r="AA61" s="12">
        <x:f>J61*D61</x:f>
        <x:v>322616.03276770032</x:v>
      </x:c>
      <x:c r="AB61" s="12">
        <x:f>Q61*D61</x:f>
        <x:v>322616.03276770032</x:v>
      </x:c>
      <x:c r="AC61" s="12">
        <x:f>R61*D61</x:f>
        <x:v>9678.4809830310096</x:v>
      </x:c>
      <x:c r="AD61" s="12">
        <x:f>J61*E61</x:f>
        <x:v>0</x:v>
      </x:c>
      <x:c r="AE61" s="12">
        <x:f>Q61*E61</x:f>
        <x:v>0</x:v>
      </x:c>
      <x:c r="AF61" s="12">
        <x:f>R61*E61</x:f>
        <x:v>0</x:v>
      </x:c>
      <x:c r="AG61" s="1">
        <x:f>IF(AND(I61&gt;=0,I61&lt;=1,Q61+R61&lt;=F61+0.00000001,N61&gt;=0,N61&lt;=1),1,0)</x:f>
        <x:v>1</x:v>
      </x:c>
      <x:c r="AH61" s="1"/>
      <x:c r="AI61" s="1"/>
    </x:row>
    <x:row r="62" ht="24" customHeight="1">
      <x:c r="A62" s="1" t="str">
        <x:v>H4</x:v>
      </x:c>
      <x:c r="B62" s="1" t="str">
        <x:v>S3</x:v>
      </x:c>
      <x:c r="C62" s="1" t="str">
        <x:v>Только F</x:v>
      </x:c>
      <x:c r="D62" s="1" t="n">
        <x:v>0</x:v>
      </x:c>
      <x:c r="E62" s="1" t="n">
        <x:v>1</x:v>
      </x:c>
      <x:c r="F62" s="12">
        <x:f>'Когорты'!D7*'Когорты'!M7</x:f>
        <x:v>205919.99999999997</x:v>
      </x:c>
      <x:c r="G62" s="8">
        <x:f>'Когорты'!F7</x:f>
        <x:v>0.05099999999999999</x:v>
      </x:c>
      <x:c r="H62" s="1">
        <x:f>'Когорты'!P7</x:f>
        <x:v>0.20000000000000001</x:v>
      </x:c>
      <x:c r="I62" s="8">
        <x:f>IF('Когорты'!S7&gt;0,G62*H62/'Когорты'!S7,0)</x:f>
        <x:v>0.0099473376243417178</x:v>
      </x:c>
      <x:c r="J62" s="1">
        <x:f>F62*I62</x:f>
        <x:v>2048.3557636044461</x:v>
      </x:c>
      <x:c r="K62" s="8">
        <x:f>'Воздействие'!C19*D62</x:f>
        <x:v>0</x:v>
      </x:c>
      <x:c r="L62" s="8">
        <x:f>'Воздействие'!D19*E62</x:f>
        <x:v>0.29999999999999999</x:v>
      </x:c>
      <x:c r="M62" s="8">
        <x:f>'Воздействие'!E19*D62*E62</x:f>
        <x:v>0</x:v>
      </x:c>
      <x:c r="N62" s="8">
        <x:f>K62+L62-M62</x:f>
        <x:v>0.29999999999999999</x:v>
      </x:c>
      <x:c r="O62" s="1">
        <x:f>J62*'Параметры'!$B$10*N62</x:f>
        <x:v>61.450672908133384</x:v>
      </x:c>
      <x:c r="P62" s="8">
        <x:f>(1-'Воздействие'!F19*D62)*(1-'Воздействие'!G19*E62)</x:f>
        <x:v>1</x:v>
      </x:c>
      <x:c r="Q62" s="1">
        <x:f>J62*P62</x:f>
        <x:v>2048.3557636044461</x:v>
      </x:c>
      <x:c r="R62" s="1">
        <x:f>O62*P62</x:f>
        <x:v>61.450672908133384</x:v>
      </x:c>
      <x:c r="S62" s="8">
        <x:f>(1-'Гипотезы'!D8)*(1-'Гипотезы'!E8)</x:f>
        <x:v>0.5625</x:v>
      </x:c>
      <x:c r="T62" s="12">
        <x:f>Q62+R62*S62</x:f>
        <x:v>2082.921767115271</x:v>
      </x:c>
      <x:c r="U62" s="12">
        <x:f>T62-J62</x:f>
        <x:v>34.566003510824885</x:v>
      </x:c>
      <x:c r="V62" s="12">
        <x:f>J62*'Когорты'!T7</x:f>
        <x:v>2048.3557636044461</x:v>
      </x:c>
      <x:c r="W62" s="12">
        <x:f>Q62*'Когорты'!T7*(1+'Воздействие'!H19*N62)</x:f>
        <x:v>2048.3557636044461</x:v>
      </x:c>
      <x:c r="X62" s="12">
        <x:f>R62*'Когорты'!T7*(1+'Воздействие'!H19*N62)</x:f>
        <x:v>61.450672908133384</x:v>
      </x:c>
      <x:c r="Y62" s="12">
        <x:f>W62+X62*S62</x:f>
        <x:v>2082.921767115271</x:v>
      </x:c>
      <x:c r="Z62" s="12">
        <x:f>F62*N62</x:f>
        <x:v>61775.999999999985</x:v>
      </x:c>
      <x:c r="AA62" s="12">
        <x:f>J62*D62</x:f>
        <x:v>0</x:v>
      </x:c>
      <x:c r="AB62" s="12">
        <x:f>Q62*D62</x:f>
        <x:v>0</x:v>
      </x:c>
      <x:c r="AC62" s="12">
        <x:f>R62*D62</x:f>
        <x:v>0</x:v>
      </x:c>
      <x:c r="AD62" s="12">
        <x:f>J62*E62</x:f>
        <x:v>2048.3557636044461</x:v>
      </x:c>
      <x:c r="AE62" s="12">
        <x:f>Q62*E62</x:f>
        <x:v>2048.3557636044461</x:v>
      </x:c>
      <x:c r="AF62" s="12">
        <x:f>R62*E62</x:f>
        <x:v>61.450672908133384</x:v>
      </x:c>
      <x:c r="AG62" s="1">
        <x:f>IF(AND(I62&gt;=0,I62&lt;=1,Q62+R62&lt;=F62+0.00000001,N62&gt;=0,N62&lt;=1),1,0)</x:f>
        <x:v>1</x:v>
      </x:c>
      <x:c r="AH62" s="1"/>
      <x:c r="AI62" s="1"/>
    </x:row>
    <x:row r="63" ht="24" customHeight="1">
      <x:c r="A63" s="1" t="str">
        <x:v>H4</x:v>
      </x:c>
      <x:c r="B63" s="1" t="str">
        <x:v>S3</x:v>
      </x:c>
      <x:c r="C63" s="1" t="str">
        <x:v>Оба</x:v>
      </x:c>
      <x:c r="D63" s="1" t="n">
        <x:v>1</x:v>
      </x:c>
      <x:c r="E63" s="1" t="n">
        <x:v>1</x:v>
      </x:c>
      <x:c r="F63" s="12">
        <x:f>'Когорты'!D7*'Когорты'!K7</x:f>
        <x:v>823680.00000000012</x:v>
      </x:c>
      <x:c r="G63" s="8">
        <x:f>'Когорты'!F7</x:f>
        <x:v>0.05099999999999999</x:v>
      </x:c>
      <x:c r="H63" s="1">
        <x:f>'Когорты'!Q7</x:f>
        <x:v>1</x:v>
      </x:c>
      <x:c r="I63" s="8">
        <x:f>IF('Когорты'!S7&gt;0,G63*H63/'Когорты'!S7,0)</x:f>
        <x:v>0.049736688121708589</x:v>
      </x:c>
      <x:c r="J63" s="1">
        <x:f>F63*I63</x:f>
        <x:v>40967.115272088937</x:v>
      </x:c>
      <x:c r="K63" s="8">
        <x:f>'Воздействие'!C19*D63</x:f>
        <x:v>0.29999999999999999</x:v>
      </x:c>
      <x:c r="L63" s="8">
        <x:f>'Воздействие'!D19*E63</x:f>
        <x:v>0.29999999999999999</x:v>
      </x:c>
      <x:c r="M63" s="8">
        <x:f>'Воздействие'!E19*D63*E63</x:f>
        <x:v>0.10000000000000001</x:v>
      </x:c>
      <x:c r="N63" s="8">
        <x:f>K63+L63-M63</x:f>
        <x:v>0.5</x:v>
      </x:c>
      <x:c r="O63" s="1">
        <x:f>J63*'Параметры'!$B$10*N63</x:f>
        <x:v>2048.355763604447</x:v>
      </x:c>
      <x:c r="P63" s="8">
        <x:f>(1-'Воздействие'!F19*D63)*(1-'Воздействие'!G19*E63)</x:f>
        <x:v>1</x:v>
      </x:c>
      <x:c r="Q63" s="1">
        <x:f>J63*P63</x:f>
        <x:v>40967.115272088937</x:v>
      </x:c>
      <x:c r="R63" s="1">
        <x:f>O63*P63</x:f>
        <x:v>2048.355763604447</x:v>
      </x:c>
      <x:c r="S63" s="8">
        <x:f>(1-'Гипотезы'!D8)*(1-'Гипотезы'!E8)</x:f>
        <x:v>0.5625</x:v>
      </x:c>
      <x:c r="T63" s="12">
        <x:f>Q63+R63*S63</x:f>
        <x:v>42119.31538911644</x:v>
      </x:c>
      <x:c r="U63" s="12">
        <x:f>T63-J63</x:f>
        <x:v>1152.2001170275034</x:v>
      </x:c>
      <x:c r="V63" s="12">
        <x:f>J63*'Когорты'!T7</x:f>
        <x:v>40967.115272088937</x:v>
      </x:c>
      <x:c r="W63" s="12">
        <x:f>Q63*'Когорты'!T7*(1+'Воздействие'!H19*N63)</x:f>
        <x:v>40967.115272088937</x:v>
      </x:c>
      <x:c r="X63" s="12">
        <x:f>R63*'Когорты'!T7*(1+'Воздействие'!H19*N63)</x:f>
        <x:v>2048.355763604447</x:v>
      </x:c>
      <x:c r="Y63" s="12">
        <x:f>W63+X63*S63</x:f>
        <x:v>42119.31538911644</x:v>
      </x:c>
      <x:c r="Z63" s="12">
        <x:f>F63*N63</x:f>
        <x:v>411840.00000000006</x:v>
      </x:c>
      <x:c r="AA63" s="12">
        <x:f>J63*D63</x:f>
        <x:v>40967.115272088937</x:v>
      </x:c>
      <x:c r="AB63" s="12">
        <x:f>Q63*D63</x:f>
        <x:v>40967.115272088937</x:v>
      </x:c>
      <x:c r="AC63" s="12">
        <x:f>R63*D63</x:f>
        <x:v>2048.355763604447</x:v>
      </x:c>
      <x:c r="AD63" s="12">
        <x:f>J63*E63</x:f>
        <x:v>40967.115272088937</x:v>
      </x:c>
      <x:c r="AE63" s="12">
        <x:f>Q63*E63</x:f>
        <x:v>40967.115272088937</x:v>
      </x:c>
      <x:c r="AF63" s="12">
        <x:f>R63*E63</x:f>
        <x:v>2048.355763604447</x:v>
      </x:c>
      <x:c r="AG63" s="1">
        <x:f>IF(AND(I63&gt;=0,I63&lt;=1,Q63+R63&lt;=F63+0.00000001,N63&gt;=0,N63&lt;=1),1,0)</x:f>
        <x:v>1</x:v>
      </x:c>
      <x:c r="AH63" s="1"/>
      <x:c r="AI63" s="1"/>
    </x:row>
    <x:row r="64" ht="24" customHeight="1">
      <x:c r="A64" s="1" t="str">
        <x:v>H4</x:v>
      </x:c>
      <x:c r="B64" s="1" t="str">
        <x:v>S3</x:v>
      </x:c>
      <x:c r="C64" s="1" t="str">
        <x:v>Ни один</x:v>
      </x:c>
      <x:c r="D64" s="1" t="n">
        <x:v>0</x:v>
      </x:c>
      <x:c r="E64" s="1" t="n">
        <x:v>0</x:v>
      </x:c>
      <x:c r="F64" s="12">
        <x:f>'Когорты'!D7*'Когорты'!N7</x:f>
        <x:v>2566079.9999999995</x:v>
      </x:c>
      <x:c r="G64" s="8">
        <x:f>'Когорты'!F7</x:f>
        <x:v>0.05099999999999999</x:v>
      </x:c>
      <x:c r="H64" s="1">
        <x:f>'Когорты'!R7</x:f>
        <x:v>0.29999999999999999</x:v>
      </x:c>
      <x:c r="I64" s="8">
        <x:f>IF('Когорты'!S7&gt;0,G64*H64/'Когорты'!S7,0)</x:f>
        <x:v>0.014921006436512575</x:v>
      </x:c>
      <x:c r="J64" s="1">
        <x:f>F64*I64</x:f>
        <x:v>38288.496196606182</x:v>
      </x:c>
      <x:c r="K64" s="8">
        <x:f>'Воздействие'!C19*D64</x:f>
        <x:v>0</x:v>
      </x:c>
      <x:c r="L64" s="8">
        <x:f>'Воздействие'!D19*E64</x:f>
        <x:v>0</x:v>
      </x:c>
      <x:c r="M64" s="8">
        <x:f>'Воздействие'!E19*D64*E64</x:f>
        <x:v>0</x:v>
      </x:c>
      <x:c r="N64" s="8">
        <x:f>K64+L64-M64</x:f>
        <x:v>0</x:v>
      </x:c>
      <x:c r="O64" s="1">
        <x:f>J64*'Параметры'!$B$10*N64</x:f>
        <x:v>0</x:v>
      </x:c>
      <x:c r="P64" s="8">
        <x:f>(1-'Воздействие'!F19*D64)*(1-'Воздействие'!G19*E64)</x:f>
        <x:v>1</x:v>
      </x:c>
      <x:c r="Q64" s="1">
        <x:f>J64*P64</x:f>
        <x:v>38288.496196606182</x:v>
      </x:c>
      <x:c r="R64" s="1">
        <x:f>O64*P64</x:f>
        <x:v>0</x:v>
      </x:c>
      <x:c r="S64" s="8">
        <x:f>(1-'Гипотезы'!D8)*(1-'Гипотезы'!E8)</x:f>
        <x:v>0.5625</x:v>
      </x:c>
      <x:c r="T64" s="12">
        <x:f>Q64+R64*S64</x:f>
        <x:v>38288.496196606182</x:v>
      </x:c>
      <x:c r="U64" s="12">
        <x:f>T64-J64</x:f>
        <x:v>0</x:v>
      </x:c>
      <x:c r="V64" s="12">
        <x:f>J64*'Когорты'!T7</x:f>
        <x:v>38288.496196606182</x:v>
      </x:c>
      <x:c r="W64" s="12">
        <x:f>Q64*'Когорты'!T7*(1+'Воздействие'!H19*N64)</x:f>
        <x:v>38288.496196606182</x:v>
      </x:c>
      <x:c r="X64" s="12">
        <x:f>R64*'Когорты'!T7*(1+'Воздействие'!H19*N64)</x:f>
        <x:v>0</x:v>
      </x:c>
      <x:c r="Y64" s="12">
        <x:f>W64+X64*S64</x:f>
        <x:v>38288.496196606182</x:v>
      </x:c>
      <x:c r="Z64" s="12">
        <x:f>F64*N64</x:f>
        <x:v>0</x:v>
      </x:c>
      <x:c r="AA64" s="12">
        <x:f>J64*D64</x:f>
        <x:v>0</x:v>
      </x:c>
      <x:c r="AB64" s="12">
        <x:f>Q64*D64</x:f>
        <x:v>0</x:v>
      </x:c>
      <x:c r="AC64" s="12">
        <x:f>R64*D64</x:f>
        <x:v>0</x:v>
      </x:c>
      <x:c r="AD64" s="12">
        <x:f>J64*E64</x:f>
        <x:v>0</x:v>
      </x:c>
      <x:c r="AE64" s="12">
        <x:f>Q64*E64</x:f>
        <x:v>0</x:v>
      </x:c>
      <x:c r="AF64" s="12">
        <x:f>R64*E64</x:f>
        <x:v>0</x:v>
      </x:c>
      <x:c r="AG64" s="1">
        <x:f>IF(AND(I64&gt;=0,I64&lt;=1,Q64+R64&lt;=F64+0.00000001,N64&gt;=0,N64&lt;=1),1,0)</x:f>
        <x:v>1</x:v>
      </x:c>
      <x:c r="AH64" s="1"/>
      <x:c r="AI64" s="1"/>
    </x:row>
    <x:row r="65" ht="24" customHeight="1">
      <x:c r="A65" s="1" t="str">
        <x:v>H4</x:v>
      </x:c>
      <x:c r="B65" s="1" t="str">
        <x:v>S4</x:v>
      </x:c>
      <x:c r="C65" s="1" t="str">
        <x:v>Только C</x:v>
      </x:c>
      <x:c r="D65" s="1" t="n">
        <x:v>1</x:v>
      </x:c>
      <x:c r="E65" s="1" t="n">
        <x:v>0</x:v>
      </x:c>
      <x:c r="F65" s="12">
        <x:f>'Когорты'!D8*'Когорты'!L8</x:f>
        <x:v>10090080</x:v>
      </x:c>
      <x:c r="G65" s="8">
        <x:f>'Когорты'!F8</x:f>
        <x:v>0.14099999999999999</x:v>
      </x:c>
      <x:c r="H65" s="1">
        <x:f>'Когорты'!O8</x:f>
        <x:v>1.5</x:v>
      </x:c>
      <x:c r="I65" s="8">
        <x:f>IF('Когорты'!S8&gt;0,G65*H65/'Когорты'!S8,0)</x:f>
        <x:v>0.2062609713282621</x:v>
      </x:c>
      <x:c r="J65" s="1">
        <x:f>F65*I65</x:f>
        <x:v>2081189.7015798709</x:v>
      </x:c>
      <x:c r="K65" s="8">
        <x:f>'Воздействие'!C20*D65</x:f>
        <x:v>0.20000000000000001</x:v>
      </x:c>
      <x:c r="L65" s="8">
        <x:f>'Воздействие'!D20*E65</x:f>
        <x:v>0</x:v>
      </x:c>
      <x:c r="M65" s="8">
        <x:f>'Воздействие'!E20*D65*E65</x:f>
        <x:v>0</x:v>
      </x:c>
      <x:c r="N65" s="8">
        <x:f>K65+L65-M65</x:f>
        <x:v>0.20000000000000001</x:v>
      </x:c>
      <x:c r="O65" s="1">
        <x:f>J65*'Параметры'!$B$10*N65</x:f>
        <x:v>41623.794031597419</x:v>
      </x:c>
      <x:c r="P65" s="8">
        <x:f>(1-'Воздействие'!F20*D65)*(1-'Воздействие'!G20*E65)</x:f>
        <x:v>1</x:v>
      </x:c>
      <x:c r="Q65" s="1">
        <x:f>J65*P65</x:f>
        <x:v>2081189.7015798709</x:v>
      </x:c>
      <x:c r="R65" s="1">
        <x:f>O65*P65</x:f>
        <x:v>41623.794031597419</x:v>
      </x:c>
      <x:c r="S65" s="8">
        <x:f>(1-'Гипотезы'!D8)*(1-'Гипотезы'!E8)</x:f>
        <x:v>0.5625</x:v>
      </x:c>
      <x:c r="T65" s="12">
        <x:f>Q65+R65*S65</x:f>
        <x:v>2104603.0857226443</x:v>
      </x:c>
      <x:c r="U65" s="12">
        <x:f>T65-J65</x:f>
        <x:v>23413.384142773459</x:v>
      </x:c>
      <x:c r="V65" s="12">
        <x:f>J65*'Когорты'!T8</x:f>
        <x:v>2081189.7015798709</x:v>
      </x:c>
      <x:c r="W65" s="12">
        <x:f>Q65*'Когорты'!T8*(1+'Воздействие'!H20*N65)</x:f>
        <x:v>2081189.7015798709</x:v>
      </x:c>
      <x:c r="X65" s="12">
        <x:f>R65*'Когорты'!T8*(1+'Воздействие'!H20*N65)</x:f>
        <x:v>41623.794031597419</x:v>
      </x:c>
      <x:c r="Y65" s="12">
        <x:f>W65+X65*S65</x:f>
        <x:v>2104603.0857226443</x:v>
      </x:c>
      <x:c r="Z65" s="12">
        <x:f>F65*N65</x:f>
        <x:v>2018016</x:v>
      </x:c>
      <x:c r="AA65" s="12">
        <x:f>J65*D65</x:f>
        <x:v>2081189.7015798709</x:v>
      </x:c>
      <x:c r="AB65" s="12">
        <x:f>Q65*D65</x:f>
        <x:v>2081189.7015798709</x:v>
      </x:c>
      <x:c r="AC65" s="12">
        <x:f>R65*D65</x:f>
        <x:v>41623.794031597419</x:v>
      </x:c>
      <x:c r="AD65" s="12">
        <x:f>J65*E65</x:f>
        <x:v>0</x:v>
      </x:c>
      <x:c r="AE65" s="12">
        <x:f>Q65*E65</x:f>
        <x:v>0</x:v>
      </x:c>
      <x:c r="AF65" s="12">
        <x:f>R65*E65</x:f>
        <x:v>0</x:v>
      </x:c>
      <x:c r="AG65" s="1">
        <x:f>IF(AND(I65&gt;=0,I65&lt;=1,Q65+R65&lt;=F65+0.00000001,N65&gt;=0,N65&lt;=1),1,0)</x:f>
        <x:v>1</x:v>
      </x:c>
      <x:c r="AH65" s="1"/>
      <x:c r="AI65" s="1"/>
    </x:row>
    <x:row r="66" ht="24" customHeight="1">
      <x:c r="A66" s="1" t="str">
        <x:v>H4</x:v>
      </x:c>
      <x:c r="B66" s="1" t="str">
        <x:v>S4</x:v>
      </x:c>
      <x:c r="C66" s="1" t="str">
        <x:v>Только F</x:v>
      </x:c>
      <x:c r="D66" s="1" t="n">
        <x:v>0</x:v>
      </x:c>
      <x:c r="E66" s="1" t="n">
        <x:v>1</x:v>
      </x:c>
      <x:c r="F66" s="12">
        <x:f>'Когорты'!D8*'Когорты'!M8</x:f>
        <x:v>480479.99999999994</x:v>
      </x:c>
      <x:c r="G66" s="8">
        <x:f>'Когорты'!F8</x:f>
        <x:v>0.14099999999999999</x:v>
      </x:c>
      <x:c r="H66" s="1">
        <x:f>'Когорты'!P8</x:f>
        <x:v>0.20000000000000001</x:v>
      </x:c>
      <x:c r="I66" s="8">
        <x:f>IF('Когорты'!S8&gt;0,G66*H66/'Когорты'!S8,0)</x:f>
        <x:v>0.027501462843768282</x:v>
      </x:c>
      <x:c r="J66" s="1">
        <x:f>F66*I66</x:f>
        <x:v>13213.902867173783</x:v>
      </x:c>
      <x:c r="K66" s="8">
        <x:f>'Воздействие'!C20*D66</x:f>
        <x:v>0</x:v>
      </x:c>
      <x:c r="L66" s="8">
        <x:f>'Воздействие'!D20*E66</x:f>
        <x:v>0.20000000000000001</x:v>
      </x:c>
      <x:c r="M66" s="8">
        <x:f>'Воздействие'!E20*D66*E66</x:f>
        <x:v>0</x:v>
      </x:c>
      <x:c r="N66" s="8">
        <x:f>K66+L66-M66</x:f>
        <x:v>0.20000000000000001</x:v>
      </x:c>
      <x:c r="O66" s="1">
        <x:f>J66*'Параметры'!$B$10*N66</x:f>
        <x:v>264.27805734347567</x:v>
      </x:c>
      <x:c r="P66" s="8">
        <x:f>(1-'Воздействие'!F20*D66)*(1-'Воздействие'!G20*E66)</x:f>
        <x:v>1</x:v>
      </x:c>
      <x:c r="Q66" s="1">
        <x:f>J66*P66</x:f>
        <x:v>13213.902867173783</x:v>
      </x:c>
      <x:c r="R66" s="1">
        <x:f>O66*P66</x:f>
        <x:v>264.27805734347567</x:v>
      </x:c>
      <x:c r="S66" s="8">
        <x:f>(1-'Гипотезы'!D8)*(1-'Гипотезы'!E8)</x:f>
        <x:v>0.5625</x:v>
      </x:c>
      <x:c r="T66" s="12">
        <x:f>Q66+R66*S66</x:f>
        <x:v>13362.559274429488</x:v>
      </x:c>
      <x:c r="U66" s="12">
        <x:f>T66-J66</x:f>
        <x:v>148.65640725570483</x:v>
      </x:c>
      <x:c r="V66" s="12">
        <x:f>J66*'Когорты'!T8</x:f>
        <x:v>13213.902867173783</x:v>
      </x:c>
      <x:c r="W66" s="12">
        <x:f>Q66*'Когорты'!T8*(1+'Воздействие'!H20*N66)</x:f>
        <x:v>13213.902867173783</x:v>
      </x:c>
      <x:c r="X66" s="12">
        <x:f>R66*'Когорты'!T8*(1+'Воздействие'!H20*N66)</x:f>
        <x:v>264.27805734347567</x:v>
      </x:c>
      <x:c r="Y66" s="12">
        <x:f>W66+X66*S66</x:f>
        <x:v>13362.559274429488</x:v>
      </x:c>
      <x:c r="Z66" s="12">
        <x:f>F66*N66</x:f>
        <x:v>96096</x:v>
      </x:c>
      <x:c r="AA66" s="12">
        <x:f>J66*D66</x:f>
        <x:v>0</x:v>
      </x:c>
      <x:c r="AB66" s="12">
        <x:f>Q66*D66</x:f>
        <x:v>0</x:v>
      </x:c>
      <x:c r="AC66" s="12">
        <x:f>R66*D66</x:f>
        <x:v>0</x:v>
      </x:c>
      <x:c r="AD66" s="12">
        <x:f>J66*E66</x:f>
        <x:v>13213.902867173783</x:v>
      </x:c>
      <x:c r="AE66" s="12">
        <x:f>Q66*E66</x:f>
        <x:v>13213.902867173783</x:v>
      </x:c>
      <x:c r="AF66" s="12">
        <x:f>R66*E66</x:f>
        <x:v>264.27805734347567</x:v>
      </x:c>
      <x:c r="AG66" s="1">
        <x:f>IF(AND(I66&gt;=0,I66&lt;=1,Q66+R66&lt;=F66+0.00000001,N66&gt;=0,N66&lt;=1),1,0)</x:f>
        <x:v>1</x:v>
      </x:c>
      <x:c r="AH66" s="1"/>
      <x:c r="AI66" s="1"/>
    </x:row>
    <x:row r="67" ht="24" customHeight="1">
      <x:c r="A67" s="1" t="str">
        <x:v>H4</x:v>
      </x:c>
      <x:c r="B67" s="1" t="str">
        <x:v>S4</x:v>
      </x:c>
      <x:c r="C67" s="1" t="str">
        <x:v>Оба</x:v>
      </x:c>
      <x:c r="D67" s="1" t="n">
        <x:v>1</x:v>
      </x:c>
      <x:c r="E67" s="1" t="n">
        <x:v>1</x:v>
      </x:c>
      <x:c r="F67" s="12">
        <x:f>'Когорты'!D8*'Когорты'!K8</x:f>
        <x:v>1921920.0000000002</x:v>
      </x:c>
      <x:c r="G67" s="8">
        <x:f>'Когорты'!F8</x:f>
        <x:v>0.14099999999999999</x:v>
      </x:c>
      <x:c r="H67" s="1">
        <x:f>'Когорты'!Q8</x:f>
        <x:v>1</x:v>
      </x:c>
      <x:c r="I67" s="8">
        <x:f>IF('Когорты'!S8&gt;0,G67*H67/'Когорты'!S8,0)</x:f>
        <x:v>0.13750731421884141</x:v>
      </x:c>
      <x:c r="J67" s="1">
        <x:f>F67*I67</x:f>
        <x:v>264278.0573434757</x:v>
      </x:c>
      <x:c r="K67" s="8">
        <x:f>'Воздействие'!C20*D67</x:f>
        <x:v>0.20000000000000001</x:v>
      </x:c>
      <x:c r="L67" s="8">
        <x:f>'Воздействие'!D20*E67</x:f>
        <x:v>0.20000000000000001</x:v>
      </x:c>
      <x:c r="M67" s="8">
        <x:f>'Воздействие'!E20*D67*E67</x:f>
        <x:v>0.10000000000000001</x:v>
      </x:c>
      <x:c r="N67" s="8">
        <x:f>K67+L67-M67</x:f>
        <x:v>0.30000000000000004</x:v>
      </x:c>
      <x:c r="O67" s="1">
        <x:f>J67*'Параметры'!$B$10*N67</x:f>
        <x:v>7928.3417203042718</x:v>
      </x:c>
      <x:c r="P67" s="8">
        <x:f>(1-'Воздействие'!F20*D67)*(1-'Воздействие'!G20*E67)</x:f>
        <x:v>1</x:v>
      </x:c>
      <x:c r="Q67" s="1">
        <x:f>J67*P67</x:f>
        <x:v>264278.0573434757</x:v>
      </x:c>
      <x:c r="R67" s="1">
        <x:f>O67*P67</x:f>
        <x:v>7928.3417203042718</x:v>
      </x:c>
      <x:c r="S67" s="8">
        <x:f>(1-'Гипотезы'!D8)*(1-'Гипотезы'!E8)</x:f>
        <x:v>0.5625</x:v>
      </x:c>
      <x:c r="T67" s="12">
        <x:f>Q67+R67*S67</x:f>
        <x:v>268737.74956114683</x:v>
      </x:c>
      <x:c r="U67" s="12">
        <x:f>T67-J67</x:f>
        <x:v>4459.6922176711378</x:v>
      </x:c>
      <x:c r="V67" s="12">
        <x:f>J67*'Когорты'!T8</x:f>
        <x:v>264278.0573434757</x:v>
      </x:c>
      <x:c r="W67" s="12">
        <x:f>Q67*'Когорты'!T8*(1+'Воздействие'!H20*N67)</x:f>
        <x:v>264278.0573434757</x:v>
      </x:c>
      <x:c r="X67" s="12">
        <x:f>R67*'Когорты'!T8*(1+'Воздействие'!H20*N67)</x:f>
        <x:v>7928.3417203042718</x:v>
      </x:c>
      <x:c r="Y67" s="12">
        <x:f>W67+X67*S67</x:f>
        <x:v>268737.74956114683</x:v>
      </x:c>
      <x:c r="Z67" s="12">
        <x:f>F67*N67</x:f>
        <x:v>576576.00000000012</x:v>
      </x:c>
      <x:c r="AA67" s="12">
        <x:f>J67*D67</x:f>
        <x:v>264278.0573434757</x:v>
      </x:c>
      <x:c r="AB67" s="12">
        <x:f>Q67*D67</x:f>
        <x:v>264278.0573434757</x:v>
      </x:c>
      <x:c r="AC67" s="12">
        <x:f>R67*D67</x:f>
        <x:v>7928.3417203042718</x:v>
      </x:c>
      <x:c r="AD67" s="12">
        <x:f>J67*E67</x:f>
        <x:v>264278.0573434757</x:v>
      </x:c>
      <x:c r="AE67" s="12">
        <x:f>Q67*E67</x:f>
        <x:v>264278.0573434757</x:v>
      </x:c>
      <x:c r="AF67" s="12">
        <x:f>R67*E67</x:f>
        <x:v>7928.3417203042718</x:v>
      </x:c>
      <x:c r="AG67" s="1">
        <x:f>IF(AND(I67&gt;=0,I67&lt;=1,Q67+R67&lt;=F67+0.00000001,N67&gt;=0,N67&lt;=1),1,0)</x:f>
        <x:v>1</x:v>
      </x:c>
      <x:c r="AH67" s="1"/>
      <x:c r="AI67" s="1"/>
    </x:row>
    <x:row r="68" ht="24" customHeight="1">
      <x:c r="A68" s="1" t="str">
        <x:v>H4</x:v>
      </x:c>
      <x:c r="B68" s="1" t="str">
        <x:v>S4</x:v>
      </x:c>
      <x:c r="C68" s="1" t="str">
        <x:v>Ни один</x:v>
      </x:c>
      <x:c r="D68" s="1" t="n">
        <x:v>0</x:v>
      </x:c>
      <x:c r="E68" s="1" t="n">
        <x:v>0</x:v>
      </x:c>
      <x:c r="F68" s="12">
        <x:f>'Когорты'!D8*'Когорты'!N8</x:f>
        <x:v>5987519.9999999991</x:v>
      </x:c>
      <x:c r="G68" s="8">
        <x:f>'Когорты'!F8</x:f>
        <x:v>0.14099999999999999</x:v>
      </x:c>
      <x:c r="H68" s="1">
        <x:f>'Когорты'!R8</x:f>
        <x:v>0.29999999999999999</x:v>
      </x:c>
      <x:c r="I68" s="8">
        <x:f>IF('Когорты'!S8&gt;0,G68*H68/'Когорты'!S8,0)</x:f>
        <x:v>0.041252194265652423</x:v>
      </x:c>
      <x:c r="J68" s="1">
        <x:f>F68*I68</x:f>
        <x:v>246998.33820947915</x:v>
      </x:c>
      <x:c r="K68" s="8">
        <x:f>'Воздействие'!C20*D68</x:f>
        <x:v>0</x:v>
      </x:c>
      <x:c r="L68" s="8">
        <x:f>'Воздействие'!D20*E68</x:f>
        <x:v>0</x:v>
      </x:c>
      <x:c r="M68" s="8">
        <x:f>'Воздействие'!E20*D68*E68</x:f>
        <x:v>0</x:v>
      </x:c>
      <x:c r="N68" s="8">
        <x:f>K68+L68-M68</x:f>
        <x:v>0</x:v>
      </x:c>
      <x:c r="O68" s="1">
        <x:f>J68*'Параметры'!$B$10*N68</x:f>
        <x:v>0</x:v>
      </x:c>
      <x:c r="P68" s="8">
        <x:f>(1-'Воздействие'!F20*D68)*(1-'Воздействие'!G20*E68)</x:f>
        <x:v>1</x:v>
      </x:c>
      <x:c r="Q68" s="1">
        <x:f>J68*P68</x:f>
        <x:v>246998.33820947915</x:v>
      </x:c>
      <x:c r="R68" s="1">
        <x:f>O68*P68</x:f>
        <x:v>0</x:v>
      </x:c>
      <x:c r="S68" s="8">
        <x:f>(1-'Гипотезы'!D8)*(1-'Гипотезы'!E8)</x:f>
        <x:v>0.5625</x:v>
      </x:c>
      <x:c r="T68" s="12">
        <x:f>Q68+R68*S68</x:f>
        <x:v>246998.33820947915</x:v>
      </x:c>
      <x:c r="U68" s="12">
        <x:f>T68-J68</x:f>
        <x:v>0</x:v>
      </x:c>
      <x:c r="V68" s="12">
        <x:f>J68*'Когорты'!T8</x:f>
        <x:v>246998.33820947915</x:v>
      </x:c>
      <x:c r="W68" s="12">
        <x:f>Q68*'Когорты'!T8*(1+'Воздействие'!H20*N68)</x:f>
        <x:v>246998.33820947915</x:v>
      </x:c>
      <x:c r="X68" s="12">
        <x:f>R68*'Когорты'!T8*(1+'Воздействие'!H20*N68)</x:f>
        <x:v>0</x:v>
      </x:c>
      <x:c r="Y68" s="12">
        <x:f>W68+X68*S68</x:f>
        <x:v>246998.33820947915</x:v>
      </x:c>
      <x:c r="Z68" s="12">
        <x:f>F68*N68</x:f>
        <x:v>0</x:v>
      </x:c>
      <x:c r="AA68" s="12">
        <x:f>J68*D68</x:f>
        <x:v>0</x:v>
      </x:c>
      <x:c r="AB68" s="12">
        <x:f>Q68*D68</x:f>
        <x:v>0</x:v>
      </x:c>
      <x:c r="AC68" s="12">
        <x:f>R68*D68</x:f>
        <x:v>0</x:v>
      </x:c>
      <x:c r="AD68" s="12">
        <x:f>J68*E68</x:f>
        <x:v>0</x:v>
      </x:c>
      <x:c r="AE68" s="12">
        <x:f>Q68*E68</x:f>
        <x:v>0</x:v>
      </x:c>
      <x:c r="AF68" s="12">
        <x:f>R68*E68</x:f>
        <x:v>0</x:v>
      </x:c>
      <x:c r="AG68" s="1">
        <x:f>IF(AND(I68&gt;=0,I68&lt;=1,Q68+R68&lt;=F68+0.00000001,N68&gt;=0,N68&lt;=1),1,0)</x:f>
        <x:v>1</x:v>
      </x:c>
      <x:c r="AH68" s="1"/>
      <x:c r="AI68" s="1"/>
    </x:row>
    <x:row r="69" ht="24" customHeight="1">
      <x:c r="A69" s="1" t="str">
        <x:v>H5</x:v>
      </x:c>
      <x:c r="B69" s="1" t="str">
        <x:v>S1</x:v>
      </x:c>
      <x:c r="C69" s="1" t="str">
        <x:v>Только C</x:v>
      </x:c>
      <x:c r="D69" s="1" t="n">
        <x:v>1</x:v>
      </x:c>
      <x:c r="E69" s="1" t="n">
        <x:v>0</x:v>
      </x:c>
      <x:c r="F69" s="12">
        <x:f>'Когорты'!D5*'Когорты'!L5</x:f>
        <x:v>6726719.9999999991</x:v>
      </x:c>
      <x:c r="G69" s="8">
        <x:f>'Когорты'!F5</x:f>
        <x:v>0.23099999999999998</x:v>
      </x:c>
      <x:c r="H69" s="1">
        <x:f>'Когорты'!O5</x:f>
        <x:v>1.5</x:v>
      </x:c>
      <x:c r="I69" s="8">
        <x:f>IF('Когорты'!S5&gt;0,G69*H69/'Когорты'!S5,0)</x:f>
        <x:v>0.33791691047396133</x:v>
      </x:c>
      <x:c r="J69" s="1">
        <x:f>F69*I69</x:f>
        <x:v>2273072.440023405</x:v>
      </x:c>
      <x:c r="K69" s="8">
        <x:f>'Воздействие'!C21*D69</x:f>
        <x:v>0</x:v>
      </x:c>
      <x:c r="L69" s="8">
        <x:f>'Воздействие'!D21*E69</x:f>
        <x:v>0</x:v>
      </x:c>
      <x:c r="M69" s="8">
        <x:f>'Воздействие'!E21*D69*E69</x:f>
        <x:v>0</x:v>
      </x:c>
      <x:c r="N69" s="8">
        <x:f>K69+L69-M69</x:f>
        <x:v>0</x:v>
      </x:c>
      <x:c r="O69" s="1">
        <x:f>J69*'Параметры'!$B$10*N69</x:f>
        <x:v>0</x:v>
      </x:c>
      <x:c r="P69" s="8">
        <x:f>(1-'Воздействие'!F21*D69)*(1-'Воздействие'!G21*E69)</x:f>
        <x:v>1</x:v>
      </x:c>
      <x:c r="Q69" s="1">
        <x:f>J69*P69</x:f>
        <x:v>2273072.440023405</x:v>
      </x:c>
      <x:c r="R69" s="1">
        <x:f>O69*P69</x:f>
        <x:v>0</x:v>
      </x:c>
      <x:c r="S69" s="8">
        <x:f>(1-'Гипотезы'!D9)*(1-'Гипотезы'!E9)</x:f>
        <x:v>0.5625</x:v>
      </x:c>
      <x:c r="T69" s="12">
        <x:f>Q69+R69*S69</x:f>
        <x:v>2273072.440023405</x:v>
      </x:c>
      <x:c r="U69" s="12">
        <x:f>T69-J69</x:f>
        <x:v>0</x:v>
      </x:c>
      <x:c r="V69" s="12">
        <x:f>J69*'Когорты'!T5</x:f>
        <x:v>2273072.440023405</x:v>
      </x:c>
      <x:c r="W69" s="12">
        <x:f>Q69*'Когорты'!T5*(1+'Воздействие'!H21*N69)</x:f>
        <x:v>2273072.440023405</x:v>
      </x:c>
      <x:c r="X69" s="12">
        <x:f>R69*'Когорты'!T5*(1+'Воздействие'!H21*N69)</x:f>
        <x:v>0</x:v>
      </x:c>
      <x:c r="Y69" s="12">
        <x:f>W69+X69*S69</x:f>
        <x:v>2273072.440023405</x:v>
      </x:c>
      <x:c r="Z69" s="12">
        <x:f>F69*N69</x:f>
        <x:v>0</x:v>
      </x:c>
      <x:c r="AA69" s="12">
        <x:f>J69*D69</x:f>
        <x:v>2273072.440023405</x:v>
      </x:c>
      <x:c r="AB69" s="12">
        <x:f>Q69*D69</x:f>
        <x:v>2273072.440023405</x:v>
      </x:c>
      <x:c r="AC69" s="12">
        <x:f>R69*D69</x:f>
        <x:v>0</x:v>
      </x:c>
      <x:c r="AD69" s="12">
        <x:f>J69*E69</x:f>
        <x:v>0</x:v>
      </x:c>
      <x:c r="AE69" s="12">
        <x:f>Q69*E69</x:f>
        <x:v>0</x:v>
      </x:c>
      <x:c r="AF69" s="12">
        <x:f>R69*E69</x:f>
        <x:v>0</x:v>
      </x:c>
      <x:c r="AG69" s="1">
        <x:f>IF(AND(I69&gt;=0,I69&lt;=1,Q69+R69&lt;=F69+0.00000001,N69&gt;=0,N69&lt;=1),1,0)</x:f>
        <x:v>1</x:v>
      </x:c>
      <x:c r="AH69" s="1"/>
      <x:c r="AI69" s="1"/>
    </x:row>
    <x:row r="70" ht="24" customHeight="1">
      <x:c r="A70" s="1" t="str">
        <x:v>H5</x:v>
      </x:c>
      <x:c r="B70" s="1" t="str">
        <x:v>S1</x:v>
      </x:c>
      <x:c r="C70" s="1" t="str">
        <x:v>Только F</x:v>
      </x:c>
      <x:c r="D70" s="1" t="n">
        <x:v>0</x:v>
      </x:c>
      <x:c r="E70" s="1" t="n">
        <x:v>1</x:v>
      </x:c>
      <x:c r="F70" s="12">
        <x:f>'Когорты'!D5*'Когорты'!M5</x:f>
        <x:v>320319.99999999988</x:v>
      </x:c>
      <x:c r="G70" s="8">
        <x:f>'Когорты'!F5</x:f>
        <x:v>0.23099999999999998</x:v>
      </x:c>
      <x:c r="H70" s="1">
        <x:f>'Когорты'!P5</x:f>
        <x:v>0.20000000000000001</x:v>
      </x:c>
      <x:c r="I70" s="8">
        <x:f>IF('Когорты'!S5&gt;0,G70*H70/'Когорты'!S5,0)</x:f>
        <x:v>0.045055588063194846</x:v>
      </x:c>
      <x:c r="J70" s="1">
        <x:f>F70*I70</x:f>
        <x:v>14432.205968402568</x:v>
      </x:c>
      <x:c r="K70" s="8">
        <x:f>'Воздействие'!C21*D70</x:f>
        <x:v>0</x:v>
      </x:c>
      <x:c r="L70" s="8">
        <x:f>'Воздействие'!D21*E70</x:f>
        <x:v>0.5</x:v>
      </x:c>
      <x:c r="M70" s="8">
        <x:f>'Воздействие'!E21*D70*E70</x:f>
        <x:v>0</x:v>
      </x:c>
      <x:c r="N70" s="8">
        <x:f>K70+L70-M70</x:f>
        <x:v>0.5</x:v>
      </x:c>
      <x:c r="O70" s="1">
        <x:f>J70*'Параметры'!$B$10*N70</x:f>
        <x:v>721.6102984201284</x:v>
      </x:c>
      <x:c r="P70" s="8">
        <x:f>(1-'Воздействие'!F21*D70)*(1-'Воздействие'!G21*E70)</x:f>
        <x:v>1</x:v>
      </x:c>
      <x:c r="Q70" s="1">
        <x:f>J70*P70</x:f>
        <x:v>14432.205968402568</x:v>
      </x:c>
      <x:c r="R70" s="1">
        <x:f>O70*P70</x:f>
        <x:v>721.6102984201284</x:v>
      </x:c>
      <x:c r="S70" s="8">
        <x:f>(1-'Гипотезы'!D9)*(1-'Гипотезы'!E9)</x:f>
        <x:v>0.5625</x:v>
      </x:c>
      <x:c r="T70" s="12">
        <x:f>Q70+R70*S70</x:f>
        <x:v>14838.11176126389</x:v>
      </x:c>
      <x:c r="U70" s="12">
        <x:f>T70-J70</x:f>
        <x:v>405.90579286132197</x:v>
      </x:c>
      <x:c r="V70" s="12">
        <x:f>J70*'Когорты'!T5</x:f>
        <x:v>14432.205968402568</x:v>
      </x:c>
      <x:c r="W70" s="12">
        <x:f>Q70*'Когорты'!T5*(1+'Воздействие'!H21*N70)</x:f>
        <x:v>14432.205968402568</x:v>
      </x:c>
      <x:c r="X70" s="12">
        <x:f>R70*'Когорты'!T5*(1+'Воздействие'!H21*N70)</x:f>
        <x:v>721.6102984201284</x:v>
      </x:c>
      <x:c r="Y70" s="12">
        <x:f>W70+X70*S70</x:f>
        <x:v>14838.11176126389</x:v>
      </x:c>
      <x:c r="Z70" s="12">
        <x:f>F70*N70</x:f>
        <x:v>160159.99999999994</x:v>
      </x:c>
      <x:c r="AA70" s="12">
        <x:f>J70*D70</x:f>
        <x:v>0</x:v>
      </x:c>
      <x:c r="AB70" s="12">
        <x:f>Q70*D70</x:f>
        <x:v>0</x:v>
      </x:c>
      <x:c r="AC70" s="12">
        <x:f>R70*D70</x:f>
        <x:v>0</x:v>
      </x:c>
      <x:c r="AD70" s="12">
        <x:f>J70*E70</x:f>
        <x:v>14432.205968402568</x:v>
      </x:c>
      <x:c r="AE70" s="12">
        <x:f>Q70*E70</x:f>
        <x:v>14432.205968402568</x:v>
      </x:c>
      <x:c r="AF70" s="12">
        <x:f>R70*E70</x:f>
        <x:v>721.6102984201284</x:v>
      </x:c>
      <x:c r="AG70" s="1">
        <x:f>IF(AND(I70&gt;=0,I70&lt;=1,Q70+R70&lt;=F70+0.00000001,N70&gt;=0,N70&lt;=1),1,0)</x:f>
        <x:v>1</x:v>
      </x:c>
      <x:c r="AH70" s="1"/>
      <x:c r="AI70" s="1"/>
    </x:row>
    <x:row r="71" ht="24" customHeight="1">
      <x:c r="A71" s="1" t="str">
        <x:v>H5</x:v>
      </x:c>
      <x:c r="B71" s="1" t="str">
        <x:v>S1</x:v>
      </x:c>
      <x:c r="C71" s="1" t="str">
        <x:v>Оба</x:v>
      </x:c>
      <x:c r="D71" s="1" t="n">
        <x:v>1</x:v>
      </x:c>
      <x:c r="E71" s="1" t="n">
        <x:v>1</x:v>
      </x:c>
      <x:c r="F71" s="12">
        <x:f>'Когорты'!D5*'Когорты'!K5</x:f>
        <x:v>1281280</x:v>
      </x:c>
      <x:c r="G71" s="8">
        <x:f>'Когорты'!F5</x:f>
        <x:v>0.23099999999999998</x:v>
      </x:c>
      <x:c r="H71" s="1">
        <x:f>'Когорты'!Q5</x:f>
        <x:v>1</x:v>
      </x:c>
      <x:c r="I71" s="8">
        <x:f>IF('Когорты'!S5&gt;0,G71*H71/'Когорты'!S5,0)</x:f>
        <x:v>0.22527794031597423</x:v>
      </x:c>
      <x:c r="J71" s="1">
        <x:f>F71*I71</x:f>
        <x:v>288644.11936805147</x:v>
      </x:c>
      <x:c r="K71" s="8">
        <x:f>'Воздействие'!C21*D71</x:f>
        <x:v>0</x:v>
      </x:c>
      <x:c r="L71" s="8">
        <x:f>'Воздействие'!D21*E71</x:f>
        <x:v>0.5</x:v>
      </x:c>
      <x:c r="M71" s="8">
        <x:f>'Воздействие'!E21*D71*E71</x:f>
        <x:v>0</x:v>
      </x:c>
      <x:c r="N71" s="8">
        <x:f>K71+L71-M71</x:f>
        <x:v>0.5</x:v>
      </x:c>
      <x:c r="O71" s="1">
        <x:f>J71*'Параметры'!$B$10*N71</x:f>
        <x:v>14432.205968402573</x:v>
      </x:c>
      <x:c r="P71" s="8">
        <x:f>(1-'Воздействие'!F21*D71)*(1-'Воздействие'!G21*E71)</x:f>
        <x:v>1</x:v>
      </x:c>
      <x:c r="Q71" s="1">
        <x:f>J71*P71</x:f>
        <x:v>288644.11936805147</x:v>
      </x:c>
      <x:c r="R71" s="1">
        <x:f>O71*P71</x:f>
        <x:v>14432.205968402573</x:v>
      </x:c>
      <x:c r="S71" s="8">
        <x:f>(1-'Гипотезы'!D9)*(1-'Гипотезы'!E9)</x:f>
        <x:v>0.5625</x:v>
      </x:c>
      <x:c r="T71" s="12">
        <x:f>Q71+R71*S71</x:f>
        <x:v>296762.23522527789</x:v>
      </x:c>
      <x:c r="U71" s="12">
        <x:f>T71-J71</x:f>
        <x:v>8118.1158572264249</x:v>
      </x:c>
      <x:c r="V71" s="12">
        <x:f>J71*'Когорты'!T5</x:f>
        <x:v>288644.11936805147</x:v>
      </x:c>
      <x:c r="W71" s="12">
        <x:f>Q71*'Когорты'!T5*(1+'Воздействие'!H21*N71)</x:f>
        <x:v>288644.11936805147</x:v>
      </x:c>
      <x:c r="X71" s="12">
        <x:f>R71*'Когорты'!T5*(1+'Воздействие'!H21*N71)</x:f>
        <x:v>14432.205968402573</x:v>
      </x:c>
      <x:c r="Y71" s="12">
        <x:f>W71+X71*S71</x:f>
        <x:v>296762.23522527789</x:v>
      </x:c>
      <x:c r="Z71" s="12">
        <x:f>F71*N71</x:f>
        <x:v>640640</x:v>
      </x:c>
      <x:c r="AA71" s="12">
        <x:f>J71*D71</x:f>
        <x:v>288644.11936805147</x:v>
      </x:c>
      <x:c r="AB71" s="12">
        <x:f>Q71*D71</x:f>
        <x:v>288644.11936805147</x:v>
      </x:c>
      <x:c r="AC71" s="12">
        <x:f>R71*D71</x:f>
        <x:v>14432.205968402573</x:v>
      </x:c>
      <x:c r="AD71" s="12">
        <x:f>J71*E71</x:f>
        <x:v>288644.11936805147</x:v>
      </x:c>
      <x:c r="AE71" s="12">
        <x:f>Q71*E71</x:f>
        <x:v>288644.11936805147</x:v>
      </x:c>
      <x:c r="AF71" s="12">
        <x:f>R71*E71</x:f>
        <x:v>14432.205968402573</x:v>
      </x:c>
      <x:c r="AG71" s="1">
        <x:f>IF(AND(I71&gt;=0,I71&lt;=1,Q71+R71&lt;=F71+0.00000001,N71&gt;=0,N71&lt;=1),1,0)</x:f>
        <x:v>1</x:v>
      </x:c>
      <x:c r="AH71" s="1"/>
      <x:c r="AI71" s="1"/>
    </x:row>
    <x:row r="72" ht="24" customHeight="1">
      <x:c r="A72" s="1" t="str">
        <x:v>H5</x:v>
      </x:c>
      <x:c r="B72" s="1" t="str">
        <x:v>S1</x:v>
      </x:c>
      <x:c r="C72" s="1" t="str">
        <x:v>Ни один</x:v>
      </x:c>
      <x:c r="D72" s="1" t="n">
        <x:v>0</x:v>
      </x:c>
      <x:c r="E72" s="1" t="n">
        <x:v>0</x:v>
      </x:c>
      <x:c r="F72" s="12">
        <x:f>'Когорты'!D5*'Когорты'!N5</x:f>
        <x:v>3991679.9999999991</x:v>
      </x:c>
      <x:c r="G72" s="8">
        <x:f>'Когорты'!F5</x:f>
        <x:v>0.23099999999999998</x:v>
      </x:c>
      <x:c r="H72" s="1">
        <x:f>'Когорты'!R5</x:f>
        <x:v>0.29999999999999999</x:v>
      </x:c>
      <x:c r="I72" s="8">
        <x:f>IF('Когорты'!S5&gt;0,G72*H72/'Когорты'!S5,0)</x:f>
        <x:v>0.067583382094792255</x:v>
      </x:c>
      <x:c r="J72" s="1">
        <x:f>F72*I72</x:f>
        <x:v>269771.23464014026</x:v>
      </x:c>
      <x:c r="K72" s="8">
        <x:f>'Воздействие'!C21*D72</x:f>
        <x:v>0</x:v>
      </x:c>
      <x:c r="L72" s="8">
        <x:f>'Воздействие'!D21*E72</x:f>
        <x:v>0</x:v>
      </x:c>
      <x:c r="M72" s="8">
        <x:f>'Воздействие'!E21*D72*E72</x:f>
        <x:v>0</x:v>
      </x:c>
      <x:c r="N72" s="8">
        <x:f>K72+L72-M72</x:f>
        <x:v>0</x:v>
      </x:c>
      <x:c r="O72" s="1">
        <x:f>J72*'Параметры'!$B$10*N72</x:f>
        <x:v>0</x:v>
      </x:c>
      <x:c r="P72" s="8">
        <x:f>(1-'Воздействие'!F21*D72)*(1-'Воздействие'!G21*E72)</x:f>
        <x:v>1</x:v>
      </x:c>
      <x:c r="Q72" s="1">
        <x:f>J72*P72</x:f>
        <x:v>269771.23464014026</x:v>
      </x:c>
      <x:c r="R72" s="1">
        <x:f>O72*P72</x:f>
        <x:v>0</x:v>
      </x:c>
      <x:c r="S72" s="8">
        <x:f>(1-'Гипотезы'!D9)*(1-'Гипотезы'!E9)</x:f>
        <x:v>0.5625</x:v>
      </x:c>
      <x:c r="T72" s="12">
        <x:f>Q72+R72*S72</x:f>
        <x:v>269771.23464014026</x:v>
      </x:c>
      <x:c r="U72" s="12">
        <x:f>T72-J72</x:f>
        <x:v>0</x:v>
      </x:c>
      <x:c r="V72" s="12">
        <x:f>J72*'Когорты'!T5</x:f>
        <x:v>269771.23464014026</x:v>
      </x:c>
      <x:c r="W72" s="12">
        <x:f>Q72*'Когорты'!T5*(1+'Воздействие'!H21*N72)</x:f>
        <x:v>269771.23464014026</x:v>
      </x:c>
      <x:c r="X72" s="12">
        <x:f>R72*'Когорты'!T5*(1+'Воздействие'!H21*N72)</x:f>
        <x:v>0</x:v>
      </x:c>
      <x:c r="Y72" s="12">
        <x:f>W72+X72*S72</x:f>
        <x:v>269771.23464014026</x:v>
      </x:c>
      <x:c r="Z72" s="12">
        <x:f>F72*N72</x:f>
        <x:v>0</x:v>
      </x:c>
      <x:c r="AA72" s="12">
        <x:f>J72*D72</x:f>
        <x:v>0</x:v>
      </x:c>
      <x:c r="AB72" s="12">
        <x:f>Q72*D72</x:f>
        <x:v>0</x:v>
      </x:c>
      <x:c r="AC72" s="12">
        <x:f>R72*D72</x:f>
        <x:v>0</x:v>
      </x:c>
      <x:c r="AD72" s="12">
        <x:f>J72*E72</x:f>
        <x:v>0</x:v>
      </x:c>
      <x:c r="AE72" s="12">
        <x:f>Q72*E72</x:f>
        <x:v>0</x:v>
      </x:c>
      <x:c r="AF72" s="12">
        <x:f>R72*E72</x:f>
        <x:v>0</x:v>
      </x:c>
      <x:c r="AG72" s="1">
        <x:f>IF(AND(I72&gt;=0,I72&lt;=1,Q72+R72&lt;=F72+0.00000001,N72&gt;=0,N72&lt;=1),1,0)</x:f>
        <x:v>1</x:v>
      </x:c>
      <x:c r="AH72" s="1"/>
      <x:c r="AI72" s="1"/>
    </x:row>
    <x:row r="73" ht="24" customHeight="1">
      <x:c r="A73" s="1" t="str">
        <x:v>H5</x:v>
      </x:c>
      <x:c r="B73" s="1" t="str">
        <x:v>S2</x:v>
      </x:c>
      <x:c r="C73" s="1" t="str">
        <x:v>Только C</x:v>
      </x:c>
      <x:c r="D73" s="1" t="n">
        <x:v>1</x:v>
      </x:c>
      <x:c r="E73" s="1" t="n">
        <x:v>0</x:v>
      </x:c>
      <x:c r="F73" s="12">
        <x:f>'Когорты'!D6*'Когорты'!L6</x:f>
        <x:v>2882880</x:v>
      </x:c>
      <x:c r="G73" s="8">
        <x:f>'Когорты'!F6</x:f>
        <x:v>0.14099999999999999</x:v>
      </x:c>
      <x:c r="H73" s="1">
        <x:f>'Когорты'!O6</x:f>
        <x:v>1.5</x:v>
      </x:c>
      <x:c r="I73" s="8">
        <x:f>IF('Когорты'!S6&gt;0,G73*H73/'Когорты'!S6,0)</x:f>
        <x:v>0.2062609713282621</x:v>
      </x:c>
      <x:c r="J73" s="1">
        <x:f>F73*I73</x:f>
        <x:v>594625.62902282027</x:v>
      </x:c>
      <x:c r="K73" s="8">
        <x:f>'Воздействие'!C22*D73</x:f>
        <x:v>0</x:v>
      </x:c>
      <x:c r="L73" s="8">
        <x:f>'Воздействие'!D22*E73</x:f>
        <x:v>0</x:v>
      </x:c>
      <x:c r="M73" s="8">
        <x:f>'Воздействие'!E22*D73*E73</x:f>
        <x:v>0</x:v>
      </x:c>
      <x:c r="N73" s="8">
        <x:f>K73+L73-M73</x:f>
        <x:v>0</x:v>
      </x:c>
      <x:c r="O73" s="1">
        <x:f>J73*'Параметры'!$B$10*N73</x:f>
        <x:v>0</x:v>
      </x:c>
      <x:c r="P73" s="8">
        <x:f>(1-'Воздействие'!F22*D73)*(1-'Воздействие'!G22*E73)</x:f>
        <x:v>1</x:v>
      </x:c>
      <x:c r="Q73" s="1">
        <x:f>J73*P73</x:f>
        <x:v>594625.62902282027</x:v>
      </x:c>
      <x:c r="R73" s="1">
        <x:f>O73*P73</x:f>
        <x:v>0</x:v>
      </x:c>
      <x:c r="S73" s="8">
        <x:f>(1-'Гипотезы'!D9)*(1-'Гипотезы'!E9)</x:f>
        <x:v>0.5625</x:v>
      </x:c>
      <x:c r="T73" s="12">
        <x:f>Q73+R73*S73</x:f>
        <x:v>594625.62902282027</x:v>
      </x:c>
      <x:c r="U73" s="12">
        <x:f>T73-J73</x:f>
        <x:v>0</x:v>
      </x:c>
      <x:c r="V73" s="12">
        <x:f>J73*'Когорты'!T6</x:f>
        <x:v>594625.62902282027</x:v>
      </x:c>
      <x:c r="W73" s="12">
        <x:f>Q73*'Когорты'!T6*(1+'Воздействие'!H22*N73)</x:f>
        <x:v>594625.62902282027</x:v>
      </x:c>
      <x:c r="X73" s="12">
        <x:f>R73*'Когорты'!T6*(1+'Воздействие'!H22*N73)</x:f>
        <x:v>0</x:v>
      </x:c>
      <x:c r="Y73" s="12">
        <x:f>W73+X73*S73</x:f>
        <x:v>594625.62902282027</x:v>
      </x:c>
      <x:c r="Z73" s="12">
        <x:f>F73*N73</x:f>
        <x:v>0</x:v>
      </x:c>
      <x:c r="AA73" s="12">
        <x:f>J73*D73</x:f>
        <x:v>594625.62902282027</x:v>
      </x:c>
      <x:c r="AB73" s="12">
        <x:f>Q73*D73</x:f>
        <x:v>594625.62902282027</x:v>
      </x:c>
      <x:c r="AC73" s="12">
        <x:f>R73*D73</x:f>
        <x:v>0</x:v>
      </x:c>
      <x:c r="AD73" s="12">
        <x:f>J73*E73</x:f>
        <x:v>0</x:v>
      </x:c>
      <x:c r="AE73" s="12">
        <x:f>Q73*E73</x:f>
        <x:v>0</x:v>
      </x:c>
      <x:c r="AF73" s="12">
        <x:f>R73*E73</x:f>
        <x:v>0</x:v>
      </x:c>
      <x:c r="AG73" s="1">
        <x:f>IF(AND(I73&gt;=0,I73&lt;=1,Q73+R73&lt;=F73+0.00000001,N73&gt;=0,N73&lt;=1),1,0)</x:f>
        <x:v>1</x:v>
      </x:c>
      <x:c r="AH73" s="1"/>
      <x:c r="AI73" s="1"/>
    </x:row>
    <x:row r="74" ht="24" customHeight="1">
      <x:c r="A74" s="1" t="str">
        <x:v>H5</x:v>
      </x:c>
      <x:c r="B74" s="1" t="str">
        <x:v>S2</x:v>
      </x:c>
      <x:c r="C74" s="1" t="str">
        <x:v>Только F</x:v>
      </x:c>
      <x:c r="D74" s="1" t="n">
        <x:v>0</x:v>
      </x:c>
      <x:c r="E74" s="1" t="n">
        <x:v>1</x:v>
      </x:c>
      <x:c r="F74" s="12">
        <x:f>'Когорты'!D6*'Когорты'!M6</x:f>
        <x:v>137279.99999999997</x:v>
      </x:c>
      <x:c r="G74" s="8">
        <x:f>'Когорты'!F6</x:f>
        <x:v>0.14099999999999999</x:v>
      </x:c>
      <x:c r="H74" s="1">
        <x:f>'Когорты'!P6</x:f>
        <x:v>0.20000000000000001</x:v>
      </x:c>
      <x:c r="I74" s="8">
        <x:f>IF('Когорты'!S6&gt;0,G74*H74/'Когорты'!S6,0)</x:f>
        <x:v>0.027501462843768282</x:v>
      </x:c>
      <x:c r="J74" s="1">
        <x:f>F74*I74</x:f>
        <x:v>3775.4008191925091</x:v>
      </x:c>
      <x:c r="K74" s="8">
        <x:f>'Воздействие'!C22*D74</x:f>
        <x:v>0</x:v>
      </x:c>
      <x:c r="L74" s="8">
        <x:f>'Воздействие'!D22*E74</x:f>
        <x:v>0.5</x:v>
      </x:c>
      <x:c r="M74" s="8">
        <x:f>'Воздействие'!E22*D74*E74</x:f>
        <x:v>0</x:v>
      </x:c>
      <x:c r="N74" s="8">
        <x:f>K74+L74-M74</x:f>
        <x:v>0.5</x:v>
      </x:c>
      <x:c r="O74" s="1">
        <x:f>J74*'Параметры'!$B$10*N74</x:f>
        <x:v>188.77004095962548</x:v>
      </x:c>
      <x:c r="P74" s="8">
        <x:f>(1-'Воздействие'!F22*D74)*(1-'Воздействие'!G22*E74)</x:f>
        <x:v>1</x:v>
      </x:c>
      <x:c r="Q74" s="1">
        <x:f>J74*P74</x:f>
        <x:v>3775.4008191925091</x:v>
      </x:c>
      <x:c r="R74" s="1">
        <x:f>O74*P74</x:f>
        <x:v>188.77004095962548</x:v>
      </x:c>
      <x:c r="S74" s="8">
        <x:f>(1-'Гипотезы'!D9)*(1-'Гипотезы'!E9)</x:f>
        <x:v>0.5625</x:v>
      </x:c>
      <x:c r="T74" s="12">
        <x:f>Q74+R74*S74</x:f>
        <x:v>3881.5839672322982</x:v>
      </x:c>
      <x:c r="U74" s="12">
        <x:f>T74-J74</x:f>
        <x:v>106.1831480397891</x:v>
      </x:c>
      <x:c r="V74" s="12">
        <x:f>J74*'Когорты'!T6</x:f>
        <x:v>3775.4008191925091</x:v>
      </x:c>
      <x:c r="W74" s="12">
        <x:f>Q74*'Когорты'!T6*(1+'Воздействие'!H22*N74)</x:f>
        <x:v>3775.4008191925091</x:v>
      </x:c>
      <x:c r="X74" s="12">
        <x:f>R74*'Когорты'!T6*(1+'Воздействие'!H22*N74)</x:f>
        <x:v>188.77004095962548</x:v>
      </x:c>
      <x:c r="Y74" s="12">
        <x:f>W74+X74*S74</x:f>
        <x:v>3881.5839672322982</x:v>
      </x:c>
      <x:c r="Z74" s="12">
        <x:f>F74*N74</x:f>
        <x:v>68639.999999999985</x:v>
      </x:c>
      <x:c r="AA74" s="12">
        <x:f>J74*D74</x:f>
        <x:v>0</x:v>
      </x:c>
      <x:c r="AB74" s="12">
        <x:f>Q74*D74</x:f>
        <x:v>0</x:v>
      </x:c>
      <x:c r="AC74" s="12">
        <x:f>R74*D74</x:f>
        <x:v>0</x:v>
      </x:c>
      <x:c r="AD74" s="12">
        <x:f>J74*E74</x:f>
        <x:v>3775.4008191925091</x:v>
      </x:c>
      <x:c r="AE74" s="12">
        <x:f>Q74*E74</x:f>
        <x:v>3775.4008191925091</x:v>
      </x:c>
      <x:c r="AF74" s="12">
        <x:f>R74*E74</x:f>
        <x:v>188.77004095962548</x:v>
      </x:c>
      <x:c r="AG74" s="1">
        <x:f>IF(AND(I74&gt;=0,I74&lt;=1,Q74+R74&lt;=F74+0.00000001,N74&gt;=0,N74&lt;=1),1,0)</x:f>
        <x:v>1</x:v>
      </x:c>
      <x:c r="AH74" s="1"/>
      <x:c r="AI74" s="1"/>
    </x:row>
    <x:row r="75" ht="24" customHeight="1">
      <x:c r="A75" s="1" t="str">
        <x:v>H5</x:v>
      </x:c>
      <x:c r="B75" s="1" t="str">
        <x:v>S2</x:v>
      </x:c>
      <x:c r="C75" s="1" t="str">
        <x:v>Оба</x:v>
      </x:c>
      <x:c r="D75" s="1" t="n">
        <x:v>1</x:v>
      </x:c>
      <x:c r="E75" s="1" t="n">
        <x:v>1</x:v>
      </x:c>
      <x:c r="F75" s="12">
        <x:f>'Когорты'!D6*'Когорты'!K6</x:f>
        <x:v>549120</x:v>
      </x:c>
      <x:c r="G75" s="8">
        <x:f>'Когорты'!F6</x:f>
        <x:v>0.14099999999999999</x:v>
      </x:c>
      <x:c r="H75" s="1">
        <x:f>'Когорты'!Q6</x:f>
        <x:v>1</x:v>
      </x:c>
      <x:c r="I75" s="8">
        <x:f>IF('Когорты'!S6&gt;0,G75*H75/'Когорты'!S6,0)</x:f>
        <x:v>0.13750731421884141</x:v>
      </x:c>
      <x:c r="J75" s="1">
        <x:f>F75*I75</x:f>
        <x:v>75508.01638385019</x:v>
      </x:c>
      <x:c r="K75" s="8">
        <x:f>'Воздействие'!C22*D75</x:f>
        <x:v>0</x:v>
      </x:c>
      <x:c r="L75" s="8">
        <x:f>'Воздействие'!D22*E75</x:f>
        <x:v>0.5</x:v>
      </x:c>
      <x:c r="M75" s="8">
        <x:f>'Воздействие'!E22*D75*E75</x:f>
        <x:v>0</x:v>
      </x:c>
      <x:c r="N75" s="8">
        <x:f>K75+L75-M75</x:f>
        <x:v>0.5</x:v>
      </x:c>
      <x:c r="O75" s="1">
        <x:f>J75*'Параметры'!$B$10*N75</x:f>
        <x:v>3775.4008191925095</x:v>
      </x:c>
      <x:c r="P75" s="8">
        <x:f>(1-'Воздействие'!F22*D75)*(1-'Воздействие'!G22*E75)</x:f>
        <x:v>1</x:v>
      </x:c>
      <x:c r="Q75" s="1">
        <x:f>J75*P75</x:f>
        <x:v>75508.01638385019</x:v>
      </x:c>
      <x:c r="R75" s="1">
        <x:f>O75*P75</x:f>
        <x:v>3775.4008191925095</x:v>
      </x:c>
      <x:c r="S75" s="8">
        <x:f>(1-'Гипотезы'!D9)*(1-'Гипотезы'!E9)</x:f>
        <x:v>0.5625</x:v>
      </x:c>
      <x:c r="T75" s="12">
        <x:f>Q75+R75*S75</x:f>
        <x:v>77631.679344645978</x:v>
      </x:c>
      <x:c r="U75" s="12">
        <x:f>T75-J75</x:f>
        <x:v>2123.6629607957875</x:v>
      </x:c>
      <x:c r="V75" s="12">
        <x:f>J75*'Когорты'!T6</x:f>
        <x:v>75508.01638385019</x:v>
      </x:c>
      <x:c r="W75" s="12">
        <x:f>Q75*'Когорты'!T6*(1+'Воздействие'!H22*N75)</x:f>
        <x:v>75508.01638385019</x:v>
      </x:c>
      <x:c r="X75" s="12">
        <x:f>R75*'Когорты'!T6*(1+'Воздействие'!H22*N75)</x:f>
        <x:v>3775.4008191925095</x:v>
      </x:c>
      <x:c r="Y75" s="12">
        <x:f>W75+X75*S75</x:f>
        <x:v>77631.679344645978</x:v>
      </x:c>
      <x:c r="Z75" s="12">
        <x:f>F75*N75</x:f>
        <x:v>274560</x:v>
      </x:c>
      <x:c r="AA75" s="12">
        <x:f>J75*D75</x:f>
        <x:v>75508.01638385019</x:v>
      </x:c>
      <x:c r="AB75" s="12">
        <x:f>Q75*D75</x:f>
        <x:v>75508.01638385019</x:v>
      </x:c>
      <x:c r="AC75" s="12">
        <x:f>R75*D75</x:f>
        <x:v>3775.4008191925095</x:v>
      </x:c>
      <x:c r="AD75" s="12">
        <x:f>J75*E75</x:f>
        <x:v>75508.01638385019</x:v>
      </x:c>
      <x:c r="AE75" s="12">
        <x:f>Q75*E75</x:f>
        <x:v>75508.01638385019</x:v>
      </x:c>
      <x:c r="AF75" s="12">
        <x:f>R75*E75</x:f>
        <x:v>3775.4008191925095</x:v>
      </x:c>
      <x:c r="AG75" s="1">
        <x:f>IF(AND(I75&gt;=0,I75&lt;=1,Q75+R75&lt;=F75+0.00000001,N75&gt;=0,N75&lt;=1),1,0)</x:f>
        <x:v>1</x:v>
      </x:c>
      <x:c r="AH75" s="1"/>
      <x:c r="AI75" s="1"/>
    </x:row>
    <x:row r="76" ht="24" customHeight="1">
      <x:c r="A76" s="1" t="str">
        <x:v>H5</x:v>
      </x:c>
      <x:c r="B76" s="1" t="str">
        <x:v>S2</x:v>
      </x:c>
      <x:c r="C76" s="1" t="str">
        <x:v>Ни один</x:v>
      </x:c>
      <x:c r="D76" s="1" t="n">
        <x:v>0</x:v>
      </x:c>
      <x:c r="E76" s="1" t="n">
        <x:v>0</x:v>
      </x:c>
      <x:c r="F76" s="12">
        <x:f>'Когорты'!D6*'Когорты'!N6</x:f>
        <x:v>1710719.9999999998</x:v>
      </x:c>
      <x:c r="G76" s="8">
        <x:f>'Когорты'!F6</x:f>
        <x:v>0.14099999999999999</x:v>
      </x:c>
      <x:c r="H76" s="1">
        <x:f>'Когорты'!R6</x:f>
        <x:v>0.29999999999999999</x:v>
      </x:c>
      <x:c r="I76" s="8">
        <x:f>IF('Когорты'!S6&gt;0,G76*H76/'Когорты'!S6,0)</x:f>
        <x:v>0.041252194265652423</x:v>
      </x:c>
      <x:c r="J76" s="1">
        <x:f>F76*I76</x:f>
        <x:v>70570.953774136899</x:v>
      </x:c>
      <x:c r="K76" s="8">
        <x:f>'Воздействие'!C22*D76</x:f>
        <x:v>0</x:v>
      </x:c>
      <x:c r="L76" s="8">
        <x:f>'Воздействие'!D22*E76</x:f>
        <x:v>0</x:v>
      </x:c>
      <x:c r="M76" s="8">
        <x:f>'Воздействие'!E22*D76*E76</x:f>
        <x:v>0</x:v>
      </x:c>
      <x:c r="N76" s="8">
        <x:f>K76+L76-M76</x:f>
        <x:v>0</x:v>
      </x:c>
      <x:c r="O76" s="1">
        <x:f>J76*'Параметры'!$B$10*N76</x:f>
        <x:v>0</x:v>
      </x:c>
      <x:c r="P76" s="8">
        <x:f>(1-'Воздействие'!F22*D76)*(1-'Воздействие'!G22*E76)</x:f>
        <x:v>1</x:v>
      </x:c>
      <x:c r="Q76" s="1">
        <x:f>J76*P76</x:f>
        <x:v>70570.953774136899</x:v>
      </x:c>
      <x:c r="R76" s="1">
        <x:f>O76*P76</x:f>
        <x:v>0</x:v>
      </x:c>
      <x:c r="S76" s="8">
        <x:f>(1-'Гипотезы'!D9)*(1-'Гипотезы'!E9)</x:f>
        <x:v>0.5625</x:v>
      </x:c>
      <x:c r="T76" s="12">
        <x:f>Q76+R76*S76</x:f>
        <x:v>70570.953774136899</x:v>
      </x:c>
      <x:c r="U76" s="12">
        <x:f>T76-J76</x:f>
        <x:v>0</x:v>
      </x:c>
      <x:c r="V76" s="12">
        <x:f>J76*'Когорты'!T6</x:f>
        <x:v>70570.953774136899</x:v>
      </x:c>
      <x:c r="W76" s="12">
        <x:f>Q76*'Когорты'!T6*(1+'Воздействие'!H22*N76)</x:f>
        <x:v>70570.953774136899</x:v>
      </x:c>
      <x:c r="X76" s="12">
        <x:f>R76*'Когорты'!T6*(1+'Воздействие'!H22*N76)</x:f>
        <x:v>0</x:v>
      </x:c>
      <x:c r="Y76" s="12">
        <x:f>W76+X76*S76</x:f>
        <x:v>70570.953774136899</x:v>
      </x:c>
      <x:c r="Z76" s="12">
        <x:f>F76*N76</x:f>
        <x:v>0</x:v>
      </x:c>
      <x:c r="AA76" s="12">
        <x:f>J76*D76</x:f>
        <x:v>0</x:v>
      </x:c>
      <x:c r="AB76" s="12">
        <x:f>Q76*D76</x:f>
        <x:v>0</x:v>
      </x:c>
      <x:c r="AC76" s="12">
        <x:f>R76*D76</x:f>
        <x:v>0</x:v>
      </x:c>
      <x:c r="AD76" s="12">
        <x:f>J76*E76</x:f>
        <x:v>0</x:v>
      </x:c>
      <x:c r="AE76" s="12">
        <x:f>Q76*E76</x:f>
        <x:v>0</x:v>
      </x:c>
      <x:c r="AF76" s="12">
        <x:f>R76*E76</x:f>
        <x:v>0</x:v>
      </x:c>
      <x:c r="AG76" s="1">
        <x:f>IF(AND(I76&gt;=0,I76&lt;=1,Q76+R76&lt;=F76+0.00000001,N76&gt;=0,N76&lt;=1),1,0)</x:f>
        <x:v>1</x:v>
      </x:c>
      <x:c r="AH76" s="1"/>
      <x:c r="AI76" s="1"/>
    </x:row>
    <x:row r="77" ht="24" customHeight="1">
      <x:c r="A77" s="1" t="str">
        <x:v>H5</x:v>
      </x:c>
      <x:c r="B77" s="1" t="str">
        <x:v>S3</x:v>
      </x:c>
      <x:c r="C77" s="1" t="str">
        <x:v>Только C</x:v>
      </x:c>
      <x:c r="D77" s="1" t="n">
        <x:v>1</x:v>
      </x:c>
      <x:c r="E77" s="1" t="n">
        <x:v>0</x:v>
      </x:c>
      <x:c r="F77" s="12">
        <x:f>'Когорты'!D7*'Когорты'!L7</x:f>
        <x:v>4324320</x:v>
      </x:c>
      <x:c r="G77" s="8">
        <x:f>'Когорты'!F7</x:f>
        <x:v>0.05099999999999999</x:v>
      </x:c>
      <x:c r="H77" s="1">
        <x:f>'Когорты'!O7</x:f>
        <x:v>1.5</x:v>
      </x:c>
      <x:c r="I77" s="8">
        <x:f>IF('Когорты'!S7&gt;0,G77*H77/'Когорты'!S7,0)</x:f>
        <x:v>0.074605032182562883</x:v>
      </x:c>
      <x:c r="J77" s="1">
        <x:f>F77*I77</x:f>
        <x:v>322616.03276770032</x:v>
      </x:c>
      <x:c r="K77" s="8">
        <x:f>'Воздействие'!C23*D77</x:f>
        <x:v>0</x:v>
      </x:c>
      <x:c r="L77" s="8">
        <x:f>'Воздействие'!D23*E77</x:f>
        <x:v>0</x:v>
      </x:c>
      <x:c r="M77" s="8">
        <x:f>'Воздействие'!E23*D77*E77</x:f>
        <x:v>0</x:v>
      </x:c>
      <x:c r="N77" s="8">
        <x:f>K77+L77-M77</x:f>
        <x:v>0</x:v>
      </x:c>
      <x:c r="O77" s="1">
        <x:f>J77*'Параметры'!$B$10*N77</x:f>
        <x:v>0</x:v>
      </x:c>
      <x:c r="P77" s="8">
        <x:f>(1-'Воздействие'!F23*D77)*(1-'Воздействие'!G23*E77)</x:f>
        <x:v>1</x:v>
      </x:c>
      <x:c r="Q77" s="1">
        <x:f>J77*P77</x:f>
        <x:v>322616.03276770032</x:v>
      </x:c>
      <x:c r="R77" s="1">
        <x:f>O77*P77</x:f>
        <x:v>0</x:v>
      </x:c>
      <x:c r="S77" s="8">
        <x:f>(1-'Гипотезы'!D9)*(1-'Гипотезы'!E9)</x:f>
        <x:v>0.5625</x:v>
      </x:c>
      <x:c r="T77" s="12">
        <x:f>Q77+R77*S77</x:f>
        <x:v>322616.03276770032</x:v>
      </x:c>
      <x:c r="U77" s="12">
        <x:f>T77-J77</x:f>
        <x:v>0</x:v>
      </x:c>
      <x:c r="V77" s="12">
        <x:f>J77*'Когорты'!T7</x:f>
        <x:v>322616.03276770032</x:v>
      </x:c>
      <x:c r="W77" s="12">
        <x:f>Q77*'Когорты'!T7*(1+'Воздействие'!H23*N77)</x:f>
        <x:v>322616.03276770032</x:v>
      </x:c>
      <x:c r="X77" s="12">
        <x:f>R77*'Когорты'!T7*(1+'Воздействие'!H23*N77)</x:f>
        <x:v>0</x:v>
      </x:c>
      <x:c r="Y77" s="12">
        <x:f>W77+X77*S77</x:f>
        <x:v>322616.03276770032</x:v>
      </x:c>
      <x:c r="Z77" s="12">
        <x:f>F77*N77</x:f>
        <x:v>0</x:v>
      </x:c>
      <x:c r="AA77" s="12">
        <x:f>J77*D77</x:f>
        <x:v>322616.03276770032</x:v>
      </x:c>
      <x:c r="AB77" s="12">
        <x:f>Q77*D77</x:f>
        <x:v>322616.03276770032</x:v>
      </x:c>
      <x:c r="AC77" s="12">
        <x:f>R77*D77</x:f>
        <x:v>0</x:v>
      </x:c>
      <x:c r="AD77" s="12">
        <x:f>J77*E77</x:f>
        <x:v>0</x:v>
      </x:c>
      <x:c r="AE77" s="12">
        <x:f>Q77*E77</x:f>
        <x:v>0</x:v>
      </x:c>
      <x:c r="AF77" s="12">
        <x:f>R77*E77</x:f>
        <x:v>0</x:v>
      </x:c>
      <x:c r="AG77" s="1">
        <x:f>IF(AND(I77&gt;=0,I77&lt;=1,Q77+R77&lt;=F77+0.00000001,N77&gt;=0,N77&lt;=1),1,0)</x:f>
        <x:v>1</x:v>
      </x:c>
      <x:c r="AH77" s="1"/>
      <x:c r="AI77" s="1"/>
    </x:row>
    <x:row r="78" ht="24" customHeight="1">
      <x:c r="A78" s="1" t="str">
        <x:v>H5</x:v>
      </x:c>
      <x:c r="B78" s="1" t="str">
        <x:v>S3</x:v>
      </x:c>
      <x:c r="C78" s="1" t="str">
        <x:v>Только F</x:v>
      </x:c>
      <x:c r="D78" s="1" t="n">
        <x:v>0</x:v>
      </x:c>
      <x:c r="E78" s="1" t="n">
        <x:v>1</x:v>
      </x:c>
      <x:c r="F78" s="12">
        <x:f>'Когорты'!D7*'Когорты'!M7</x:f>
        <x:v>205919.99999999997</x:v>
      </x:c>
      <x:c r="G78" s="8">
        <x:f>'Когорты'!F7</x:f>
        <x:v>0.05099999999999999</x:v>
      </x:c>
      <x:c r="H78" s="1">
        <x:f>'Когорты'!P7</x:f>
        <x:v>0.20000000000000001</x:v>
      </x:c>
      <x:c r="I78" s="8">
        <x:f>IF('Когорты'!S7&gt;0,G78*H78/'Когорты'!S7,0)</x:f>
        <x:v>0.0099473376243417178</x:v>
      </x:c>
      <x:c r="J78" s="1">
        <x:f>F78*I78</x:f>
        <x:v>2048.3557636044461</x:v>
      </x:c>
      <x:c r="K78" s="8">
        <x:f>'Воздействие'!C23*D78</x:f>
        <x:v>0</x:v>
      </x:c>
      <x:c r="L78" s="8">
        <x:f>'Воздействие'!D23*E78</x:f>
        <x:v>0.20000000000000001</x:v>
      </x:c>
      <x:c r="M78" s="8">
        <x:f>'Воздействие'!E23*D78*E78</x:f>
        <x:v>0</x:v>
      </x:c>
      <x:c r="N78" s="8">
        <x:f>K78+L78-M78</x:f>
        <x:v>0.20000000000000001</x:v>
      </x:c>
      <x:c r="O78" s="1">
        <x:f>J78*'Параметры'!$B$10*N78</x:f>
        <x:v>40.967115272088932</x:v>
      </x:c>
      <x:c r="P78" s="8">
        <x:f>(1-'Воздействие'!F23*D78)*(1-'Воздействие'!G23*E78)</x:f>
        <x:v>1</x:v>
      </x:c>
      <x:c r="Q78" s="1">
        <x:f>J78*P78</x:f>
        <x:v>2048.3557636044461</x:v>
      </x:c>
      <x:c r="R78" s="1">
        <x:f>O78*P78</x:f>
        <x:v>40.967115272088932</x:v>
      </x:c>
      <x:c r="S78" s="8">
        <x:f>(1-'Гипотезы'!D9)*(1-'Гипотезы'!E9)</x:f>
        <x:v>0.5625</x:v>
      </x:c>
      <x:c r="T78" s="12">
        <x:f>Q78+R78*S78</x:f>
        <x:v>2071.399765944996</x:v>
      </x:c>
      <x:c r="U78" s="12">
        <x:f>T78-J78</x:f>
        <x:v>23.044002340549923</x:v>
      </x:c>
      <x:c r="V78" s="12">
        <x:f>J78*'Когорты'!T7</x:f>
        <x:v>2048.3557636044461</x:v>
      </x:c>
      <x:c r="W78" s="12">
        <x:f>Q78*'Когорты'!T7*(1+'Воздействие'!H23*N78)</x:f>
        <x:v>2048.3557636044461</x:v>
      </x:c>
      <x:c r="X78" s="12">
        <x:f>R78*'Когорты'!T7*(1+'Воздействие'!H23*N78)</x:f>
        <x:v>40.967115272088932</x:v>
      </x:c>
      <x:c r="Y78" s="12">
        <x:f>W78+X78*S78</x:f>
        <x:v>2071.399765944996</x:v>
      </x:c>
      <x:c r="Z78" s="12">
        <x:f>F78*N78</x:f>
        <x:v>41184</x:v>
      </x:c>
      <x:c r="AA78" s="12">
        <x:f>J78*D78</x:f>
        <x:v>0</x:v>
      </x:c>
      <x:c r="AB78" s="12">
        <x:f>Q78*D78</x:f>
        <x:v>0</x:v>
      </x:c>
      <x:c r="AC78" s="12">
        <x:f>R78*D78</x:f>
        <x:v>0</x:v>
      </x:c>
      <x:c r="AD78" s="12">
        <x:f>J78*E78</x:f>
        <x:v>2048.3557636044461</x:v>
      </x:c>
      <x:c r="AE78" s="12">
        <x:f>Q78*E78</x:f>
        <x:v>2048.3557636044461</x:v>
      </x:c>
      <x:c r="AF78" s="12">
        <x:f>R78*E78</x:f>
        <x:v>40.967115272088932</x:v>
      </x:c>
      <x:c r="AG78" s="1">
        <x:f>IF(AND(I78&gt;=0,I78&lt;=1,Q78+R78&lt;=F78+0.00000001,N78&gt;=0,N78&lt;=1),1,0)</x:f>
        <x:v>1</x:v>
      </x:c>
      <x:c r="AH78" s="1"/>
      <x:c r="AI78" s="1"/>
    </x:row>
    <x:row r="79" ht="24" customHeight="1">
      <x:c r="A79" s="1" t="str">
        <x:v>H5</x:v>
      </x:c>
      <x:c r="B79" s="1" t="str">
        <x:v>S3</x:v>
      </x:c>
      <x:c r="C79" s="1" t="str">
        <x:v>Оба</x:v>
      </x:c>
      <x:c r="D79" s="1" t="n">
        <x:v>1</x:v>
      </x:c>
      <x:c r="E79" s="1" t="n">
        <x:v>1</x:v>
      </x:c>
      <x:c r="F79" s="12">
        <x:f>'Когорты'!D7*'Когорты'!K7</x:f>
        <x:v>823680.00000000012</x:v>
      </x:c>
      <x:c r="G79" s="8">
        <x:f>'Когорты'!F7</x:f>
        <x:v>0.05099999999999999</x:v>
      </x:c>
      <x:c r="H79" s="1">
        <x:f>'Когорты'!Q7</x:f>
        <x:v>1</x:v>
      </x:c>
      <x:c r="I79" s="8">
        <x:f>IF('Когорты'!S7&gt;0,G79*H79/'Когорты'!S7,0)</x:f>
        <x:v>0.049736688121708589</x:v>
      </x:c>
      <x:c r="J79" s="1">
        <x:f>F79*I79</x:f>
        <x:v>40967.115272088937</x:v>
      </x:c>
      <x:c r="K79" s="8">
        <x:f>'Воздействие'!C23*D79</x:f>
        <x:v>0</x:v>
      </x:c>
      <x:c r="L79" s="8">
        <x:f>'Воздействие'!D23*E79</x:f>
        <x:v>0.20000000000000001</x:v>
      </x:c>
      <x:c r="M79" s="8">
        <x:f>'Воздействие'!E23*D79*E79</x:f>
        <x:v>0</x:v>
      </x:c>
      <x:c r="N79" s="8">
        <x:f>K79+L79-M79</x:f>
        <x:v>0.20000000000000001</x:v>
      </x:c>
      <x:c r="O79" s="1">
        <x:f>J79*'Параметры'!$B$10*N79</x:f>
        <x:v>819.34230544177888</x:v>
      </x:c>
      <x:c r="P79" s="8">
        <x:f>(1-'Воздействие'!F23*D79)*(1-'Воздействие'!G23*E79)</x:f>
        <x:v>1</x:v>
      </x:c>
      <x:c r="Q79" s="1">
        <x:f>J79*P79</x:f>
        <x:v>40967.115272088937</x:v>
      </x:c>
      <x:c r="R79" s="1">
        <x:f>O79*P79</x:f>
        <x:v>819.34230544177888</x:v>
      </x:c>
      <x:c r="S79" s="8">
        <x:f>(1-'Гипотезы'!D9)*(1-'Гипотезы'!E9)</x:f>
        <x:v>0.5625</x:v>
      </x:c>
      <x:c r="T79" s="12">
        <x:f>Q79+R79*S79</x:f>
        <x:v>41427.995318899935</x:v>
      </x:c>
      <x:c r="U79" s="12">
        <x:f>T79-J79</x:f>
        <x:v>460.88004681099846</x:v>
      </x:c>
      <x:c r="V79" s="12">
        <x:f>J79*'Когорты'!T7</x:f>
        <x:v>40967.115272088937</x:v>
      </x:c>
      <x:c r="W79" s="12">
        <x:f>Q79*'Когорты'!T7*(1+'Воздействие'!H23*N79)</x:f>
        <x:v>40967.115272088937</x:v>
      </x:c>
      <x:c r="X79" s="12">
        <x:f>R79*'Когорты'!T7*(1+'Воздействие'!H23*N79)</x:f>
        <x:v>819.34230544177888</x:v>
      </x:c>
      <x:c r="Y79" s="12">
        <x:f>W79+X79*S79</x:f>
        <x:v>41427.995318899935</x:v>
      </x:c>
      <x:c r="Z79" s="12">
        <x:f>F79*N79</x:f>
        <x:v>164736.00000000003</x:v>
      </x:c>
      <x:c r="AA79" s="12">
        <x:f>J79*D79</x:f>
        <x:v>40967.115272088937</x:v>
      </x:c>
      <x:c r="AB79" s="12">
        <x:f>Q79*D79</x:f>
        <x:v>40967.115272088937</x:v>
      </x:c>
      <x:c r="AC79" s="12">
        <x:f>R79*D79</x:f>
        <x:v>819.34230544177888</x:v>
      </x:c>
      <x:c r="AD79" s="12">
        <x:f>J79*E79</x:f>
        <x:v>40967.115272088937</x:v>
      </x:c>
      <x:c r="AE79" s="12">
        <x:f>Q79*E79</x:f>
        <x:v>40967.115272088937</x:v>
      </x:c>
      <x:c r="AF79" s="12">
        <x:f>R79*E79</x:f>
        <x:v>819.34230544177888</x:v>
      </x:c>
      <x:c r="AG79" s="1">
        <x:f>IF(AND(I79&gt;=0,I79&lt;=1,Q79+R79&lt;=F79+0.00000001,N79&gt;=0,N79&lt;=1),1,0)</x:f>
        <x:v>1</x:v>
      </x:c>
      <x:c r="AH79" s="1"/>
      <x:c r="AI79" s="1"/>
    </x:row>
    <x:row r="80" ht="24" customHeight="1">
      <x:c r="A80" s="1" t="str">
        <x:v>H5</x:v>
      </x:c>
      <x:c r="B80" s="1" t="str">
        <x:v>S3</x:v>
      </x:c>
      <x:c r="C80" s="1" t="str">
        <x:v>Ни один</x:v>
      </x:c>
      <x:c r="D80" s="1" t="n">
        <x:v>0</x:v>
      </x:c>
      <x:c r="E80" s="1" t="n">
        <x:v>0</x:v>
      </x:c>
      <x:c r="F80" s="12">
        <x:f>'Когорты'!D7*'Когорты'!N7</x:f>
        <x:v>2566079.9999999995</x:v>
      </x:c>
      <x:c r="G80" s="8">
        <x:f>'Когорты'!F7</x:f>
        <x:v>0.05099999999999999</x:v>
      </x:c>
      <x:c r="H80" s="1">
        <x:f>'Когорты'!R7</x:f>
        <x:v>0.29999999999999999</x:v>
      </x:c>
      <x:c r="I80" s="8">
        <x:f>IF('Когорты'!S7&gt;0,G80*H80/'Когорты'!S7,0)</x:f>
        <x:v>0.014921006436512575</x:v>
      </x:c>
      <x:c r="J80" s="1">
        <x:f>F80*I80</x:f>
        <x:v>38288.496196606182</x:v>
      </x:c>
      <x:c r="K80" s="8">
        <x:f>'Воздействие'!C23*D80</x:f>
        <x:v>0</x:v>
      </x:c>
      <x:c r="L80" s="8">
        <x:f>'Воздействие'!D23*E80</x:f>
        <x:v>0</x:v>
      </x:c>
      <x:c r="M80" s="8">
        <x:f>'Воздействие'!E23*D80*E80</x:f>
        <x:v>0</x:v>
      </x:c>
      <x:c r="N80" s="8">
        <x:f>K80+L80-M80</x:f>
        <x:v>0</x:v>
      </x:c>
      <x:c r="O80" s="1">
        <x:f>J80*'Параметры'!$B$10*N80</x:f>
        <x:v>0</x:v>
      </x:c>
      <x:c r="P80" s="8">
        <x:f>(1-'Воздействие'!F23*D80)*(1-'Воздействие'!G23*E80)</x:f>
        <x:v>1</x:v>
      </x:c>
      <x:c r="Q80" s="1">
        <x:f>J80*P80</x:f>
        <x:v>38288.496196606182</x:v>
      </x:c>
      <x:c r="R80" s="1">
        <x:f>O80*P80</x:f>
        <x:v>0</x:v>
      </x:c>
      <x:c r="S80" s="8">
        <x:f>(1-'Гипотезы'!D9)*(1-'Гипотезы'!E9)</x:f>
        <x:v>0.5625</x:v>
      </x:c>
      <x:c r="T80" s="12">
        <x:f>Q80+R80*S80</x:f>
        <x:v>38288.496196606182</x:v>
      </x:c>
      <x:c r="U80" s="12">
        <x:f>T80-J80</x:f>
        <x:v>0</x:v>
      </x:c>
      <x:c r="V80" s="12">
        <x:f>J80*'Когорты'!T7</x:f>
        <x:v>38288.496196606182</x:v>
      </x:c>
      <x:c r="W80" s="12">
        <x:f>Q80*'Когорты'!T7*(1+'Воздействие'!H23*N80)</x:f>
        <x:v>38288.496196606182</x:v>
      </x:c>
      <x:c r="X80" s="12">
        <x:f>R80*'Когорты'!T7*(1+'Воздействие'!H23*N80)</x:f>
        <x:v>0</x:v>
      </x:c>
      <x:c r="Y80" s="12">
        <x:f>W80+X80*S80</x:f>
        <x:v>38288.496196606182</x:v>
      </x:c>
      <x:c r="Z80" s="12">
        <x:f>F80*N80</x:f>
        <x:v>0</x:v>
      </x:c>
      <x:c r="AA80" s="12">
        <x:f>J80*D80</x:f>
        <x:v>0</x:v>
      </x:c>
      <x:c r="AB80" s="12">
        <x:f>Q80*D80</x:f>
        <x:v>0</x:v>
      </x:c>
      <x:c r="AC80" s="12">
        <x:f>R80*D80</x:f>
        <x:v>0</x:v>
      </x:c>
      <x:c r="AD80" s="12">
        <x:f>J80*E80</x:f>
        <x:v>0</x:v>
      </x:c>
      <x:c r="AE80" s="12">
        <x:f>Q80*E80</x:f>
        <x:v>0</x:v>
      </x:c>
      <x:c r="AF80" s="12">
        <x:f>R80*E80</x:f>
        <x:v>0</x:v>
      </x:c>
      <x:c r="AG80" s="1">
        <x:f>IF(AND(I80&gt;=0,I80&lt;=1,Q80+R80&lt;=F80+0.00000001,N80&gt;=0,N80&lt;=1),1,0)</x:f>
        <x:v>1</x:v>
      </x:c>
      <x:c r="AH80" s="1"/>
      <x:c r="AI80" s="1"/>
    </x:row>
    <x:row r="81" ht="24" customHeight="1">
      <x:c r="A81" s="1" t="str">
        <x:v>H5</x:v>
      </x:c>
      <x:c r="B81" s="1" t="str">
        <x:v>S4</x:v>
      </x:c>
      <x:c r="C81" s="1" t="str">
        <x:v>Только C</x:v>
      </x:c>
      <x:c r="D81" s="1" t="n">
        <x:v>1</x:v>
      </x:c>
      <x:c r="E81" s="1" t="n">
        <x:v>0</x:v>
      </x:c>
      <x:c r="F81" s="12">
        <x:f>'Когорты'!D8*'Когорты'!L8</x:f>
        <x:v>10090080</x:v>
      </x:c>
      <x:c r="G81" s="8">
        <x:f>'Когорты'!F8</x:f>
        <x:v>0.14099999999999999</x:v>
      </x:c>
      <x:c r="H81" s="1">
        <x:f>'Когорты'!O8</x:f>
        <x:v>1.5</x:v>
      </x:c>
      <x:c r="I81" s="8">
        <x:f>IF('Когорты'!S8&gt;0,G81*H81/'Когорты'!S8,0)</x:f>
        <x:v>0.2062609713282621</x:v>
      </x:c>
      <x:c r="J81" s="1">
        <x:f>F81*I81</x:f>
        <x:v>2081189.7015798709</x:v>
      </x:c>
      <x:c r="K81" s="8">
        <x:f>'Воздействие'!C24*D81</x:f>
        <x:v>0</x:v>
      </x:c>
      <x:c r="L81" s="8">
        <x:f>'Воздействие'!D24*E81</x:f>
        <x:v>0</x:v>
      </x:c>
      <x:c r="M81" s="8">
        <x:f>'Воздействие'!E24*D81*E81</x:f>
        <x:v>0</x:v>
      </x:c>
      <x:c r="N81" s="8">
        <x:f>K81+L81-M81</x:f>
        <x:v>0</x:v>
      </x:c>
      <x:c r="O81" s="1">
        <x:f>J81*'Параметры'!$B$10*N81</x:f>
        <x:v>0</x:v>
      </x:c>
      <x:c r="P81" s="8">
        <x:f>(1-'Воздействие'!F24*D81)*(1-'Воздействие'!G24*E81)</x:f>
        <x:v>1</x:v>
      </x:c>
      <x:c r="Q81" s="1">
        <x:f>J81*P81</x:f>
        <x:v>2081189.7015798709</x:v>
      </x:c>
      <x:c r="R81" s="1">
        <x:f>O81*P81</x:f>
        <x:v>0</x:v>
      </x:c>
      <x:c r="S81" s="8">
        <x:f>(1-'Гипотезы'!D9)*(1-'Гипотезы'!E9)</x:f>
        <x:v>0.5625</x:v>
      </x:c>
      <x:c r="T81" s="12">
        <x:f>Q81+R81*S81</x:f>
        <x:v>2081189.7015798709</x:v>
      </x:c>
      <x:c r="U81" s="12">
        <x:f>T81-J81</x:f>
        <x:v>0</x:v>
      </x:c>
      <x:c r="V81" s="12">
        <x:f>J81*'Когорты'!T8</x:f>
        <x:v>2081189.7015798709</x:v>
      </x:c>
      <x:c r="W81" s="12">
        <x:f>Q81*'Когорты'!T8*(1+'Воздействие'!H24*N81)</x:f>
        <x:v>2081189.7015798709</x:v>
      </x:c>
      <x:c r="X81" s="12">
        <x:f>R81*'Когорты'!T8*(1+'Воздействие'!H24*N81)</x:f>
        <x:v>0</x:v>
      </x:c>
      <x:c r="Y81" s="12">
        <x:f>W81+X81*S81</x:f>
        <x:v>2081189.7015798709</x:v>
      </x:c>
      <x:c r="Z81" s="12">
        <x:f>F81*N81</x:f>
        <x:v>0</x:v>
      </x:c>
      <x:c r="AA81" s="12">
        <x:f>J81*D81</x:f>
        <x:v>2081189.7015798709</x:v>
      </x:c>
      <x:c r="AB81" s="12">
        <x:f>Q81*D81</x:f>
        <x:v>2081189.7015798709</x:v>
      </x:c>
      <x:c r="AC81" s="12">
        <x:f>R81*D81</x:f>
        <x:v>0</x:v>
      </x:c>
      <x:c r="AD81" s="12">
        <x:f>J81*E81</x:f>
        <x:v>0</x:v>
      </x:c>
      <x:c r="AE81" s="12">
        <x:f>Q81*E81</x:f>
        <x:v>0</x:v>
      </x:c>
      <x:c r="AF81" s="12">
        <x:f>R81*E81</x:f>
        <x:v>0</x:v>
      </x:c>
      <x:c r="AG81" s="1">
        <x:f>IF(AND(I81&gt;=0,I81&lt;=1,Q81+R81&lt;=F81+0.00000001,N81&gt;=0,N81&lt;=1),1,0)</x:f>
        <x:v>1</x:v>
      </x:c>
      <x:c r="AH81" s="1"/>
      <x:c r="AI81" s="1"/>
    </x:row>
    <x:row r="82" ht="24" customHeight="1">
      <x:c r="A82" s="1" t="str">
        <x:v>H5</x:v>
      </x:c>
      <x:c r="B82" s="1" t="str">
        <x:v>S4</x:v>
      </x:c>
      <x:c r="C82" s="1" t="str">
        <x:v>Только F</x:v>
      </x:c>
      <x:c r="D82" s="1" t="n">
        <x:v>0</x:v>
      </x:c>
      <x:c r="E82" s="1" t="n">
        <x:v>1</x:v>
      </x:c>
      <x:c r="F82" s="12">
        <x:f>'Когорты'!D8*'Когорты'!M8</x:f>
        <x:v>480479.99999999994</x:v>
      </x:c>
      <x:c r="G82" s="8">
        <x:f>'Когорты'!F8</x:f>
        <x:v>0.14099999999999999</x:v>
      </x:c>
      <x:c r="H82" s="1">
        <x:f>'Когорты'!P8</x:f>
        <x:v>0.20000000000000001</x:v>
      </x:c>
      <x:c r="I82" s="8">
        <x:f>IF('Когорты'!S8&gt;0,G82*H82/'Когорты'!S8,0)</x:f>
        <x:v>0.027501462843768282</x:v>
      </x:c>
      <x:c r="J82" s="1">
        <x:f>F82*I82</x:f>
        <x:v>13213.902867173783</x:v>
      </x:c>
      <x:c r="K82" s="8">
        <x:f>'Воздействие'!C24*D82</x:f>
        <x:v>0</x:v>
      </x:c>
      <x:c r="L82" s="8">
        <x:f>'Воздействие'!D24*E82</x:f>
        <x:v>0.20000000000000001</x:v>
      </x:c>
      <x:c r="M82" s="8">
        <x:f>'Воздействие'!E24*D82*E82</x:f>
        <x:v>0</x:v>
      </x:c>
      <x:c r="N82" s="8">
        <x:f>K82+L82-M82</x:f>
        <x:v>0.20000000000000001</x:v>
      </x:c>
      <x:c r="O82" s="1">
        <x:f>J82*'Параметры'!$B$10*N82</x:f>
        <x:v>264.27805734347567</x:v>
      </x:c>
      <x:c r="P82" s="8">
        <x:f>(1-'Воздействие'!F24*D82)*(1-'Воздействие'!G24*E82)</x:f>
        <x:v>1</x:v>
      </x:c>
      <x:c r="Q82" s="1">
        <x:f>J82*P82</x:f>
        <x:v>13213.902867173783</x:v>
      </x:c>
      <x:c r="R82" s="1">
        <x:f>O82*P82</x:f>
        <x:v>264.27805734347567</x:v>
      </x:c>
      <x:c r="S82" s="8">
        <x:f>(1-'Гипотезы'!D9)*(1-'Гипотезы'!E9)</x:f>
        <x:v>0.5625</x:v>
      </x:c>
      <x:c r="T82" s="12">
        <x:f>Q82+R82*S82</x:f>
        <x:v>13362.559274429488</x:v>
      </x:c>
      <x:c r="U82" s="12">
        <x:f>T82-J82</x:f>
        <x:v>148.65640725570483</x:v>
      </x:c>
      <x:c r="V82" s="12">
        <x:f>J82*'Когорты'!T8</x:f>
        <x:v>13213.902867173783</x:v>
      </x:c>
      <x:c r="W82" s="12">
        <x:f>Q82*'Когорты'!T8*(1+'Воздействие'!H24*N82)</x:f>
        <x:v>13213.902867173783</x:v>
      </x:c>
      <x:c r="X82" s="12">
        <x:f>R82*'Когорты'!T8*(1+'Воздействие'!H24*N82)</x:f>
        <x:v>264.27805734347567</x:v>
      </x:c>
      <x:c r="Y82" s="12">
        <x:f>W82+X82*S82</x:f>
        <x:v>13362.559274429488</x:v>
      </x:c>
      <x:c r="Z82" s="12">
        <x:f>F82*N82</x:f>
        <x:v>96096</x:v>
      </x:c>
      <x:c r="AA82" s="12">
        <x:f>J82*D82</x:f>
        <x:v>0</x:v>
      </x:c>
      <x:c r="AB82" s="12">
        <x:f>Q82*D82</x:f>
        <x:v>0</x:v>
      </x:c>
      <x:c r="AC82" s="12">
        <x:f>R82*D82</x:f>
        <x:v>0</x:v>
      </x:c>
      <x:c r="AD82" s="12">
        <x:f>J82*E82</x:f>
        <x:v>13213.902867173783</x:v>
      </x:c>
      <x:c r="AE82" s="12">
        <x:f>Q82*E82</x:f>
        <x:v>13213.902867173783</x:v>
      </x:c>
      <x:c r="AF82" s="12">
        <x:f>R82*E82</x:f>
        <x:v>264.27805734347567</x:v>
      </x:c>
      <x:c r="AG82" s="1">
        <x:f>IF(AND(I82&gt;=0,I82&lt;=1,Q82+R82&lt;=F82+0.00000001,N82&gt;=0,N82&lt;=1),1,0)</x:f>
        <x:v>1</x:v>
      </x:c>
      <x:c r="AH82" s="1"/>
      <x:c r="AI82" s="1"/>
    </x:row>
    <x:row r="83" ht="24" customHeight="1">
      <x:c r="A83" s="1" t="str">
        <x:v>H5</x:v>
      </x:c>
      <x:c r="B83" s="1" t="str">
        <x:v>S4</x:v>
      </x:c>
      <x:c r="C83" s="1" t="str">
        <x:v>Оба</x:v>
      </x:c>
      <x:c r="D83" s="1" t="n">
        <x:v>1</x:v>
      </x:c>
      <x:c r="E83" s="1" t="n">
        <x:v>1</x:v>
      </x:c>
      <x:c r="F83" s="12">
        <x:f>'Когорты'!D8*'Когорты'!K8</x:f>
        <x:v>1921920.0000000002</x:v>
      </x:c>
      <x:c r="G83" s="8">
        <x:f>'Когорты'!F8</x:f>
        <x:v>0.14099999999999999</x:v>
      </x:c>
      <x:c r="H83" s="1">
        <x:f>'Когорты'!Q8</x:f>
        <x:v>1</x:v>
      </x:c>
      <x:c r="I83" s="8">
        <x:f>IF('Когорты'!S8&gt;0,G83*H83/'Когорты'!S8,0)</x:f>
        <x:v>0.13750731421884141</x:v>
      </x:c>
      <x:c r="J83" s="1">
        <x:f>F83*I83</x:f>
        <x:v>264278.0573434757</x:v>
      </x:c>
      <x:c r="K83" s="8">
        <x:f>'Воздействие'!C24*D83</x:f>
        <x:v>0</x:v>
      </x:c>
      <x:c r="L83" s="8">
        <x:f>'Воздействие'!D24*E83</x:f>
        <x:v>0.20000000000000001</x:v>
      </x:c>
      <x:c r="M83" s="8">
        <x:f>'Воздействие'!E24*D83*E83</x:f>
        <x:v>0</x:v>
      </x:c>
      <x:c r="N83" s="8">
        <x:f>K83+L83-M83</x:f>
        <x:v>0.20000000000000001</x:v>
      </x:c>
      <x:c r="O83" s="1">
        <x:f>J83*'Параметры'!$B$10*N83</x:f>
        <x:v>5285.5611468695142</x:v>
      </x:c>
      <x:c r="P83" s="8">
        <x:f>(1-'Воздействие'!F24*D83)*(1-'Воздействие'!G24*E83)</x:f>
        <x:v>1</x:v>
      </x:c>
      <x:c r="Q83" s="1">
        <x:f>J83*P83</x:f>
        <x:v>264278.0573434757</x:v>
      </x:c>
      <x:c r="R83" s="1">
        <x:f>O83*P83</x:f>
        <x:v>5285.5611468695142</x:v>
      </x:c>
      <x:c r="S83" s="8">
        <x:f>(1-'Гипотезы'!D9)*(1-'Гипотезы'!E9)</x:f>
        <x:v>0.5625</x:v>
      </x:c>
      <x:c r="T83" s="12">
        <x:f>Q83+R83*S83</x:f>
        <x:v>267251.18548858981</x:v>
      </x:c>
      <x:c r="U83" s="12">
        <x:f>T83-J83</x:f>
        <x:v>2973.1281451141112</x:v>
      </x:c>
      <x:c r="V83" s="12">
        <x:f>J83*'Когорты'!T8</x:f>
        <x:v>264278.0573434757</x:v>
      </x:c>
      <x:c r="W83" s="12">
        <x:f>Q83*'Когорты'!T8*(1+'Воздействие'!H24*N83)</x:f>
        <x:v>264278.0573434757</x:v>
      </x:c>
      <x:c r="X83" s="12">
        <x:f>R83*'Когорты'!T8*(1+'Воздействие'!H24*N83)</x:f>
        <x:v>5285.5611468695142</x:v>
      </x:c>
      <x:c r="Y83" s="12">
        <x:f>W83+X83*S83</x:f>
        <x:v>267251.18548858981</x:v>
      </x:c>
      <x:c r="Z83" s="12">
        <x:f>F83*N83</x:f>
        <x:v>384384.00000000006</x:v>
      </x:c>
      <x:c r="AA83" s="12">
        <x:f>J83*D83</x:f>
        <x:v>264278.0573434757</x:v>
      </x:c>
      <x:c r="AB83" s="12">
        <x:f>Q83*D83</x:f>
        <x:v>264278.0573434757</x:v>
      </x:c>
      <x:c r="AC83" s="12">
        <x:f>R83*D83</x:f>
        <x:v>5285.5611468695142</x:v>
      </x:c>
      <x:c r="AD83" s="12">
        <x:f>J83*E83</x:f>
        <x:v>264278.0573434757</x:v>
      </x:c>
      <x:c r="AE83" s="12">
        <x:f>Q83*E83</x:f>
        <x:v>264278.0573434757</x:v>
      </x:c>
      <x:c r="AF83" s="12">
        <x:f>R83*E83</x:f>
        <x:v>5285.5611468695142</x:v>
      </x:c>
      <x:c r="AG83" s="1">
        <x:f>IF(AND(I83&gt;=0,I83&lt;=1,Q83+R83&lt;=F83+0.00000001,N83&gt;=0,N83&lt;=1),1,0)</x:f>
        <x:v>1</x:v>
      </x:c>
      <x:c r="AH83" s="1"/>
      <x:c r="AI83" s="1"/>
    </x:row>
    <x:row r="84" ht="24" customHeight="1">
      <x:c r="A84" s="1" t="str">
        <x:v>H5</x:v>
      </x:c>
      <x:c r="B84" s="1" t="str">
        <x:v>S4</x:v>
      </x:c>
      <x:c r="C84" s="1" t="str">
        <x:v>Ни один</x:v>
      </x:c>
      <x:c r="D84" s="1" t="n">
        <x:v>0</x:v>
      </x:c>
      <x:c r="E84" s="1" t="n">
        <x:v>0</x:v>
      </x:c>
      <x:c r="F84" s="12">
        <x:f>'Когорты'!D8*'Когорты'!N8</x:f>
        <x:v>5987519.9999999991</x:v>
      </x:c>
      <x:c r="G84" s="8">
        <x:f>'Когорты'!F8</x:f>
        <x:v>0.14099999999999999</x:v>
      </x:c>
      <x:c r="H84" s="1">
        <x:f>'Когорты'!R8</x:f>
        <x:v>0.29999999999999999</x:v>
      </x:c>
      <x:c r="I84" s="8">
        <x:f>IF('Когорты'!S8&gt;0,G84*H84/'Когорты'!S8,0)</x:f>
        <x:v>0.041252194265652423</x:v>
      </x:c>
      <x:c r="J84" s="1">
        <x:f>F84*I84</x:f>
        <x:v>246998.33820947915</x:v>
      </x:c>
      <x:c r="K84" s="8">
        <x:f>'Воздействие'!C24*D84</x:f>
        <x:v>0</x:v>
      </x:c>
      <x:c r="L84" s="8">
        <x:f>'Воздействие'!D24*E84</x:f>
        <x:v>0</x:v>
      </x:c>
      <x:c r="M84" s="8">
        <x:f>'Воздействие'!E24*D84*E84</x:f>
        <x:v>0</x:v>
      </x:c>
      <x:c r="N84" s="8">
        <x:f>K84+L84-M84</x:f>
        <x:v>0</x:v>
      </x:c>
      <x:c r="O84" s="1">
        <x:f>J84*'Параметры'!$B$10*N84</x:f>
        <x:v>0</x:v>
      </x:c>
      <x:c r="P84" s="8">
        <x:f>(1-'Воздействие'!F24*D84)*(1-'Воздействие'!G24*E84)</x:f>
        <x:v>1</x:v>
      </x:c>
      <x:c r="Q84" s="1">
        <x:f>J84*P84</x:f>
        <x:v>246998.33820947915</x:v>
      </x:c>
      <x:c r="R84" s="1">
        <x:f>O84*P84</x:f>
        <x:v>0</x:v>
      </x:c>
      <x:c r="S84" s="8">
        <x:f>(1-'Гипотезы'!D9)*(1-'Гипотезы'!E9)</x:f>
        <x:v>0.5625</x:v>
      </x:c>
      <x:c r="T84" s="12">
        <x:f>Q84+R84*S84</x:f>
        <x:v>246998.33820947915</x:v>
      </x:c>
      <x:c r="U84" s="12">
        <x:f>T84-J84</x:f>
        <x:v>0</x:v>
      </x:c>
      <x:c r="V84" s="12">
        <x:f>J84*'Когорты'!T8</x:f>
        <x:v>246998.33820947915</x:v>
      </x:c>
      <x:c r="W84" s="12">
        <x:f>Q84*'Когорты'!T8*(1+'Воздействие'!H24*N84)</x:f>
        <x:v>246998.33820947915</x:v>
      </x:c>
      <x:c r="X84" s="12">
        <x:f>R84*'Когорты'!T8*(1+'Воздействие'!H24*N84)</x:f>
        <x:v>0</x:v>
      </x:c>
      <x:c r="Y84" s="12">
        <x:f>W84+X84*S84</x:f>
        <x:v>246998.33820947915</x:v>
      </x:c>
      <x:c r="Z84" s="12">
        <x:f>F84*N84</x:f>
        <x:v>0</x:v>
      </x:c>
      <x:c r="AA84" s="12">
        <x:f>J84*D84</x:f>
        <x:v>0</x:v>
      </x:c>
      <x:c r="AB84" s="12">
        <x:f>Q84*D84</x:f>
        <x:v>0</x:v>
      </x:c>
      <x:c r="AC84" s="12">
        <x:f>R84*D84</x:f>
        <x:v>0</x:v>
      </x:c>
      <x:c r="AD84" s="12">
        <x:f>J84*E84</x:f>
        <x:v>0</x:v>
      </x:c>
      <x:c r="AE84" s="12">
        <x:f>Q84*E84</x:f>
        <x:v>0</x:v>
      </x:c>
      <x:c r="AF84" s="12">
        <x:f>R84*E84</x:f>
        <x:v>0</x:v>
      </x:c>
      <x:c r="AG84" s="1">
        <x:f>IF(AND(I84&gt;=0,I84&lt;=1,Q84+R84&lt;=F84+0.00000001,N84&gt;=0,N84&lt;=1),1,0)</x:f>
        <x:v>1</x:v>
      </x:c>
      <x:c r="AH84" s="1"/>
      <x:c r="AI84" s="1"/>
    </x:row>
    <x:row r="85" ht="24" customHeight="1">
      <x:c r="A85" s="1" t="str">
        <x:v>H6.1</x:v>
      </x:c>
      <x:c r="B85" s="1" t="str">
        <x:v>S1</x:v>
      </x:c>
      <x:c r="C85" s="1" t="str">
        <x:v>Только C</x:v>
      </x:c>
      <x:c r="D85" s="1" t="n">
        <x:v>1</x:v>
      </x:c>
      <x:c r="E85" s="1" t="n">
        <x:v>0</x:v>
      </x:c>
      <x:c r="F85" s="12">
        <x:f>'Когорты'!D5*'Когорты'!L5</x:f>
        <x:v>6726719.9999999991</x:v>
      </x:c>
      <x:c r="G85" s="8">
        <x:f>'Когорты'!F5</x:f>
        <x:v>0.23099999999999998</x:v>
      </x:c>
      <x:c r="H85" s="1">
        <x:f>'Когорты'!O5</x:f>
        <x:v>1.5</x:v>
      </x:c>
      <x:c r="I85" s="8">
        <x:f>IF('Когорты'!S5&gt;0,G85*H85/'Когорты'!S5,0)</x:f>
        <x:v>0.33791691047396133</x:v>
      </x:c>
      <x:c r="J85" s="1">
        <x:f>F85*I85</x:f>
        <x:v>2273072.440023405</x:v>
      </x:c>
      <x:c r="K85" s="8">
        <x:f>'Воздействие'!C25*D85</x:f>
        <x:v>0</x:v>
      </x:c>
      <x:c r="L85" s="8">
        <x:f>'Воздействие'!D25*E85</x:f>
        <x:v>0</x:v>
      </x:c>
      <x:c r="M85" s="8">
        <x:f>'Воздействие'!E25*D85*E85</x:f>
        <x:v>0</x:v>
      </x:c>
      <x:c r="N85" s="8">
        <x:f>K85+L85-M85</x:f>
        <x:v>0</x:v>
      </x:c>
      <x:c r="O85" s="1">
        <x:f>J85*'Параметры'!$B$10*N85</x:f>
        <x:v>0</x:v>
      </x:c>
      <x:c r="P85" s="8">
        <x:f>(1-'Воздействие'!F25*D85)*(1-'Воздействие'!G25*E85)</x:f>
        <x:v>1</x:v>
      </x:c>
      <x:c r="Q85" s="1">
        <x:f>J85*P85</x:f>
        <x:v>2273072.440023405</x:v>
      </x:c>
      <x:c r="R85" s="1">
        <x:f>O85*P85</x:f>
        <x:v>0</x:v>
      </x:c>
      <x:c r="S85" s="8">
        <x:f>(1-'Гипотезы'!D10)*(1-'Гипотезы'!E10)</x:f>
        <x:v>0.5625</x:v>
      </x:c>
      <x:c r="T85" s="12">
        <x:f>Q85+R85*S85</x:f>
        <x:v>2273072.440023405</x:v>
      </x:c>
      <x:c r="U85" s="12">
        <x:f>T85-J85</x:f>
        <x:v>0</x:v>
      </x:c>
      <x:c r="V85" s="12">
        <x:f>J85*'Когорты'!T5</x:f>
        <x:v>2273072.440023405</x:v>
      </x:c>
      <x:c r="W85" s="12">
        <x:f>Q85*'Когорты'!T5*(1+'Воздействие'!H25*N85)</x:f>
        <x:v>2273072.440023405</x:v>
      </x:c>
      <x:c r="X85" s="12">
        <x:f>R85*'Когорты'!T5*(1+'Воздействие'!H25*N85)</x:f>
        <x:v>0</x:v>
      </x:c>
      <x:c r="Y85" s="12">
        <x:f>W85+X85*S85</x:f>
        <x:v>2273072.440023405</x:v>
      </x:c>
      <x:c r="Z85" s="12">
        <x:f>F85*N85</x:f>
        <x:v>0</x:v>
      </x:c>
      <x:c r="AA85" s="12">
        <x:f>J85*D85</x:f>
        <x:v>2273072.440023405</x:v>
      </x:c>
      <x:c r="AB85" s="12">
        <x:f>Q85*D85</x:f>
        <x:v>2273072.440023405</x:v>
      </x:c>
      <x:c r="AC85" s="12">
        <x:f>R85*D85</x:f>
        <x:v>0</x:v>
      </x:c>
      <x:c r="AD85" s="12">
        <x:f>J85*E85</x:f>
        <x:v>0</x:v>
      </x:c>
      <x:c r="AE85" s="12">
        <x:f>Q85*E85</x:f>
        <x:v>0</x:v>
      </x:c>
      <x:c r="AF85" s="12">
        <x:f>R85*E85</x:f>
        <x:v>0</x:v>
      </x:c>
      <x:c r="AG85" s="1">
        <x:f>IF(AND(I85&gt;=0,I85&lt;=1,Q85+R85&lt;=F85+0.00000001,N85&gt;=0,N85&lt;=1),1,0)</x:f>
        <x:v>1</x:v>
      </x:c>
      <x:c r="AH85" s="1"/>
      <x:c r="AI85" s="1"/>
    </x:row>
    <x:row r="86" ht="24" customHeight="1">
      <x:c r="A86" s="1" t="str">
        <x:v>H6.1</x:v>
      </x:c>
      <x:c r="B86" s="1" t="str">
        <x:v>S1</x:v>
      </x:c>
      <x:c r="C86" s="1" t="str">
        <x:v>Только F</x:v>
      </x:c>
      <x:c r="D86" s="1" t="n">
        <x:v>0</x:v>
      </x:c>
      <x:c r="E86" s="1" t="n">
        <x:v>1</x:v>
      </x:c>
      <x:c r="F86" s="12">
        <x:f>'Когорты'!D5*'Когорты'!M5</x:f>
        <x:v>320319.99999999988</x:v>
      </x:c>
      <x:c r="G86" s="8">
        <x:f>'Когорты'!F5</x:f>
        <x:v>0.23099999999999998</x:v>
      </x:c>
      <x:c r="H86" s="1">
        <x:f>'Когорты'!P5</x:f>
        <x:v>0.20000000000000001</x:v>
      </x:c>
      <x:c r="I86" s="8">
        <x:f>IF('Когорты'!S5&gt;0,G86*H86/'Когорты'!S5,0)</x:f>
        <x:v>0.045055588063194846</x:v>
      </x:c>
      <x:c r="J86" s="1">
        <x:f>F86*I86</x:f>
        <x:v>14432.205968402568</x:v>
      </x:c>
      <x:c r="K86" s="8">
        <x:f>'Воздействие'!C25*D86</x:f>
        <x:v>0</x:v>
      </x:c>
      <x:c r="L86" s="8">
        <x:f>'Воздействие'!D25*E86</x:f>
        <x:v>0.29999999999999999</x:v>
      </x:c>
      <x:c r="M86" s="8">
        <x:f>'Воздействие'!E25*D86*E86</x:f>
        <x:v>0</x:v>
      </x:c>
      <x:c r="N86" s="8">
        <x:f>K86+L86-M86</x:f>
        <x:v>0.29999999999999999</x:v>
      </x:c>
      <x:c r="O86" s="1">
        <x:f>J86*'Параметры'!$B$10*N86</x:f>
        <x:v>432.96617905207705</x:v>
      </x:c>
      <x:c r="P86" s="8">
        <x:f>(1-'Воздействие'!F25*D86)*(1-'Воздействие'!G25*E86)</x:f>
        <x:v>1</x:v>
      </x:c>
      <x:c r="Q86" s="1">
        <x:f>J86*P86</x:f>
        <x:v>14432.205968402568</x:v>
      </x:c>
      <x:c r="R86" s="1">
        <x:f>O86*P86</x:f>
        <x:v>432.96617905207705</x:v>
      </x:c>
      <x:c r="S86" s="8">
        <x:f>(1-'Гипотезы'!D10)*(1-'Гипотезы'!E10)</x:f>
        <x:v>0.5625</x:v>
      </x:c>
      <x:c r="T86" s="12">
        <x:f>Q86+R86*S86</x:f>
        <x:v>14675.749444119361</x:v>
      </x:c>
      <x:c r="U86" s="12">
        <x:f>T86-J86</x:f>
        <x:v>243.54347571679318</x:v>
      </x:c>
      <x:c r="V86" s="12">
        <x:f>J86*'Когорты'!T5</x:f>
        <x:v>14432.205968402568</x:v>
      </x:c>
      <x:c r="W86" s="12">
        <x:f>Q86*'Когорты'!T5*(1+'Воздействие'!H25*N86)</x:f>
        <x:v>14432.205968402568</x:v>
      </x:c>
      <x:c r="X86" s="12">
        <x:f>R86*'Когорты'!T5*(1+'Воздействие'!H25*N86)</x:f>
        <x:v>432.96617905207705</x:v>
      </x:c>
      <x:c r="Y86" s="12">
        <x:f>W86+X86*S86</x:f>
        <x:v>14675.749444119361</x:v>
      </x:c>
      <x:c r="Z86" s="12">
        <x:f>F86*N86</x:f>
        <x:v>96095.999999999956</x:v>
      </x:c>
      <x:c r="AA86" s="12">
        <x:f>J86*D86</x:f>
        <x:v>0</x:v>
      </x:c>
      <x:c r="AB86" s="12">
        <x:f>Q86*D86</x:f>
        <x:v>0</x:v>
      </x:c>
      <x:c r="AC86" s="12">
        <x:f>R86*D86</x:f>
        <x:v>0</x:v>
      </x:c>
      <x:c r="AD86" s="12">
        <x:f>J86*E86</x:f>
        <x:v>14432.205968402568</x:v>
      </x:c>
      <x:c r="AE86" s="12">
        <x:f>Q86*E86</x:f>
        <x:v>14432.205968402568</x:v>
      </x:c>
      <x:c r="AF86" s="12">
        <x:f>R86*E86</x:f>
        <x:v>432.96617905207705</x:v>
      </x:c>
      <x:c r="AG86" s="1">
        <x:f>IF(AND(I86&gt;=0,I86&lt;=1,Q86+R86&lt;=F86+0.00000001,N86&gt;=0,N86&lt;=1),1,0)</x:f>
        <x:v>1</x:v>
      </x:c>
      <x:c r="AH86" s="1"/>
      <x:c r="AI86" s="1"/>
    </x:row>
    <x:row r="87" ht="24" customHeight="1">
      <x:c r="A87" s="1" t="str">
        <x:v>H6.1</x:v>
      </x:c>
      <x:c r="B87" s="1" t="str">
        <x:v>S1</x:v>
      </x:c>
      <x:c r="C87" s="1" t="str">
        <x:v>Оба</x:v>
      </x:c>
      <x:c r="D87" s="1" t="n">
        <x:v>1</x:v>
      </x:c>
      <x:c r="E87" s="1" t="n">
        <x:v>1</x:v>
      </x:c>
      <x:c r="F87" s="12">
        <x:f>'Когорты'!D5*'Когорты'!K5</x:f>
        <x:v>1281280</x:v>
      </x:c>
      <x:c r="G87" s="8">
        <x:f>'Когорты'!F5</x:f>
        <x:v>0.23099999999999998</x:v>
      </x:c>
      <x:c r="H87" s="1">
        <x:f>'Когорты'!Q5</x:f>
        <x:v>1</x:v>
      </x:c>
      <x:c r="I87" s="8">
        <x:f>IF('Когорты'!S5&gt;0,G87*H87/'Когорты'!S5,0)</x:f>
        <x:v>0.22527794031597423</x:v>
      </x:c>
      <x:c r="J87" s="1">
        <x:f>F87*I87</x:f>
        <x:v>288644.11936805147</x:v>
      </x:c>
      <x:c r="K87" s="8">
        <x:f>'Воздействие'!C25*D87</x:f>
        <x:v>0</x:v>
      </x:c>
      <x:c r="L87" s="8">
        <x:f>'Воздействие'!D25*E87</x:f>
        <x:v>0.29999999999999999</x:v>
      </x:c>
      <x:c r="M87" s="8">
        <x:f>'Воздействие'!E25*D87*E87</x:f>
        <x:v>0</x:v>
      </x:c>
      <x:c r="N87" s="8">
        <x:f>K87+L87-M87</x:f>
        <x:v>0.29999999999999999</x:v>
      </x:c>
      <x:c r="O87" s="1">
        <x:f>J87*'Параметры'!$B$10*N87</x:f>
        <x:v>8659.3235810415445</x:v>
      </x:c>
      <x:c r="P87" s="8">
        <x:f>(1-'Воздействие'!F25*D87)*(1-'Воздействие'!G25*E87)</x:f>
        <x:v>1</x:v>
      </x:c>
      <x:c r="Q87" s="1">
        <x:f>J87*P87</x:f>
        <x:v>288644.11936805147</x:v>
      </x:c>
      <x:c r="R87" s="1">
        <x:f>O87*P87</x:f>
        <x:v>8659.3235810415445</x:v>
      </x:c>
      <x:c r="S87" s="8">
        <x:f>(1-'Гипотезы'!D10)*(1-'Гипотезы'!E10)</x:f>
        <x:v>0.5625</x:v>
      </x:c>
      <x:c r="T87" s="12">
        <x:f>Q87+R87*S87</x:f>
        <x:v>293514.98888238735</x:v>
      </x:c>
      <x:c r="U87" s="12">
        <x:f>T87-J87</x:f>
        <x:v>4870.8695143358782</x:v>
      </x:c>
      <x:c r="V87" s="12">
        <x:f>J87*'Когорты'!T5</x:f>
        <x:v>288644.11936805147</x:v>
      </x:c>
      <x:c r="W87" s="12">
        <x:f>Q87*'Когорты'!T5*(1+'Воздействие'!H25*N87)</x:f>
        <x:v>288644.11936805147</x:v>
      </x:c>
      <x:c r="X87" s="12">
        <x:f>R87*'Когорты'!T5*(1+'Воздействие'!H25*N87)</x:f>
        <x:v>8659.3235810415445</x:v>
      </x:c>
      <x:c r="Y87" s="12">
        <x:f>W87+X87*S87</x:f>
        <x:v>293514.98888238735</x:v>
      </x:c>
      <x:c r="Z87" s="12">
        <x:f>F87*N87</x:f>
        <x:v>384384</x:v>
      </x:c>
      <x:c r="AA87" s="12">
        <x:f>J87*D87</x:f>
        <x:v>288644.11936805147</x:v>
      </x:c>
      <x:c r="AB87" s="12">
        <x:f>Q87*D87</x:f>
        <x:v>288644.11936805147</x:v>
      </x:c>
      <x:c r="AC87" s="12">
        <x:f>R87*D87</x:f>
        <x:v>8659.3235810415445</x:v>
      </x:c>
      <x:c r="AD87" s="12">
        <x:f>J87*E87</x:f>
        <x:v>288644.11936805147</x:v>
      </x:c>
      <x:c r="AE87" s="12">
        <x:f>Q87*E87</x:f>
        <x:v>288644.11936805147</x:v>
      </x:c>
      <x:c r="AF87" s="12">
        <x:f>R87*E87</x:f>
        <x:v>8659.3235810415445</x:v>
      </x:c>
      <x:c r="AG87" s="1">
        <x:f>IF(AND(I87&gt;=0,I87&lt;=1,Q87+R87&lt;=F87+0.00000001,N87&gt;=0,N87&lt;=1),1,0)</x:f>
        <x:v>1</x:v>
      </x:c>
      <x:c r="AH87" s="1"/>
      <x:c r="AI87" s="1"/>
    </x:row>
    <x:row r="88" ht="24" customHeight="1">
      <x:c r="A88" s="1" t="str">
        <x:v>H6.1</x:v>
      </x:c>
      <x:c r="B88" s="1" t="str">
        <x:v>S1</x:v>
      </x:c>
      <x:c r="C88" s="1" t="str">
        <x:v>Ни один</x:v>
      </x:c>
      <x:c r="D88" s="1" t="n">
        <x:v>0</x:v>
      </x:c>
      <x:c r="E88" s="1" t="n">
        <x:v>0</x:v>
      </x:c>
      <x:c r="F88" s="12">
        <x:f>'Когорты'!D5*'Когорты'!N5</x:f>
        <x:v>3991679.9999999991</x:v>
      </x:c>
      <x:c r="G88" s="8">
        <x:f>'Когорты'!F5</x:f>
        <x:v>0.23099999999999998</x:v>
      </x:c>
      <x:c r="H88" s="1">
        <x:f>'Когорты'!R5</x:f>
        <x:v>0.29999999999999999</x:v>
      </x:c>
      <x:c r="I88" s="8">
        <x:f>IF('Когорты'!S5&gt;0,G88*H88/'Когорты'!S5,0)</x:f>
        <x:v>0.067583382094792255</x:v>
      </x:c>
      <x:c r="J88" s="1">
        <x:f>F88*I88</x:f>
        <x:v>269771.23464014026</x:v>
      </x:c>
      <x:c r="K88" s="8">
        <x:f>'Воздействие'!C25*D88</x:f>
        <x:v>0</x:v>
      </x:c>
      <x:c r="L88" s="8">
        <x:f>'Воздействие'!D25*E88</x:f>
        <x:v>0</x:v>
      </x:c>
      <x:c r="M88" s="8">
        <x:f>'Воздействие'!E25*D88*E88</x:f>
        <x:v>0</x:v>
      </x:c>
      <x:c r="N88" s="8">
        <x:f>K88+L88-M88</x:f>
        <x:v>0</x:v>
      </x:c>
      <x:c r="O88" s="1">
        <x:f>J88*'Параметры'!$B$10*N88</x:f>
        <x:v>0</x:v>
      </x:c>
      <x:c r="P88" s="8">
        <x:f>(1-'Воздействие'!F25*D88)*(1-'Воздействие'!G25*E88)</x:f>
        <x:v>1</x:v>
      </x:c>
      <x:c r="Q88" s="1">
        <x:f>J88*P88</x:f>
        <x:v>269771.23464014026</x:v>
      </x:c>
      <x:c r="R88" s="1">
        <x:f>O88*P88</x:f>
        <x:v>0</x:v>
      </x:c>
      <x:c r="S88" s="8">
        <x:f>(1-'Гипотезы'!D10)*(1-'Гипотезы'!E10)</x:f>
        <x:v>0.5625</x:v>
      </x:c>
      <x:c r="T88" s="12">
        <x:f>Q88+R88*S88</x:f>
        <x:v>269771.23464014026</x:v>
      </x:c>
      <x:c r="U88" s="12">
        <x:f>T88-J88</x:f>
        <x:v>0</x:v>
      </x:c>
      <x:c r="V88" s="12">
        <x:f>J88*'Когорты'!T5</x:f>
        <x:v>269771.23464014026</x:v>
      </x:c>
      <x:c r="W88" s="12">
        <x:f>Q88*'Когорты'!T5*(1+'Воздействие'!H25*N88)</x:f>
        <x:v>269771.23464014026</x:v>
      </x:c>
      <x:c r="X88" s="12">
        <x:f>R88*'Когорты'!T5*(1+'Воздействие'!H25*N88)</x:f>
        <x:v>0</x:v>
      </x:c>
      <x:c r="Y88" s="12">
        <x:f>W88+X88*S88</x:f>
        <x:v>269771.23464014026</x:v>
      </x:c>
      <x:c r="Z88" s="12">
        <x:f>F88*N88</x:f>
        <x:v>0</x:v>
      </x:c>
      <x:c r="AA88" s="12">
        <x:f>J88*D88</x:f>
        <x:v>0</x:v>
      </x:c>
      <x:c r="AB88" s="12">
        <x:f>Q88*D88</x:f>
        <x:v>0</x:v>
      </x:c>
      <x:c r="AC88" s="12">
        <x:f>R88*D88</x:f>
        <x:v>0</x:v>
      </x:c>
      <x:c r="AD88" s="12">
        <x:f>J88*E88</x:f>
        <x:v>0</x:v>
      </x:c>
      <x:c r="AE88" s="12">
        <x:f>Q88*E88</x:f>
        <x:v>0</x:v>
      </x:c>
      <x:c r="AF88" s="12">
        <x:f>R88*E88</x:f>
        <x:v>0</x:v>
      </x:c>
      <x:c r="AG88" s="1">
        <x:f>IF(AND(I88&gt;=0,I88&lt;=1,Q88+R88&lt;=F88+0.00000001,N88&gt;=0,N88&lt;=1),1,0)</x:f>
        <x:v>1</x:v>
      </x:c>
      <x:c r="AH88" s="1"/>
      <x:c r="AI88" s="1"/>
    </x:row>
    <x:row r="89" ht="24" customHeight="1">
      <x:c r="A89" s="1" t="str">
        <x:v>H6.1</x:v>
      </x:c>
      <x:c r="B89" s="1" t="str">
        <x:v>S2</x:v>
      </x:c>
      <x:c r="C89" s="1" t="str">
        <x:v>Только C</x:v>
      </x:c>
      <x:c r="D89" s="1" t="n">
        <x:v>1</x:v>
      </x:c>
      <x:c r="E89" s="1" t="n">
        <x:v>0</x:v>
      </x:c>
      <x:c r="F89" s="12">
        <x:f>'Когорты'!D6*'Когорты'!L6</x:f>
        <x:v>2882880</x:v>
      </x:c>
      <x:c r="G89" s="8">
        <x:f>'Когорты'!F6</x:f>
        <x:v>0.14099999999999999</x:v>
      </x:c>
      <x:c r="H89" s="1">
        <x:f>'Когорты'!O6</x:f>
        <x:v>1.5</x:v>
      </x:c>
      <x:c r="I89" s="8">
        <x:f>IF('Когорты'!S6&gt;0,G89*H89/'Когорты'!S6,0)</x:f>
        <x:v>0.2062609713282621</x:v>
      </x:c>
      <x:c r="J89" s="1">
        <x:f>F89*I89</x:f>
        <x:v>594625.62902282027</x:v>
      </x:c>
      <x:c r="K89" s="8">
        <x:f>'Воздействие'!C26*D89</x:f>
        <x:v>0</x:v>
      </x:c>
      <x:c r="L89" s="8">
        <x:f>'Воздействие'!D26*E89</x:f>
        <x:v>0</x:v>
      </x:c>
      <x:c r="M89" s="8">
        <x:f>'Воздействие'!E26*D89*E89</x:f>
        <x:v>0</x:v>
      </x:c>
      <x:c r="N89" s="8">
        <x:f>K89+L89-M89</x:f>
        <x:v>0</x:v>
      </x:c>
      <x:c r="O89" s="1">
        <x:f>J89*'Параметры'!$B$10*N89</x:f>
        <x:v>0</x:v>
      </x:c>
      <x:c r="P89" s="8">
        <x:f>(1-'Воздействие'!F26*D89)*(1-'Воздействие'!G26*E89)</x:f>
        <x:v>1</x:v>
      </x:c>
      <x:c r="Q89" s="1">
        <x:f>J89*P89</x:f>
        <x:v>594625.62902282027</x:v>
      </x:c>
      <x:c r="R89" s="1">
        <x:f>O89*P89</x:f>
        <x:v>0</x:v>
      </x:c>
      <x:c r="S89" s="8">
        <x:f>(1-'Гипотезы'!D10)*(1-'Гипотезы'!E10)</x:f>
        <x:v>0.5625</x:v>
      </x:c>
      <x:c r="T89" s="12">
        <x:f>Q89+R89*S89</x:f>
        <x:v>594625.62902282027</x:v>
      </x:c>
      <x:c r="U89" s="12">
        <x:f>T89-J89</x:f>
        <x:v>0</x:v>
      </x:c>
      <x:c r="V89" s="12">
        <x:f>J89*'Когорты'!T6</x:f>
        <x:v>594625.62902282027</x:v>
      </x:c>
      <x:c r="W89" s="12">
        <x:f>Q89*'Когорты'!T6*(1+'Воздействие'!H26*N89)</x:f>
        <x:v>594625.62902282027</x:v>
      </x:c>
      <x:c r="X89" s="12">
        <x:f>R89*'Когорты'!T6*(1+'Воздействие'!H26*N89)</x:f>
        <x:v>0</x:v>
      </x:c>
      <x:c r="Y89" s="12">
        <x:f>W89+X89*S89</x:f>
        <x:v>594625.62902282027</x:v>
      </x:c>
      <x:c r="Z89" s="12">
        <x:f>F89*N89</x:f>
        <x:v>0</x:v>
      </x:c>
      <x:c r="AA89" s="12">
        <x:f>J89*D89</x:f>
        <x:v>594625.62902282027</x:v>
      </x:c>
      <x:c r="AB89" s="12">
        <x:f>Q89*D89</x:f>
        <x:v>594625.62902282027</x:v>
      </x:c>
      <x:c r="AC89" s="12">
        <x:f>R89*D89</x:f>
        <x:v>0</x:v>
      </x:c>
      <x:c r="AD89" s="12">
        <x:f>J89*E89</x:f>
        <x:v>0</x:v>
      </x:c>
      <x:c r="AE89" s="12">
        <x:f>Q89*E89</x:f>
        <x:v>0</x:v>
      </x:c>
      <x:c r="AF89" s="12">
        <x:f>R89*E89</x:f>
        <x:v>0</x:v>
      </x:c>
      <x:c r="AG89" s="1">
        <x:f>IF(AND(I89&gt;=0,I89&lt;=1,Q89+R89&lt;=F89+0.00000001,N89&gt;=0,N89&lt;=1),1,0)</x:f>
        <x:v>1</x:v>
      </x:c>
      <x:c r="AH89" s="1"/>
      <x:c r="AI89" s="1"/>
    </x:row>
    <x:row r="90" ht="24" customHeight="1">
      <x:c r="A90" s="1" t="str">
        <x:v>H6.1</x:v>
      </x:c>
      <x:c r="B90" s="1" t="str">
        <x:v>S2</x:v>
      </x:c>
      <x:c r="C90" s="1" t="str">
        <x:v>Только F</x:v>
      </x:c>
      <x:c r="D90" s="1" t="n">
        <x:v>0</x:v>
      </x:c>
      <x:c r="E90" s="1" t="n">
        <x:v>1</x:v>
      </x:c>
      <x:c r="F90" s="12">
        <x:f>'Когорты'!D6*'Когорты'!M6</x:f>
        <x:v>137279.99999999997</x:v>
      </x:c>
      <x:c r="G90" s="8">
        <x:f>'Когорты'!F6</x:f>
        <x:v>0.14099999999999999</x:v>
      </x:c>
      <x:c r="H90" s="1">
        <x:f>'Когорты'!P6</x:f>
        <x:v>0.20000000000000001</x:v>
      </x:c>
      <x:c r="I90" s="8">
        <x:f>IF('Когорты'!S6&gt;0,G90*H90/'Когорты'!S6,0)</x:f>
        <x:v>0.027501462843768282</x:v>
      </x:c>
      <x:c r="J90" s="1">
        <x:f>F90*I90</x:f>
        <x:v>3775.4008191925091</x:v>
      </x:c>
      <x:c r="K90" s="8">
        <x:f>'Воздействие'!C26*D90</x:f>
        <x:v>0</x:v>
      </x:c>
      <x:c r="L90" s="8">
        <x:f>'Воздействие'!D26*E90</x:f>
        <x:v>0.29999999999999999</x:v>
      </x:c>
      <x:c r="M90" s="8">
        <x:f>'Воздействие'!E26*D90*E90</x:f>
        <x:v>0</x:v>
      </x:c>
      <x:c r="N90" s="8">
        <x:f>K90+L90-M90</x:f>
        <x:v>0.29999999999999999</x:v>
      </x:c>
      <x:c r="O90" s="1">
        <x:f>J90*'Параметры'!$B$10*N90</x:f>
        <x:v>113.26202457577529</x:v>
      </x:c>
      <x:c r="P90" s="8">
        <x:f>(1-'Воздействие'!F26*D90)*(1-'Воздействие'!G26*E90)</x:f>
        <x:v>1</x:v>
      </x:c>
      <x:c r="Q90" s="1">
        <x:f>J90*P90</x:f>
        <x:v>3775.4008191925091</x:v>
      </x:c>
      <x:c r="R90" s="1">
        <x:f>O90*P90</x:f>
        <x:v>113.26202457577529</x:v>
      </x:c>
      <x:c r="S90" s="8">
        <x:f>(1-'Гипотезы'!D10)*(1-'Гипотезы'!E10)</x:f>
        <x:v>0.5625</x:v>
      </x:c>
      <x:c r="T90" s="12">
        <x:f>Q90+R90*S90</x:f>
        <x:v>3839.1107080163829</x:v>
      </x:c>
      <x:c r="U90" s="12">
        <x:f>T90-J90</x:f>
        <x:v>63.709888823873825</x:v>
      </x:c>
      <x:c r="V90" s="12">
        <x:f>J90*'Когорты'!T6</x:f>
        <x:v>3775.4008191925091</x:v>
      </x:c>
      <x:c r="W90" s="12">
        <x:f>Q90*'Когорты'!T6*(1+'Воздействие'!H26*N90)</x:f>
        <x:v>3775.4008191925091</x:v>
      </x:c>
      <x:c r="X90" s="12">
        <x:f>R90*'Когорты'!T6*(1+'Воздействие'!H26*N90)</x:f>
        <x:v>113.26202457577529</x:v>
      </x:c>
      <x:c r="Y90" s="12">
        <x:f>W90+X90*S90</x:f>
        <x:v>3839.1107080163829</x:v>
      </x:c>
      <x:c r="Z90" s="12">
        <x:f>F90*N90</x:f>
        <x:v>41183.999999999993</x:v>
      </x:c>
      <x:c r="AA90" s="12">
        <x:f>J90*D90</x:f>
        <x:v>0</x:v>
      </x:c>
      <x:c r="AB90" s="12">
        <x:f>Q90*D90</x:f>
        <x:v>0</x:v>
      </x:c>
      <x:c r="AC90" s="12">
        <x:f>R90*D90</x:f>
        <x:v>0</x:v>
      </x:c>
      <x:c r="AD90" s="12">
        <x:f>J90*E90</x:f>
        <x:v>3775.4008191925091</x:v>
      </x:c>
      <x:c r="AE90" s="12">
        <x:f>Q90*E90</x:f>
        <x:v>3775.4008191925091</x:v>
      </x:c>
      <x:c r="AF90" s="12">
        <x:f>R90*E90</x:f>
        <x:v>113.26202457577529</x:v>
      </x:c>
      <x:c r="AG90" s="1">
        <x:f>IF(AND(I90&gt;=0,I90&lt;=1,Q90+R90&lt;=F90+0.00000001,N90&gt;=0,N90&lt;=1),1,0)</x:f>
        <x:v>1</x:v>
      </x:c>
      <x:c r="AH90" s="1"/>
      <x:c r="AI90" s="1"/>
    </x:row>
    <x:row r="91" ht="24" customHeight="1">
      <x:c r="A91" s="1" t="str">
        <x:v>H6.1</x:v>
      </x:c>
      <x:c r="B91" s="1" t="str">
        <x:v>S2</x:v>
      </x:c>
      <x:c r="C91" s="1" t="str">
        <x:v>Оба</x:v>
      </x:c>
      <x:c r="D91" s="1" t="n">
        <x:v>1</x:v>
      </x:c>
      <x:c r="E91" s="1" t="n">
        <x:v>1</x:v>
      </x:c>
      <x:c r="F91" s="12">
        <x:f>'Когорты'!D6*'Когорты'!K6</x:f>
        <x:v>549120</x:v>
      </x:c>
      <x:c r="G91" s="8">
        <x:f>'Когорты'!F6</x:f>
        <x:v>0.14099999999999999</x:v>
      </x:c>
      <x:c r="H91" s="1">
        <x:f>'Когорты'!Q6</x:f>
        <x:v>1</x:v>
      </x:c>
      <x:c r="I91" s="8">
        <x:f>IF('Когорты'!S6&gt;0,G91*H91/'Когорты'!S6,0)</x:f>
        <x:v>0.13750731421884141</x:v>
      </x:c>
      <x:c r="J91" s="1">
        <x:f>F91*I91</x:f>
        <x:v>75508.01638385019</x:v>
      </x:c>
      <x:c r="K91" s="8">
        <x:f>'Воздействие'!C26*D91</x:f>
        <x:v>0</x:v>
      </x:c>
      <x:c r="L91" s="8">
        <x:f>'Воздействие'!D26*E91</x:f>
        <x:v>0.29999999999999999</x:v>
      </x:c>
      <x:c r="M91" s="8">
        <x:f>'Воздействие'!E26*D91*E91</x:f>
        <x:v>0</x:v>
      </x:c>
      <x:c r="N91" s="8">
        <x:f>K91+L91-M91</x:f>
        <x:v>0.29999999999999999</x:v>
      </x:c>
      <x:c r="O91" s="1">
        <x:f>J91*'Параметры'!$B$10*N91</x:f>
        <x:v>2265.2404915155057</x:v>
      </x:c>
      <x:c r="P91" s="8">
        <x:f>(1-'Воздействие'!F26*D91)*(1-'Воздействие'!G26*E91)</x:f>
        <x:v>1</x:v>
      </x:c>
      <x:c r="Q91" s="1">
        <x:f>J91*P91</x:f>
        <x:v>75508.01638385019</x:v>
      </x:c>
      <x:c r="R91" s="1">
        <x:f>O91*P91</x:f>
        <x:v>2265.2404915155057</x:v>
      </x:c>
      <x:c r="S91" s="8">
        <x:f>(1-'Гипотезы'!D10)*(1-'Гипотезы'!E10)</x:f>
        <x:v>0.5625</x:v>
      </x:c>
      <x:c r="T91" s="12">
        <x:f>Q91+R91*S91</x:f>
        <x:v>76782.214160327669</x:v>
      </x:c>
      <x:c r="U91" s="12">
        <x:f>T91-J91</x:f>
        <x:v>1274.1977764774783</x:v>
      </x:c>
      <x:c r="V91" s="12">
        <x:f>J91*'Когорты'!T6</x:f>
        <x:v>75508.01638385019</x:v>
      </x:c>
      <x:c r="W91" s="12">
        <x:f>Q91*'Когорты'!T6*(1+'Воздействие'!H26*N91)</x:f>
        <x:v>75508.01638385019</x:v>
      </x:c>
      <x:c r="X91" s="12">
        <x:f>R91*'Когорты'!T6*(1+'Воздействие'!H26*N91)</x:f>
        <x:v>2265.2404915155057</x:v>
      </x:c>
      <x:c r="Y91" s="12">
        <x:f>W91+X91*S91</x:f>
        <x:v>76782.214160327669</x:v>
      </x:c>
      <x:c r="Z91" s="12">
        <x:f>F91*N91</x:f>
        <x:v>164736</x:v>
      </x:c>
      <x:c r="AA91" s="12">
        <x:f>J91*D91</x:f>
        <x:v>75508.01638385019</x:v>
      </x:c>
      <x:c r="AB91" s="12">
        <x:f>Q91*D91</x:f>
        <x:v>75508.01638385019</x:v>
      </x:c>
      <x:c r="AC91" s="12">
        <x:f>R91*D91</x:f>
        <x:v>2265.2404915155057</x:v>
      </x:c>
      <x:c r="AD91" s="12">
        <x:f>J91*E91</x:f>
        <x:v>75508.01638385019</x:v>
      </x:c>
      <x:c r="AE91" s="12">
        <x:f>Q91*E91</x:f>
        <x:v>75508.01638385019</x:v>
      </x:c>
      <x:c r="AF91" s="12">
        <x:f>R91*E91</x:f>
        <x:v>2265.2404915155057</x:v>
      </x:c>
      <x:c r="AG91" s="1">
        <x:f>IF(AND(I91&gt;=0,I91&lt;=1,Q91+R91&lt;=F91+0.00000001,N91&gt;=0,N91&lt;=1),1,0)</x:f>
        <x:v>1</x:v>
      </x:c>
      <x:c r="AH91" s="1"/>
      <x:c r="AI91" s="1"/>
    </x:row>
    <x:row r="92" ht="24" customHeight="1">
      <x:c r="A92" s="1" t="str">
        <x:v>H6.1</x:v>
      </x:c>
      <x:c r="B92" s="1" t="str">
        <x:v>S2</x:v>
      </x:c>
      <x:c r="C92" s="1" t="str">
        <x:v>Ни один</x:v>
      </x:c>
      <x:c r="D92" s="1" t="n">
        <x:v>0</x:v>
      </x:c>
      <x:c r="E92" s="1" t="n">
        <x:v>0</x:v>
      </x:c>
      <x:c r="F92" s="12">
        <x:f>'Когорты'!D6*'Когорты'!N6</x:f>
        <x:v>1710719.9999999998</x:v>
      </x:c>
      <x:c r="G92" s="8">
        <x:f>'Когорты'!F6</x:f>
        <x:v>0.14099999999999999</x:v>
      </x:c>
      <x:c r="H92" s="1">
        <x:f>'Когорты'!R6</x:f>
        <x:v>0.29999999999999999</x:v>
      </x:c>
      <x:c r="I92" s="8">
        <x:f>IF('Когорты'!S6&gt;0,G92*H92/'Когорты'!S6,0)</x:f>
        <x:v>0.041252194265652423</x:v>
      </x:c>
      <x:c r="J92" s="1">
        <x:f>F92*I92</x:f>
        <x:v>70570.953774136899</x:v>
      </x:c>
      <x:c r="K92" s="8">
        <x:f>'Воздействие'!C26*D92</x:f>
        <x:v>0</x:v>
      </x:c>
      <x:c r="L92" s="8">
        <x:f>'Воздействие'!D26*E92</x:f>
        <x:v>0</x:v>
      </x:c>
      <x:c r="M92" s="8">
        <x:f>'Воздействие'!E26*D92*E92</x:f>
        <x:v>0</x:v>
      </x:c>
      <x:c r="N92" s="8">
        <x:f>K92+L92-M92</x:f>
        <x:v>0</x:v>
      </x:c>
      <x:c r="O92" s="1">
        <x:f>J92*'Параметры'!$B$10*N92</x:f>
        <x:v>0</x:v>
      </x:c>
      <x:c r="P92" s="8">
        <x:f>(1-'Воздействие'!F26*D92)*(1-'Воздействие'!G26*E92)</x:f>
        <x:v>1</x:v>
      </x:c>
      <x:c r="Q92" s="1">
        <x:f>J92*P92</x:f>
        <x:v>70570.953774136899</x:v>
      </x:c>
      <x:c r="R92" s="1">
        <x:f>O92*P92</x:f>
        <x:v>0</x:v>
      </x:c>
      <x:c r="S92" s="8">
        <x:f>(1-'Гипотезы'!D10)*(1-'Гипотезы'!E10)</x:f>
        <x:v>0.5625</x:v>
      </x:c>
      <x:c r="T92" s="12">
        <x:f>Q92+R92*S92</x:f>
        <x:v>70570.953774136899</x:v>
      </x:c>
      <x:c r="U92" s="12">
        <x:f>T92-J92</x:f>
        <x:v>0</x:v>
      </x:c>
      <x:c r="V92" s="12">
        <x:f>J92*'Когорты'!T6</x:f>
        <x:v>70570.953774136899</x:v>
      </x:c>
      <x:c r="W92" s="12">
        <x:f>Q92*'Когорты'!T6*(1+'Воздействие'!H26*N92)</x:f>
        <x:v>70570.953774136899</x:v>
      </x:c>
      <x:c r="X92" s="12">
        <x:f>R92*'Когорты'!T6*(1+'Воздействие'!H26*N92)</x:f>
        <x:v>0</x:v>
      </x:c>
      <x:c r="Y92" s="12">
        <x:f>W92+X92*S92</x:f>
        <x:v>70570.953774136899</x:v>
      </x:c>
      <x:c r="Z92" s="12">
        <x:f>F92*N92</x:f>
        <x:v>0</x:v>
      </x:c>
      <x:c r="AA92" s="12">
        <x:f>J92*D92</x:f>
        <x:v>0</x:v>
      </x:c>
      <x:c r="AB92" s="12">
        <x:f>Q92*D92</x:f>
        <x:v>0</x:v>
      </x:c>
      <x:c r="AC92" s="12">
        <x:f>R92*D92</x:f>
        <x:v>0</x:v>
      </x:c>
      <x:c r="AD92" s="12">
        <x:f>J92*E92</x:f>
        <x:v>0</x:v>
      </x:c>
      <x:c r="AE92" s="12">
        <x:f>Q92*E92</x:f>
        <x:v>0</x:v>
      </x:c>
      <x:c r="AF92" s="12">
        <x:f>R92*E92</x:f>
        <x:v>0</x:v>
      </x:c>
      <x:c r="AG92" s="1">
        <x:f>IF(AND(I92&gt;=0,I92&lt;=1,Q92+R92&lt;=F92+0.00000001,N92&gt;=0,N92&lt;=1),1,0)</x:f>
        <x:v>1</x:v>
      </x:c>
      <x:c r="AH92" s="1"/>
      <x:c r="AI92" s="1"/>
    </x:row>
    <x:row r="93" ht="24" customHeight="1">
      <x:c r="A93" s="1" t="str">
        <x:v>H6.1</x:v>
      </x:c>
      <x:c r="B93" s="1" t="str">
        <x:v>S3</x:v>
      </x:c>
      <x:c r="C93" s="1" t="str">
        <x:v>Только C</x:v>
      </x:c>
      <x:c r="D93" s="1" t="n">
        <x:v>1</x:v>
      </x:c>
      <x:c r="E93" s="1" t="n">
        <x:v>0</x:v>
      </x:c>
      <x:c r="F93" s="12">
        <x:f>'Когорты'!D7*'Когорты'!L7</x:f>
        <x:v>4324320</x:v>
      </x:c>
      <x:c r="G93" s="8">
        <x:f>'Когорты'!F7</x:f>
        <x:v>0.05099999999999999</x:v>
      </x:c>
      <x:c r="H93" s="1">
        <x:f>'Когорты'!O7</x:f>
        <x:v>1.5</x:v>
      </x:c>
      <x:c r="I93" s="8">
        <x:f>IF('Когорты'!S7&gt;0,G93*H93/'Когорты'!S7,0)</x:f>
        <x:v>0.074605032182562883</x:v>
      </x:c>
      <x:c r="J93" s="1">
        <x:f>F93*I93</x:f>
        <x:v>322616.03276770032</x:v>
      </x:c>
      <x:c r="K93" s="8">
        <x:f>'Воздействие'!C27*D93</x:f>
        <x:v>0</x:v>
      </x:c>
      <x:c r="L93" s="8">
        <x:f>'Воздействие'!D27*E93</x:f>
        <x:v>0</x:v>
      </x:c>
      <x:c r="M93" s="8">
        <x:f>'Воздействие'!E27*D93*E93</x:f>
        <x:v>0</x:v>
      </x:c>
      <x:c r="N93" s="8">
        <x:f>K93+L93-M93</x:f>
        <x:v>0</x:v>
      </x:c>
      <x:c r="O93" s="1">
        <x:f>J93*'Параметры'!$B$10*N93</x:f>
        <x:v>0</x:v>
      </x:c>
      <x:c r="P93" s="8">
        <x:f>(1-'Воздействие'!F27*D93)*(1-'Воздействие'!G27*E93)</x:f>
        <x:v>1</x:v>
      </x:c>
      <x:c r="Q93" s="1">
        <x:f>J93*P93</x:f>
        <x:v>322616.03276770032</x:v>
      </x:c>
      <x:c r="R93" s="1">
        <x:f>O93*P93</x:f>
        <x:v>0</x:v>
      </x:c>
      <x:c r="S93" s="8">
        <x:f>(1-'Гипотезы'!D10)*(1-'Гипотезы'!E10)</x:f>
        <x:v>0.5625</x:v>
      </x:c>
      <x:c r="T93" s="12">
        <x:f>Q93+R93*S93</x:f>
        <x:v>322616.03276770032</x:v>
      </x:c>
      <x:c r="U93" s="12">
        <x:f>T93-J93</x:f>
        <x:v>0</x:v>
      </x:c>
      <x:c r="V93" s="12">
        <x:f>J93*'Когорты'!T7</x:f>
        <x:v>322616.03276770032</x:v>
      </x:c>
      <x:c r="W93" s="12">
        <x:f>Q93*'Когорты'!T7*(1+'Воздействие'!H27*N93)</x:f>
        <x:v>322616.03276770032</x:v>
      </x:c>
      <x:c r="X93" s="12">
        <x:f>R93*'Когорты'!T7*(1+'Воздействие'!H27*N93)</x:f>
        <x:v>0</x:v>
      </x:c>
      <x:c r="Y93" s="12">
        <x:f>W93+X93*S93</x:f>
        <x:v>322616.03276770032</x:v>
      </x:c>
      <x:c r="Z93" s="12">
        <x:f>F93*N93</x:f>
        <x:v>0</x:v>
      </x:c>
      <x:c r="AA93" s="12">
        <x:f>J93*D93</x:f>
        <x:v>322616.03276770032</x:v>
      </x:c>
      <x:c r="AB93" s="12">
        <x:f>Q93*D93</x:f>
        <x:v>322616.03276770032</x:v>
      </x:c>
      <x:c r="AC93" s="12">
        <x:f>R93*D93</x:f>
        <x:v>0</x:v>
      </x:c>
      <x:c r="AD93" s="12">
        <x:f>J93*E93</x:f>
        <x:v>0</x:v>
      </x:c>
      <x:c r="AE93" s="12">
        <x:f>Q93*E93</x:f>
        <x:v>0</x:v>
      </x:c>
      <x:c r="AF93" s="12">
        <x:f>R93*E93</x:f>
        <x:v>0</x:v>
      </x:c>
      <x:c r="AG93" s="1">
        <x:f>IF(AND(I93&gt;=0,I93&lt;=1,Q93+R93&lt;=F93+0.00000001,N93&gt;=0,N93&lt;=1),1,0)</x:f>
        <x:v>1</x:v>
      </x:c>
      <x:c r="AH93" s="1"/>
      <x:c r="AI93" s="1"/>
    </x:row>
    <x:row r="94" ht="24" customHeight="1">
      <x:c r="A94" s="1" t="str">
        <x:v>H6.1</x:v>
      </x:c>
      <x:c r="B94" s="1" t="str">
        <x:v>S3</x:v>
      </x:c>
      <x:c r="C94" s="1" t="str">
        <x:v>Только F</x:v>
      </x:c>
      <x:c r="D94" s="1" t="n">
        <x:v>0</x:v>
      </x:c>
      <x:c r="E94" s="1" t="n">
        <x:v>1</x:v>
      </x:c>
      <x:c r="F94" s="12">
        <x:f>'Когорты'!D7*'Когорты'!M7</x:f>
        <x:v>205919.99999999997</x:v>
      </x:c>
      <x:c r="G94" s="8">
        <x:f>'Когорты'!F7</x:f>
        <x:v>0.05099999999999999</x:v>
      </x:c>
      <x:c r="H94" s="1">
        <x:f>'Когорты'!P7</x:f>
        <x:v>0.20000000000000001</x:v>
      </x:c>
      <x:c r="I94" s="8">
        <x:f>IF('Когорты'!S7&gt;0,G94*H94/'Когорты'!S7,0)</x:f>
        <x:v>0.0099473376243417178</x:v>
      </x:c>
      <x:c r="J94" s="1">
        <x:f>F94*I94</x:f>
        <x:v>2048.3557636044461</x:v>
      </x:c>
      <x:c r="K94" s="8">
        <x:f>'Воздействие'!C27*D94</x:f>
        <x:v>0</x:v>
      </x:c>
      <x:c r="L94" s="8">
        <x:f>'Воздействие'!D27*E94</x:f>
        <x:v>0.10000000000000001</x:v>
      </x:c>
      <x:c r="M94" s="8">
        <x:f>'Воздействие'!E27*D94*E94</x:f>
        <x:v>0</x:v>
      </x:c>
      <x:c r="N94" s="8">
        <x:f>K94+L94-M94</x:f>
        <x:v>0.10000000000000001</x:v>
      </x:c>
      <x:c r="O94" s="1">
        <x:f>J94*'Параметры'!$B$10*N94</x:f>
        <x:v>20.483557636044466</x:v>
      </x:c>
      <x:c r="P94" s="8">
        <x:f>(1-'Воздействие'!F27*D94)*(1-'Воздействие'!G27*E94)</x:f>
        <x:v>1</x:v>
      </x:c>
      <x:c r="Q94" s="1">
        <x:f>J94*P94</x:f>
        <x:v>2048.3557636044461</x:v>
      </x:c>
      <x:c r="R94" s="1">
        <x:f>O94*P94</x:f>
        <x:v>20.483557636044466</x:v>
      </x:c>
      <x:c r="S94" s="8">
        <x:f>(1-'Гипотезы'!D10)*(1-'Гипотезы'!E10)</x:f>
        <x:v>0.5625</x:v>
      </x:c>
      <x:c r="T94" s="12">
        <x:f>Q94+R94*S94</x:f>
        <x:v>2059.8777647747211</x:v>
      </x:c>
      <x:c r="U94" s="12">
        <x:f>T94-J94</x:f>
        <x:v>11.522001170274962</x:v>
      </x:c>
      <x:c r="V94" s="12">
        <x:f>J94*'Когорты'!T7</x:f>
        <x:v>2048.3557636044461</x:v>
      </x:c>
      <x:c r="W94" s="12">
        <x:f>Q94*'Когорты'!T7*(1+'Воздействие'!H27*N94)</x:f>
        <x:v>2048.3557636044461</x:v>
      </x:c>
      <x:c r="X94" s="12">
        <x:f>R94*'Когорты'!T7*(1+'Воздействие'!H27*N94)</x:f>
        <x:v>20.483557636044466</x:v>
      </x:c>
      <x:c r="Y94" s="12">
        <x:f>W94+X94*S94</x:f>
        <x:v>2059.8777647747211</x:v>
      </x:c>
      <x:c r="Z94" s="12">
        <x:f>F94*N94</x:f>
        <x:v>20592</x:v>
      </x:c>
      <x:c r="AA94" s="12">
        <x:f>J94*D94</x:f>
        <x:v>0</x:v>
      </x:c>
      <x:c r="AB94" s="12">
        <x:f>Q94*D94</x:f>
        <x:v>0</x:v>
      </x:c>
      <x:c r="AC94" s="12">
        <x:f>R94*D94</x:f>
        <x:v>0</x:v>
      </x:c>
      <x:c r="AD94" s="12">
        <x:f>J94*E94</x:f>
        <x:v>2048.3557636044461</x:v>
      </x:c>
      <x:c r="AE94" s="12">
        <x:f>Q94*E94</x:f>
        <x:v>2048.3557636044461</x:v>
      </x:c>
      <x:c r="AF94" s="12">
        <x:f>R94*E94</x:f>
        <x:v>20.483557636044466</x:v>
      </x:c>
      <x:c r="AG94" s="1">
        <x:f>IF(AND(I94&gt;=0,I94&lt;=1,Q94+R94&lt;=F94+0.00000001,N94&gt;=0,N94&lt;=1),1,0)</x:f>
        <x:v>1</x:v>
      </x:c>
      <x:c r="AH94" s="1"/>
      <x:c r="AI94" s="1"/>
    </x:row>
    <x:row r="95" ht="24" customHeight="1">
      <x:c r="A95" s="1" t="str">
        <x:v>H6.1</x:v>
      </x:c>
      <x:c r="B95" s="1" t="str">
        <x:v>S3</x:v>
      </x:c>
      <x:c r="C95" s="1" t="str">
        <x:v>Оба</x:v>
      </x:c>
      <x:c r="D95" s="1" t="n">
        <x:v>1</x:v>
      </x:c>
      <x:c r="E95" s="1" t="n">
        <x:v>1</x:v>
      </x:c>
      <x:c r="F95" s="12">
        <x:f>'Когорты'!D7*'Когорты'!K7</x:f>
        <x:v>823680.00000000012</x:v>
      </x:c>
      <x:c r="G95" s="8">
        <x:f>'Когорты'!F7</x:f>
        <x:v>0.05099999999999999</x:v>
      </x:c>
      <x:c r="H95" s="1">
        <x:f>'Когорты'!Q7</x:f>
        <x:v>1</x:v>
      </x:c>
      <x:c r="I95" s="8">
        <x:f>IF('Когорты'!S7&gt;0,G95*H95/'Когорты'!S7,0)</x:f>
        <x:v>0.049736688121708589</x:v>
      </x:c>
      <x:c r="J95" s="1">
        <x:f>F95*I95</x:f>
        <x:v>40967.115272088937</x:v>
      </x:c>
      <x:c r="K95" s="8">
        <x:f>'Воздействие'!C27*D95</x:f>
        <x:v>0</x:v>
      </x:c>
      <x:c r="L95" s="8">
        <x:f>'Воздействие'!D27*E95</x:f>
        <x:v>0.10000000000000001</x:v>
      </x:c>
      <x:c r="M95" s="8">
        <x:f>'Воздействие'!E27*D95*E95</x:f>
        <x:v>0</x:v>
      </x:c>
      <x:c r="N95" s="8">
        <x:f>K95+L95-M95</x:f>
        <x:v>0.10000000000000001</x:v>
      </x:c>
      <x:c r="O95" s="1">
        <x:f>J95*'Параметры'!$B$10*N95</x:f>
        <x:v>409.67115272088944</x:v>
      </x:c>
      <x:c r="P95" s="8">
        <x:f>(1-'Воздействие'!F27*D95)*(1-'Воздействие'!G27*E95)</x:f>
        <x:v>1</x:v>
      </x:c>
      <x:c r="Q95" s="1">
        <x:f>J95*P95</x:f>
        <x:v>40967.115272088937</x:v>
      </x:c>
      <x:c r="R95" s="1">
        <x:f>O95*P95</x:f>
        <x:v>409.67115272088944</x:v>
      </x:c>
      <x:c r="S95" s="8">
        <x:f>(1-'Гипотезы'!D10)*(1-'Гипотезы'!E10)</x:f>
        <x:v>0.5625</x:v>
      </x:c>
      <x:c r="T95" s="12">
        <x:f>Q95+R95*S95</x:f>
        <x:v>41197.555295494436</x:v>
      </x:c>
      <x:c r="U95" s="12">
        <x:f>T95-J95</x:f>
        <x:v>230.44002340549923</x:v>
      </x:c>
      <x:c r="V95" s="12">
        <x:f>J95*'Когорты'!T7</x:f>
        <x:v>40967.115272088937</x:v>
      </x:c>
      <x:c r="W95" s="12">
        <x:f>Q95*'Когорты'!T7*(1+'Воздействие'!H27*N95)</x:f>
        <x:v>40967.115272088937</x:v>
      </x:c>
      <x:c r="X95" s="12">
        <x:f>R95*'Когорты'!T7*(1+'Воздействие'!H27*N95)</x:f>
        <x:v>409.67115272088944</x:v>
      </x:c>
      <x:c r="Y95" s="12">
        <x:f>W95+X95*S95</x:f>
        <x:v>41197.555295494436</x:v>
      </x:c>
      <x:c r="Z95" s="12">
        <x:f>F95*N95</x:f>
        <x:v>82368.000000000015</x:v>
      </x:c>
      <x:c r="AA95" s="12">
        <x:f>J95*D95</x:f>
        <x:v>40967.115272088937</x:v>
      </x:c>
      <x:c r="AB95" s="12">
        <x:f>Q95*D95</x:f>
        <x:v>40967.115272088937</x:v>
      </x:c>
      <x:c r="AC95" s="12">
        <x:f>R95*D95</x:f>
        <x:v>409.67115272088944</x:v>
      </x:c>
      <x:c r="AD95" s="12">
        <x:f>J95*E95</x:f>
        <x:v>40967.115272088937</x:v>
      </x:c>
      <x:c r="AE95" s="12">
        <x:f>Q95*E95</x:f>
        <x:v>40967.115272088937</x:v>
      </x:c>
      <x:c r="AF95" s="12">
        <x:f>R95*E95</x:f>
        <x:v>409.67115272088944</x:v>
      </x:c>
      <x:c r="AG95" s="1">
        <x:f>IF(AND(I95&gt;=0,I95&lt;=1,Q95+R95&lt;=F95+0.00000001,N95&gt;=0,N95&lt;=1),1,0)</x:f>
        <x:v>1</x:v>
      </x:c>
      <x:c r="AH95" s="1"/>
      <x:c r="AI95" s="1"/>
    </x:row>
    <x:row r="96" ht="24" customHeight="1">
      <x:c r="A96" s="1" t="str">
        <x:v>H6.1</x:v>
      </x:c>
      <x:c r="B96" s="1" t="str">
        <x:v>S3</x:v>
      </x:c>
      <x:c r="C96" s="1" t="str">
        <x:v>Ни один</x:v>
      </x:c>
      <x:c r="D96" s="1" t="n">
        <x:v>0</x:v>
      </x:c>
      <x:c r="E96" s="1" t="n">
        <x:v>0</x:v>
      </x:c>
      <x:c r="F96" s="12">
        <x:f>'Когорты'!D7*'Когорты'!N7</x:f>
        <x:v>2566079.9999999995</x:v>
      </x:c>
      <x:c r="G96" s="8">
        <x:f>'Когорты'!F7</x:f>
        <x:v>0.05099999999999999</x:v>
      </x:c>
      <x:c r="H96" s="1">
        <x:f>'Когорты'!R7</x:f>
        <x:v>0.29999999999999999</x:v>
      </x:c>
      <x:c r="I96" s="8">
        <x:f>IF('Когорты'!S7&gt;0,G96*H96/'Когорты'!S7,0)</x:f>
        <x:v>0.014921006436512575</x:v>
      </x:c>
      <x:c r="J96" s="1">
        <x:f>F96*I96</x:f>
        <x:v>38288.496196606182</x:v>
      </x:c>
      <x:c r="K96" s="8">
        <x:f>'Воздействие'!C27*D96</x:f>
        <x:v>0</x:v>
      </x:c>
      <x:c r="L96" s="8">
        <x:f>'Воздействие'!D27*E96</x:f>
        <x:v>0</x:v>
      </x:c>
      <x:c r="M96" s="8">
        <x:f>'Воздействие'!E27*D96*E96</x:f>
        <x:v>0</x:v>
      </x:c>
      <x:c r="N96" s="8">
        <x:f>K96+L96-M96</x:f>
        <x:v>0</x:v>
      </x:c>
      <x:c r="O96" s="1">
        <x:f>J96*'Параметры'!$B$10*N96</x:f>
        <x:v>0</x:v>
      </x:c>
      <x:c r="P96" s="8">
        <x:f>(1-'Воздействие'!F27*D96)*(1-'Воздействие'!G27*E96)</x:f>
        <x:v>1</x:v>
      </x:c>
      <x:c r="Q96" s="1">
        <x:f>J96*P96</x:f>
        <x:v>38288.496196606182</x:v>
      </x:c>
      <x:c r="R96" s="1">
        <x:f>O96*P96</x:f>
        <x:v>0</x:v>
      </x:c>
      <x:c r="S96" s="8">
        <x:f>(1-'Гипотезы'!D10)*(1-'Гипотезы'!E10)</x:f>
        <x:v>0.5625</x:v>
      </x:c>
      <x:c r="T96" s="12">
        <x:f>Q96+R96*S96</x:f>
        <x:v>38288.496196606182</x:v>
      </x:c>
      <x:c r="U96" s="12">
        <x:f>T96-J96</x:f>
        <x:v>0</x:v>
      </x:c>
      <x:c r="V96" s="12">
        <x:f>J96*'Когорты'!T7</x:f>
        <x:v>38288.496196606182</x:v>
      </x:c>
      <x:c r="W96" s="12">
        <x:f>Q96*'Когорты'!T7*(1+'Воздействие'!H27*N96)</x:f>
        <x:v>38288.496196606182</x:v>
      </x:c>
      <x:c r="X96" s="12">
        <x:f>R96*'Когорты'!T7*(1+'Воздействие'!H27*N96)</x:f>
        <x:v>0</x:v>
      </x:c>
      <x:c r="Y96" s="12">
        <x:f>W96+X96*S96</x:f>
        <x:v>38288.496196606182</x:v>
      </x:c>
      <x:c r="Z96" s="12">
        <x:f>F96*N96</x:f>
        <x:v>0</x:v>
      </x:c>
      <x:c r="AA96" s="12">
        <x:f>J96*D96</x:f>
        <x:v>0</x:v>
      </x:c>
      <x:c r="AB96" s="12">
        <x:f>Q96*D96</x:f>
        <x:v>0</x:v>
      </x:c>
      <x:c r="AC96" s="12">
        <x:f>R96*D96</x:f>
        <x:v>0</x:v>
      </x:c>
      <x:c r="AD96" s="12">
        <x:f>J96*E96</x:f>
        <x:v>0</x:v>
      </x:c>
      <x:c r="AE96" s="12">
        <x:f>Q96*E96</x:f>
        <x:v>0</x:v>
      </x:c>
      <x:c r="AF96" s="12">
        <x:f>R96*E96</x:f>
        <x:v>0</x:v>
      </x:c>
      <x:c r="AG96" s="1">
        <x:f>IF(AND(I96&gt;=0,I96&lt;=1,Q96+R96&lt;=F96+0.00000001,N96&gt;=0,N96&lt;=1),1,0)</x:f>
        <x:v>1</x:v>
      </x:c>
      <x:c r="AH96" s="1"/>
      <x:c r="AI96" s="1"/>
    </x:row>
    <x:row r="97" ht="24" customHeight="1">
      <x:c r="A97" s="1" t="str">
        <x:v>H6.1</x:v>
      </x:c>
      <x:c r="B97" s="1" t="str">
        <x:v>S4</x:v>
      </x:c>
      <x:c r="C97" s="1" t="str">
        <x:v>Только C</x:v>
      </x:c>
      <x:c r="D97" s="1" t="n">
        <x:v>1</x:v>
      </x:c>
      <x:c r="E97" s="1" t="n">
        <x:v>0</x:v>
      </x:c>
      <x:c r="F97" s="12">
        <x:f>'Когорты'!D8*'Когорты'!L8</x:f>
        <x:v>10090080</x:v>
      </x:c>
      <x:c r="G97" s="8">
        <x:f>'Когорты'!F8</x:f>
        <x:v>0.14099999999999999</x:v>
      </x:c>
      <x:c r="H97" s="1">
        <x:f>'Когорты'!O8</x:f>
        <x:v>1.5</x:v>
      </x:c>
      <x:c r="I97" s="8">
        <x:f>IF('Когорты'!S8&gt;0,G97*H97/'Когорты'!S8,0)</x:f>
        <x:v>0.2062609713282621</x:v>
      </x:c>
      <x:c r="J97" s="1">
        <x:f>F97*I97</x:f>
        <x:v>2081189.7015798709</x:v>
      </x:c>
      <x:c r="K97" s="8">
        <x:f>'Воздействие'!C28*D97</x:f>
        <x:v>0</x:v>
      </x:c>
      <x:c r="L97" s="8">
        <x:f>'Воздействие'!D28*E97</x:f>
        <x:v>0</x:v>
      </x:c>
      <x:c r="M97" s="8">
        <x:f>'Воздействие'!E28*D97*E97</x:f>
        <x:v>0</x:v>
      </x:c>
      <x:c r="N97" s="8">
        <x:f>K97+L97-M97</x:f>
        <x:v>0</x:v>
      </x:c>
      <x:c r="O97" s="1">
        <x:f>J97*'Параметры'!$B$10*N97</x:f>
        <x:v>0</x:v>
      </x:c>
      <x:c r="P97" s="8">
        <x:f>(1-'Воздействие'!F28*D97)*(1-'Воздействие'!G28*E97)</x:f>
        <x:v>1</x:v>
      </x:c>
      <x:c r="Q97" s="1">
        <x:f>J97*P97</x:f>
        <x:v>2081189.7015798709</x:v>
      </x:c>
      <x:c r="R97" s="1">
        <x:f>O97*P97</x:f>
        <x:v>0</x:v>
      </x:c>
      <x:c r="S97" s="8">
        <x:f>(1-'Гипотезы'!D10)*(1-'Гипотезы'!E10)</x:f>
        <x:v>0.5625</x:v>
      </x:c>
      <x:c r="T97" s="12">
        <x:f>Q97+R97*S97</x:f>
        <x:v>2081189.7015798709</x:v>
      </x:c>
      <x:c r="U97" s="12">
        <x:f>T97-J97</x:f>
        <x:v>0</x:v>
      </x:c>
      <x:c r="V97" s="12">
        <x:f>J97*'Когорты'!T8</x:f>
        <x:v>2081189.7015798709</x:v>
      </x:c>
      <x:c r="W97" s="12">
        <x:f>Q97*'Когорты'!T8*(1+'Воздействие'!H28*N97)</x:f>
        <x:v>2081189.7015798709</x:v>
      </x:c>
      <x:c r="X97" s="12">
        <x:f>R97*'Когорты'!T8*(1+'Воздействие'!H28*N97)</x:f>
        <x:v>0</x:v>
      </x:c>
      <x:c r="Y97" s="12">
        <x:f>W97+X97*S97</x:f>
        <x:v>2081189.7015798709</x:v>
      </x:c>
      <x:c r="Z97" s="12">
        <x:f>F97*N97</x:f>
        <x:v>0</x:v>
      </x:c>
      <x:c r="AA97" s="12">
        <x:f>J97*D97</x:f>
        <x:v>2081189.7015798709</x:v>
      </x:c>
      <x:c r="AB97" s="12">
        <x:f>Q97*D97</x:f>
        <x:v>2081189.7015798709</x:v>
      </x:c>
      <x:c r="AC97" s="12">
        <x:f>R97*D97</x:f>
        <x:v>0</x:v>
      </x:c>
      <x:c r="AD97" s="12">
        <x:f>J97*E97</x:f>
        <x:v>0</x:v>
      </x:c>
      <x:c r="AE97" s="12">
        <x:f>Q97*E97</x:f>
        <x:v>0</x:v>
      </x:c>
      <x:c r="AF97" s="12">
        <x:f>R97*E97</x:f>
        <x:v>0</x:v>
      </x:c>
      <x:c r="AG97" s="1">
        <x:f>IF(AND(I97&gt;=0,I97&lt;=1,Q97+R97&lt;=F97+0.00000001,N97&gt;=0,N97&lt;=1),1,0)</x:f>
        <x:v>1</x:v>
      </x:c>
      <x:c r="AH97" s="1"/>
      <x:c r="AI97" s="1"/>
    </x:row>
    <x:row r="98" ht="24" customHeight="1">
      <x:c r="A98" s="1" t="str">
        <x:v>H6.1</x:v>
      </x:c>
      <x:c r="B98" s="1" t="str">
        <x:v>S4</x:v>
      </x:c>
      <x:c r="C98" s="1" t="str">
        <x:v>Только F</x:v>
      </x:c>
      <x:c r="D98" s="1" t="n">
        <x:v>0</x:v>
      </x:c>
      <x:c r="E98" s="1" t="n">
        <x:v>1</x:v>
      </x:c>
      <x:c r="F98" s="12">
        <x:f>'Когорты'!D8*'Когорты'!M8</x:f>
        <x:v>480479.99999999994</x:v>
      </x:c>
      <x:c r="G98" s="8">
        <x:f>'Когорты'!F8</x:f>
        <x:v>0.14099999999999999</x:v>
      </x:c>
      <x:c r="H98" s="1">
        <x:f>'Когорты'!P8</x:f>
        <x:v>0.20000000000000001</x:v>
      </x:c>
      <x:c r="I98" s="8">
        <x:f>IF('Когорты'!S8&gt;0,G98*H98/'Когорты'!S8,0)</x:f>
        <x:v>0.027501462843768282</x:v>
      </x:c>
      <x:c r="J98" s="1">
        <x:f>F98*I98</x:f>
        <x:v>13213.902867173783</x:v>
      </x:c>
      <x:c r="K98" s="8">
        <x:f>'Воздействие'!C28*D98</x:f>
        <x:v>0</x:v>
      </x:c>
      <x:c r="L98" s="8">
        <x:f>'Воздействие'!D28*E98</x:f>
        <x:v>0.10000000000000001</x:v>
      </x:c>
      <x:c r="M98" s="8">
        <x:f>'Воздействие'!E28*D98*E98</x:f>
        <x:v>0</x:v>
      </x:c>
      <x:c r="N98" s="8">
        <x:f>K98+L98-M98</x:f>
        <x:v>0.10000000000000001</x:v>
      </x:c>
      <x:c r="O98" s="1">
        <x:f>J98*'Параметры'!$B$10*N98</x:f>
        <x:v>132.13902867173783</x:v>
      </x:c>
      <x:c r="P98" s="8">
        <x:f>(1-'Воздействие'!F28*D98)*(1-'Воздействие'!G28*E98)</x:f>
        <x:v>1</x:v>
      </x:c>
      <x:c r="Q98" s="1">
        <x:f>J98*P98</x:f>
        <x:v>13213.902867173783</x:v>
      </x:c>
      <x:c r="R98" s="1">
        <x:f>O98*P98</x:f>
        <x:v>132.13902867173783</x:v>
      </x:c>
      <x:c r="S98" s="8">
        <x:f>(1-'Гипотезы'!D10)*(1-'Гипотезы'!E10)</x:f>
        <x:v>0.5625</x:v>
      </x:c>
      <x:c r="T98" s="12">
        <x:f>Q98+R98*S98</x:f>
        <x:v>13288.231070801636</x:v>
      </x:c>
      <x:c r="U98" s="12">
        <x:f>T98-J98</x:f>
        <x:v>74.328203627852417</x:v>
      </x:c>
      <x:c r="V98" s="12">
        <x:f>J98*'Когорты'!T8</x:f>
        <x:v>13213.902867173783</x:v>
      </x:c>
      <x:c r="W98" s="12">
        <x:f>Q98*'Когорты'!T8*(1+'Воздействие'!H28*N98)</x:f>
        <x:v>13213.902867173783</x:v>
      </x:c>
      <x:c r="X98" s="12">
        <x:f>R98*'Когорты'!T8*(1+'Воздействие'!H28*N98)</x:f>
        <x:v>132.13902867173783</x:v>
      </x:c>
      <x:c r="Y98" s="12">
        <x:f>W98+X98*S98</x:f>
        <x:v>13288.231070801636</x:v>
      </x:c>
      <x:c r="Z98" s="12">
        <x:f>F98*N98</x:f>
        <x:v>48048</x:v>
      </x:c>
      <x:c r="AA98" s="12">
        <x:f>J98*D98</x:f>
        <x:v>0</x:v>
      </x:c>
      <x:c r="AB98" s="12">
        <x:f>Q98*D98</x:f>
        <x:v>0</x:v>
      </x:c>
      <x:c r="AC98" s="12">
        <x:f>R98*D98</x:f>
        <x:v>0</x:v>
      </x:c>
      <x:c r="AD98" s="12">
        <x:f>J98*E98</x:f>
        <x:v>13213.902867173783</x:v>
      </x:c>
      <x:c r="AE98" s="12">
        <x:f>Q98*E98</x:f>
        <x:v>13213.902867173783</x:v>
      </x:c>
      <x:c r="AF98" s="12">
        <x:f>R98*E98</x:f>
        <x:v>132.13902867173783</x:v>
      </x:c>
      <x:c r="AG98" s="1">
        <x:f>IF(AND(I98&gt;=0,I98&lt;=1,Q98+R98&lt;=F98+0.00000001,N98&gt;=0,N98&lt;=1),1,0)</x:f>
        <x:v>1</x:v>
      </x:c>
      <x:c r="AH98" s="1"/>
      <x:c r="AI98" s="1"/>
    </x:row>
    <x:row r="99" ht="24" customHeight="1">
      <x:c r="A99" s="1" t="str">
        <x:v>H6.1</x:v>
      </x:c>
      <x:c r="B99" s="1" t="str">
        <x:v>S4</x:v>
      </x:c>
      <x:c r="C99" s="1" t="str">
        <x:v>Оба</x:v>
      </x:c>
      <x:c r="D99" s="1" t="n">
        <x:v>1</x:v>
      </x:c>
      <x:c r="E99" s="1" t="n">
        <x:v>1</x:v>
      </x:c>
      <x:c r="F99" s="12">
        <x:f>'Когорты'!D8*'Когорты'!K8</x:f>
        <x:v>1921920.0000000002</x:v>
      </x:c>
      <x:c r="G99" s="8">
        <x:f>'Когорты'!F8</x:f>
        <x:v>0.14099999999999999</x:v>
      </x:c>
      <x:c r="H99" s="1">
        <x:f>'Когорты'!Q8</x:f>
        <x:v>1</x:v>
      </x:c>
      <x:c r="I99" s="8">
        <x:f>IF('Когорты'!S8&gt;0,G99*H99/'Когорты'!S8,0)</x:f>
        <x:v>0.13750731421884141</x:v>
      </x:c>
      <x:c r="J99" s="1">
        <x:f>F99*I99</x:f>
        <x:v>264278.0573434757</x:v>
      </x:c>
      <x:c r="K99" s="8">
        <x:f>'Воздействие'!C28*D99</x:f>
        <x:v>0</x:v>
      </x:c>
      <x:c r="L99" s="8">
        <x:f>'Воздействие'!D28*E99</x:f>
        <x:v>0.10000000000000001</x:v>
      </x:c>
      <x:c r="M99" s="8">
        <x:f>'Воздействие'!E28*D99*E99</x:f>
        <x:v>0</x:v>
      </x:c>
      <x:c r="N99" s="8">
        <x:f>K99+L99-M99</x:f>
        <x:v>0.10000000000000001</x:v>
      </x:c>
      <x:c r="O99" s="1">
        <x:f>J99*'Параметры'!$B$10*N99</x:f>
        <x:v>2642.7805734347571</x:v>
      </x:c>
      <x:c r="P99" s="8">
        <x:f>(1-'Воздействие'!F28*D99)*(1-'Воздействие'!G28*E99)</x:f>
        <x:v>1</x:v>
      </x:c>
      <x:c r="Q99" s="1">
        <x:f>J99*P99</x:f>
        <x:v>264278.0573434757</x:v>
      </x:c>
      <x:c r="R99" s="1">
        <x:f>O99*P99</x:f>
        <x:v>2642.7805734347571</x:v>
      </x:c>
      <x:c r="S99" s="8">
        <x:f>(1-'Гипотезы'!D10)*(1-'Гипотезы'!E10)</x:f>
        <x:v>0.5625</x:v>
      </x:c>
      <x:c r="T99" s="12">
        <x:f>Q99+R99*S99</x:f>
        <x:v>265764.62141603272</x:v>
      </x:c>
      <x:c r="U99" s="12">
        <x:f>T99-J99</x:f>
        <x:v>1486.5640725570265</x:v>
      </x:c>
      <x:c r="V99" s="12">
        <x:f>J99*'Когорты'!T8</x:f>
        <x:v>264278.0573434757</x:v>
      </x:c>
      <x:c r="W99" s="12">
        <x:f>Q99*'Когорты'!T8*(1+'Воздействие'!H28*N99)</x:f>
        <x:v>264278.0573434757</x:v>
      </x:c>
      <x:c r="X99" s="12">
        <x:f>R99*'Когорты'!T8*(1+'Воздействие'!H28*N99)</x:f>
        <x:v>2642.7805734347571</x:v>
      </x:c>
      <x:c r="Y99" s="12">
        <x:f>W99+X99*S99</x:f>
        <x:v>265764.62141603272</x:v>
      </x:c>
      <x:c r="Z99" s="12">
        <x:f>F99*N99</x:f>
        <x:v>192192.00000000003</x:v>
      </x:c>
      <x:c r="AA99" s="12">
        <x:f>J99*D99</x:f>
        <x:v>264278.0573434757</x:v>
      </x:c>
      <x:c r="AB99" s="12">
        <x:f>Q99*D99</x:f>
        <x:v>264278.0573434757</x:v>
      </x:c>
      <x:c r="AC99" s="12">
        <x:f>R99*D99</x:f>
        <x:v>2642.7805734347571</x:v>
      </x:c>
      <x:c r="AD99" s="12">
        <x:f>J99*E99</x:f>
        <x:v>264278.0573434757</x:v>
      </x:c>
      <x:c r="AE99" s="12">
        <x:f>Q99*E99</x:f>
        <x:v>264278.0573434757</x:v>
      </x:c>
      <x:c r="AF99" s="12">
        <x:f>R99*E99</x:f>
        <x:v>2642.7805734347571</x:v>
      </x:c>
      <x:c r="AG99" s="1">
        <x:f>IF(AND(I99&gt;=0,I99&lt;=1,Q99+R99&lt;=F99+0.00000001,N99&gt;=0,N99&lt;=1),1,0)</x:f>
        <x:v>1</x:v>
      </x:c>
      <x:c r="AH99" s="1"/>
      <x:c r="AI99" s="1"/>
    </x:row>
    <x:row r="100" ht="24" customHeight="1">
      <x:c r="A100" s="1" t="str">
        <x:v>H6.1</x:v>
      </x:c>
      <x:c r="B100" s="1" t="str">
        <x:v>S4</x:v>
      </x:c>
      <x:c r="C100" s="1" t="str">
        <x:v>Ни один</x:v>
      </x:c>
      <x:c r="D100" s="1" t="n">
        <x:v>0</x:v>
      </x:c>
      <x:c r="E100" s="1" t="n">
        <x:v>0</x:v>
      </x:c>
      <x:c r="F100" s="12">
        <x:f>'Когорты'!D8*'Когорты'!N8</x:f>
        <x:v>5987519.9999999991</x:v>
      </x:c>
      <x:c r="G100" s="8">
        <x:f>'Когорты'!F8</x:f>
        <x:v>0.14099999999999999</x:v>
      </x:c>
      <x:c r="H100" s="1">
        <x:f>'Когорты'!R8</x:f>
        <x:v>0.29999999999999999</x:v>
      </x:c>
      <x:c r="I100" s="8">
        <x:f>IF('Когорты'!S8&gt;0,G100*H100/'Когорты'!S8,0)</x:f>
        <x:v>0.041252194265652423</x:v>
      </x:c>
      <x:c r="J100" s="1">
        <x:f>F100*I100</x:f>
        <x:v>246998.33820947915</x:v>
      </x:c>
      <x:c r="K100" s="8">
        <x:f>'Воздействие'!C28*D100</x:f>
        <x:v>0</x:v>
      </x:c>
      <x:c r="L100" s="8">
        <x:f>'Воздействие'!D28*E100</x:f>
        <x:v>0</x:v>
      </x:c>
      <x:c r="M100" s="8">
        <x:f>'Воздействие'!E28*D100*E100</x:f>
        <x:v>0</x:v>
      </x:c>
      <x:c r="N100" s="8">
        <x:f>K100+L100-M100</x:f>
        <x:v>0</x:v>
      </x:c>
      <x:c r="O100" s="1">
        <x:f>J100*'Параметры'!$B$10*N100</x:f>
        <x:v>0</x:v>
      </x:c>
      <x:c r="P100" s="8">
        <x:f>(1-'Воздействие'!F28*D100)*(1-'Воздействие'!G28*E100)</x:f>
        <x:v>1</x:v>
      </x:c>
      <x:c r="Q100" s="1">
        <x:f>J100*P100</x:f>
        <x:v>246998.33820947915</x:v>
      </x:c>
      <x:c r="R100" s="1">
        <x:f>O100*P100</x:f>
        <x:v>0</x:v>
      </x:c>
      <x:c r="S100" s="8">
        <x:f>(1-'Гипотезы'!D10)*(1-'Гипотезы'!E10)</x:f>
        <x:v>0.5625</x:v>
      </x:c>
      <x:c r="T100" s="12">
        <x:f>Q100+R100*S100</x:f>
        <x:v>246998.33820947915</x:v>
      </x:c>
      <x:c r="U100" s="12">
        <x:f>T100-J100</x:f>
        <x:v>0</x:v>
      </x:c>
      <x:c r="V100" s="12">
        <x:f>J100*'Когорты'!T8</x:f>
        <x:v>246998.33820947915</x:v>
      </x:c>
      <x:c r="W100" s="12">
        <x:f>Q100*'Когорты'!T8*(1+'Воздействие'!H28*N100)</x:f>
        <x:v>246998.33820947915</x:v>
      </x:c>
      <x:c r="X100" s="12">
        <x:f>R100*'Когорты'!T8*(1+'Воздействие'!H28*N100)</x:f>
        <x:v>0</x:v>
      </x:c>
      <x:c r="Y100" s="12">
        <x:f>W100+X100*S100</x:f>
        <x:v>246998.33820947915</x:v>
      </x:c>
      <x:c r="Z100" s="12">
        <x:f>F100*N100</x:f>
        <x:v>0</x:v>
      </x:c>
      <x:c r="AA100" s="12">
        <x:f>J100*D100</x:f>
        <x:v>0</x:v>
      </x:c>
      <x:c r="AB100" s="12">
        <x:f>Q100*D100</x:f>
        <x:v>0</x:v>
      </x:c>
      <x:c r="AC100" s="12">
        <x:f>R100*D100</x:f>
        <x:v>0</x:v>
      </x:c>
      <x:c r="AD100" s="12">
        <x:f>J100*E100</x:f>
        <x:v>0</x:v>
      </x:c>
      <x:c r="AE100" s="12">
        <x:f>Q100*E100</x:f>
        <x:v>0</x:v>
      </x:c>
      <x:c r="AF100" s="12">
        <x:f>R100*E100</x:f>
        <x:v>0</x:v>
      </x:c>
      <x:c r="AG100" s="1">
        <x:f>IF(AND(I100&gt;=0,I100&lt;=1,Q100+R100&lt;=F100+0.00000001,N100&gt;=0,N100&lt;=1),1,0)</x:f>
        <x:v>1</x:v>
      </x:c>
      <x:c r="AH100" s="1"/>
      <x:c r="AI100" s="1"/>
    </x:row>
    <x:row r="101" ht="24" customHeight="1">
      <x:c r="A101" s="1" t="str">
        <x:v>H6.2</x:v>
      </x:c>
      <x:c r="B101" s="1" t="str">
        <x:v>S1</x:v>
      </x:c>
      <x:c r="C101" s="1" t="str">
        <x:v>Только C</x:v>
      </x:c>
      <x:c r="D101" s="1" t="n">
        <x:v>1</x:v>
      </x:c>
      <x:c r="E101" s="1" t="n">
        <x:v>0</x:v>
      </x:c>
      <x:c r="F101" s="12">
        <x:f>'Когорты'!D5*'Когорты'!L5</x:f>
        <x:v>6726719.9999999991</x:v>
      </x:c>
      <x:c r="G101" s="8">
        <x:f>'Когорты'!F5</x:f>
        <x:v>0.23099999999999998</x:v>
      </x:c>
      <x:c r="H101" s="1">
        <x:f>'Когорты'!O5</x:f>
        <x:v>1.5</x:v>
      </x:c>
      <x:c r="I101" s="8">
        <x:f>IF('Когорты'!S5&gt;0,G101*H101/'Когорты'!S5,0)</x:f>
        <x:v>0.33791691047396133</x:v>
      </x:c>
      <x:c r="J101" s="1">
        <x:f>F101*I101</x:f>
        <x:v>2273072.440023405</x:v>
      </x:c>
      <x:c r="K101" s="8">
        <x:f>'Воздействие'!C29*D101</x:f>
        <x:v>0</x:v>
      </x:c>
      <x:c r="L101" s="8">
        <x:f>'Воздействие'!D29*E101</x:f>
        <x:v>0</x:v>
      </x:c>
      <x:c r="M101" s="8">
        <x:f>'Воздействие'!E29*D101*E101</x:f>
        <x:v>0</x:v>
      </x:c>
      <x:c r="N101" s="8">
        <x:f>K101+L101-M101</x:f>
        <x:v>0</x:v>
      </x:c>
      <x:c r="O101" s="1">
        <x:f>J101*'Параметры'!$B$10*N101</x:f>
        <x:v>0</x:v>
      </x:c>
      <x:c r="P101" s="8">
        <x:f>(1-'Воздействие'!F29*D101)*(1-'Воздействие'!G29*E101)</x:f>
        <x:v>1</x:v>
      </x:c>
      <x:c r="Q101" s="1">
        <x:f>J101*P101</x:f>
        <x:v>2273072.440023405</x:v>
      </x:c>
      <x:c r="R101" s="1">
        <x:f>O101*P101</x:f>
        <x:v>0</x:v>
      </x:c>
      <x:c r="S101" s="8">
        <x:f>(1-'Гипотезы'!D11)*(1-'Гипотезы'!E11)</x:f>
        <x:v>0.5625</x:v>
      </x:c>
      <x:c r="T101" s="12">
        <x:f>Q101+R101*S101</x:f>
        <x:v>2273072.440023405</x:v>
      </x:c>
      <x:c r="U101" s="12">
        <x:f>T101-J101</x:f>
        <x:v>0</x:v>
      </x:c>
      <x:c r="V101" s="12">
        <x:f>J101*'Когорты'!T5</x:f>
        <x:v>2273072.440023405</x:v>
      </x:c>
      <x:c r="W101" s="12">
        <x:f>Q101*'Когорты'!T5*(1+'Воздействие'!H29*N101)</x:f>
        <x:v>2273072.440023405</x:v>
      </x:c>
      <x:c r="X101" s="12">
        <x:f>R101*'Когорты'!T5*(1+'Воздействие'!H29*N101)</x:f>
        <x:v>0</x:v>
      </x:c>
      <x:c r="Y101" s="12">
        <x:f>W101+X101*S101</x:f>
        <x:v>2273072.440023405</x:v>
      </x:c>
      <x:c r="Z101" s="12">
        <x:f>F101*N101</x:f>
        <x:v>0</x:v>
      </x:c>
      <x:c r="AA101" s="12">
        <x:f>J101*D101</x:f>
        <x:v>2273072.440023405</x:v>
      </x:c>
      <x:c r="AB101" s="12">
        <x:f>Q101*D101</x:f>
        <x:v>2273072.440023405</x:v>
      </x:c>
      <x:c r="AC101" s="12">
        <x:f>R101*D101</x:f>
        <x:v>0</x:v>
      </x:c>
      <x:c r="AD101" s="12">
        <x:f>J101*E101</x:f>
        <x:v>0</x:v>
      </x:c>
      <x:c r="AE101" s="12">
        <x:f>Q101*E101</x:f>
        <x:v>0</x:v>
      </x:c>
      <x:c r="AF101" s="12">
        <x:f>R101*E101</x:f>
        <x:v>0</x:v>
      </x:c>
      <x:c r="AG101" s="1">
        <x:f>IF(AND(I101&gt;=0,I101&lt;=1,Q101+R101&lt;=F101+0.00000001,N101&gt;=0,N101&lt;=1),1,0)</x:f>
        <x:v>1</x:v>
      </x:c>
      <x:c r="AH101" s="1"/>
      <x:c r="AI101" s="1"/>
    </x:row>
    <x:row r="102" ht="24" customHeight="1">
      <x:c r="A102" s="1" t="str">
        <x:v>H6.2</x:v>
      </x:c>
      <x:c r="B102" s="1" t="str">
        <x:v>S1</x:v>
      </x:c>
      <x:c r="C102" s="1" t="str">
        <x:v>Только F</x:v>
      </x:c>
      <x:c r="D102" s="1" t="n">
        <x:v>0</x:v>
      </x:c>
      <x:c r="E102" s="1" t="n">
        <x:v>1</x:v>
      </x:c>
      <x:c r="F102" s="12">
        <x:f>'Когорты'!D5*'Когорты'!M5</x:f>
        <x:v>320319.99999999988</x:v>
      </x:c>
      <x:c r="G102" s="8">
        <x:f>'Когорты'!F5</x:f>
        <x:v>0.23099999999999998</x:v>
      </x:c>
      <x:c r="H102" s="1">
        <x:f>'Когорты'!P5</x:f>
        <x:v>0.20000000000000001</x:v>
      </x:c>
      <x:c r="I102" s="8">
        <x:f>IF('Когорты'!S5&gt;0,G102*H102/'Когорты'!S5,0)</x:f>
        <x:v>0.045055588063194846</x:v>
      </x:c>
      <x:c r="J102" s="1">
        <x:f>F102*I102</x:f>
        <x:v>14432.205968402568</x:v>
      </x:c>
      <x:c r="K102" s="8">
        <x:f>'Воздействие'!C29*D102</x:f>
        <x:v>0</x:v>
      </x:c>
      <x:c r="L102" s="8">
        <x:f>'Воздействие'!D29*E102</x:f>
        <x:v>0.29999999999999999</x:v>
      </x:c>
      <x:c r="M102" s="8">
        <x:f>'Воздействие'!E29*D102*E102</x:f>
        <x:v>0</x:v>
      </x:c>
      <x:c r="N102" s="8">
        <x:f>K102+L102-M102</x:f>
        <x:v>0.29999999999999999</x:v>
      </x:c>
      <x:c r="O102" s="1">
        <x:f>J102*'Параметры'!$B$10*N102</x:f>
        <x:v>432.96617905207705</x:v>
      </x:c>
      <x:c r="P102" s="8">
        <x:f>(1-'Воздействие'!F29*D102)*(1-'Воздействие'!G29*E102)</x:f>
        <x:v>1</x:v>
      </x:c>
      <x:c r="Q102" s="1">
        <x:f>J102*P102</x:f>
        <x:v>14432.205968402568</x:v>
      </x:c>
      <x:c r="R102" s="1">
        <x:f>O102*P102</x:f>
        <x:v>432.96617905207705</x:v>
      </x:c>
      <x:c r="S102" s="8">
        <x:f>(1-'Гипотезы'!D11)*(1-'Гипотезы'!E11)</x:f>
        <x:v>0.5625</x:v>
      </x:c>
      <x:c r="T102" s="12">
        <x:f>Q102+R102*S102</x:f>
        <x:v>14675.749444119361</x:v>
      </x:c>
      <x:c r="U102" s="12">
        <x:f>T102-J102</x:f>
        <x:v>243.54347571679318</x:v>
      </x:c>
      <x:c r="V102" s="12">
        <x:f>J102*'Когорты'!T5</x:f>
        <x:v>14432.205968402568</x:v>
      </x:c>
      <x:c r="W102" s="12">
        <x:f>Q102*'Когорты'!T5*(1+'Воздействие'!H29*N102)</x:f>
        <x:v>14432.205968402568</x:v>
      </x:c>
      <x:c r="X102" s="12">
        <x:f>R102*'Когорты'!T5*(1+'Воздействие'!H29*N102)</x:f>
        <x:v>432.96617905207705</x:v>
      </x:c>
      <x:c r="Y102" s="12">
        <x:f>W102+X102*S102</x:f>
        <x:v>14675.749444119361</x:v>
      </x:c>
      <x:c r="Z102" s="12">
        <x:f>F102*N102</x:f>
        <x:v>96095.999999999956</x:v>
      </x:c>
      <x:c r="AA102" s="12">
        <x:f>J102*D102</x:f>
        <x:v>0</x:v>
      </x:c>
      <x:c r="AB102" s="12">
        <x:f>Q102*D102</x:f>
        <x:v>0</x:v>
      </x:c>
      <x:c r="AC102" s="12">
        <x:f>R102*D102</x:f>
        <x:v>0</x:v>
      </x:c>
      <x:c r="AD102" s="12">
        <x:f>J102*E102</x:f>
        <x:v>14432.205968402568</x:v>
      </x:c>
      <x:c r="AE102" s="12">
        <x:f>Q102*E102</x:f>
        <x:v>14432.205968402568</x:v>
      </x:c>
      <x:c r="AF102" s="12">
        <x:f>R102*E102</x:f>
        <x:v>432.96617905207705</x:v>
      </x:c>
      <x:c r="AG102" s="1">
        <x:f>IF(AND(I102&gt;=0,I102&lt;=1,Q102+R102&lt;=F102+0.00000001,N102&gt;=0,N102&lt;=1),1,0)</x:f>
        <x:v>1</x:v>
      </x:c>
      <x:c r="AH102" s="1"/>
      <x:c r="AI102" s="1"/>
    </x:row>
    <x:row r="103" ht="24" customHeight="1">
      <x:c r="A103" s="1" t="str">
        <x:v>H6.2</x:v>
      </x:c>
      <x:c r="B103" s="1" t="str">
        <x:v>S1</x:v>
      </x:c>
      <x:c r="C103" s="1" t="str">
        <x:v>Оба</x:v>
      </x:c>
      <x:c r="D103" s="1" t="n">
        <x:v>1</x:v>
      </x:c>
      <x:c r="E103" s="1" t="n">
        <x:v>1</x:v>
      </x:c>
      <x:c r="F103" s="12">
        <x:f>'Когорты'!D5*'Когорты'!K5</x:f>
        <x:v>1281280</x:v>
      </x:c>
      <x:c r="G103" s="8">
        <x:f>'Когорты'!F5</x:f>
        <x:v>0.23099999999999998</x:v>
      </x:c>
      <x:c r="H103" s="1">
        <x:f>'Когорты'!Q5</x:f>
        <x:v>1</x:v>
      </x:c>
      <x:c r="I103" s="8">
        <x:f>IF('Когорты'!S5&gt;0,G103*H103/'Когорты'!S5,0)</x:f>
        <x:v>0.22527794031597423</x:v>
      </x:c>
      <x:c r="J103" s="1">
        <x:f>F103*I103</x:f>
        <x:v>288644.11936805147</x:v>
      </x:c>
      <x:c r="K103" s="8">
        <x:f>'Воздействие'!C29*D103</x:f>
        <x:v>0</x:v>
      </x:c>
      <x:c r="L103" s="8">
        <x:f>'Воздействие'!D29*E103</x:f>
        <x:v>0.29999999999999999</x:v>
      </x:c>
      <x:c r="M103" s="8">
        <x:f>'Воздействие'!E29*D103*E103</x:f>
        <x:v>0</x:v>
      </x:c>
      <x:c r="N103" s="8">
        <x:f>K103+L103-M103</x:f>
        <x:v>0.29999999999999999</x:v>
      </x:c>
      <x:c r="O103" s="1">
        <x:f>J103*'Параметры'!$B$10*N103</x:f>
        <x:v>8659.3235810415445</x:v>
      </x:c>
      <x:c r="P103" s="8">
        <x:f>(1-'Воздействие'!F29*D103)*(1-'Воздействие'!G29*E103)</x:f>
        <x:v>1</x:v>
      </x:c>
      <x:c r="Q103" s="1">
        <x:f>J103*P103</x:f>
        <x:v>288644.11936805147</x:v>
      </x:c>
      <x:c r="R103" s="1">
        <x:f>O103*P103</x:f>
        <x:v>8659.3235810415445</x:v>
      </x:c>
      <x:c r="S103" s="8">
        <x:f>(1-'Гипотезы'!D11)*(1-'Гипотезы'!E11)</x:f>
        <x:v>0.5625</x:v>
      </x:c>
      <x:c r="T103" s="12">
        <x:f>Q103+R103*S103</x:f>
        <x:v>293514.98888238735</x:v>
      </x:c>
      <x:c r="U103" s="12">
        <x:f>T103-J103</x:f>
        <x:v>4870.8695143358782</x:v>
      </x:c>
      <x:c r="V103" s="12">
        <x:f>J103*'Когорты'!T5</x:f>
        <x:v>288644.11936805147</x:v>
      </x:c>
      <x:c r="W103" s="12">
        <x:f>Q103*'Когорты'!T5*(1+'Воздействие'!H29*N103)</x:f>
        <x:v>288644.11936805147</x:v>
      </x:c>
      <x:c r="X103" s="12">
        <x:f>R103*'Когорты'!T5*(1+'Воздействие'!H29*N103)</x:f>
        <x:v>8659.3235810415445</x:v>
      </x:c>
      <x:c r="Y103" s="12">
        <x:f>W103+X103*S103</x:f>
        <x:v>293514.98888238735</x:v>
      </x:c>
      <x:c r="Z103" s="12">
        <x:f>F103*N103</x:f>
        <x:v>384384</x:v>
      </x:c>
      <x:c r="AA103" s="12">
        <x:f>J103*D103</x:f>
        <x:v>288644.11936805147</x:v>
      </x:c>
      <x:c r="AB103" s="12">
        <x:f>Q103*D103</x:f>
        <x:v>288644.11936805147</x:v>
      </x:c>
      <x:c r="AC103" s="12">
        <x:f>R103*D103</x:f>
        <x:v>8659.3235810415445</x:v>
      </x:c>
      <x:c r="AD103" s="12">
        <x:f>J103*E103</x:f>
        <x:v>288644.11936805147</x:v>
      </x:c>
      <x:c r="AE103" s="12">
        <x:f>Q103*E103</x:f>
        <x:v>288644.11936805147</x:v>
      </x:c>
      <x:c r="AF103" s="12">
        <x:f>R103*E103</x:f>
        <x:v>8659.3235810415445</x:v>
      </x:c>
      <x:c r="AG103" s="1">
        <x:f>IF(AND(I103&gt;=0,I103&lt;=1,Q103+R103&lt;=F103+0.00000001,N103&gt;=0,N103&lt;=1),1,0)</x:f>
        <x:v>1</x:v>
      </x:c>
      <x:c r="AH103" s="1"/>
      <x:c r="AI103" s="1"/>
    </x:row>
    <x:row r="104" ht="24" customHeight="1">
      <x:c r="A104" s="1" t="str">
        <x:v>H6.2</x:v>
      </x:c>
      <x:c r="B104" s="1" t="str">
        <x:v>S1</x:v>
      </x:c>
      <x:c r="C104" s="1" t="str">
        <x:v>Ни один</x:v>
      </x:c>
      <x:c r="D104" s="1" t="n">
        <x:v>0</x:v>
      </x:c>
      <x:c r="E104" s="1" t="n">
        <x:v>0</x:v>
      </x:c>
      <x:c r="F104" s="12">
        <x:f>'Когорты'!D5*'Когорты'!N5</x:f>
        <x:v>3991679.9999999991</x:v>
      </x:c>
      <x:c r="G104" s="8">
        <x:f>'Когорты'!F5</x:f>
        <x:v>0.23099999999999998</x:v>
      </x:c>
      <x:c r="H104" s="1">
        <x:f>'Когорты'!R5</x:f>
        <x:v>0.29999999999999999</x:v>
      </x:c>
      <x:c r="I104" s="8">
        <x:f>IF('Когорты'!S5&gt;0,G104*H104/'Когорты'!S5,0)</x:f>
        <x:v>0.067583382094792255</x:v>
      </x:c>
      <x:c r="J104" s="1">
        <x:f>F104*I104</x:f>
        <x:v>269771.23464014026</x:v>
      </x:c>
      <x:c r="K104" s="8">
        <x:f>'Воздействие'!C29*D104</x:f>
        <x:v>0</x:v>
      </x:c>
      <x:c r="L104" s="8">
        <x:f>'Воздействие'!D29*E104</x:f>
        <x:v>0</x:v>
      </x:c>
      <x:c r="M104" s="8">
        <x:f>'Воздействие'!E29*D104*E104</x:f>
        <x:v>0</x:v>
      </x:c>
      <x:c r="N104" s="8">
        <x:f>K104+L104-M104</x:f>
        <x:v>0</x:v>
      </x:c>
      <x:c r="O104" s="1">
        <x:f>J104*'Параметры'!$B$10*N104</x:f>
        <x:v>0</x:v>
      </x:c>
      <x:c r="P104" s="8">
        <x:f>(1-'Воздействие'!F29*D104)*(1-'Воздействие'!G29*E104)</x:f>
        <x:v>1</x:v>
      </x:c>
      <x:c r="Q104" s="1">
        <x:f>J104*P104</x:f>
        <x:v>269771.23464014026</x:v>
      </x:c>
      <x:c r="R104" s="1">
        <x:f>O104*P104</x:f>
        <x:v>0</x:v>
      </x:c>
      <x:c r="S104" s="8">
        <x:f>(1-'Гипотезы'!D11)*(1-'Гипотезы'!E11)</x:f>
        <x:v>0.5625</x:v>
      </x:c>
      <x:c r="T104" s="12">
        <x:f>Q104+R104*S104</x:f>
        <x:v>269771.23464014026</x:v>
      </x:c>
      <x:c r="U104" s="12">
        <x:f>T104-J104</x:f>
        <x:v>0</x:v>
      </x:c>
      <x:c r="V104" s="12">
        <x:f>J104*'Когорты'!T5</x:f>
        <x:v>269771.23464014026</x:v>
      </x:c>
      <x:c r="W104" s="12">
        <x:f>Q104*'Когорты'!T5*(1+'Воздействие'!H29*N104)</x:f>
        <x:v>269771.23464014026</x:v>
      </x:c>
      <x:c r="X104" s="12">
        <x:f>R104*'Когорты'!T5*(1+'Воздействие'!H29*N104)</x:f>
        <x:v>0</x:v>
      </x:c>
      <x:c r="Y104" s="12">
        <x:f>W104+X104*S104</x:f>
        <x:v>269771.23464014026</x:v>
      </x:c>
      <x:c r="Z104" s="12">
        <x:f>F104*N104</x:f>
        <x:v>0</x:v>
      </x:c>
      <x:c r="AA104" s="12">
        <x:f>J104*D104</x:f>
        <x:v>0</x:v>
      </x:c>
      <x:c r="AB104" s="12">
        <x:f>Q104*D104</x:f>
        <x:v>0</x:v>
      </x:c>
      <x:c r="AC104" s="12">
        <x:f>R104*D104</x:f>
        <x:v>0</x:v>
      </x:c>
      <x:c r="AD104" s="12">
        <x:f>J104*E104</x:f>
        <x:v>0</x:v>
      </x:c>
      <x:c r="AE104" s="12">
        <x:f>Q104*E104</x:f>
        <x:v>0</x:v>
      </x:c>
      <x:c r="AF104" s="12">
        <x:f>R104*E104</x:f>
        <x:v>0</x:v>
      </x:c>
      <x:c r="AG104" s="1">
        <x:f>IF(AND(I104&gt;=0,I104&lt;=1,Q104+R104&lt;=F104+0.00000001,N104&gt;=0,N104&lt;=1),1,0)</x:f>
        <x:v>1</x:v>
      </x:c>
      <x:c r="AH104" s="1"/>
      <x:c r="AI104" s="1"/>
    </x:row>
    <x:row r="105" ht="24" customHeight="1">
      <x:c r="A105" s="1" t="str">
        <x:v>H6.2</x:v>
      </x:c>
      <x:c r="B105" s="1" t="str">
        <x:v>S2</x:v>
      </x:c>
      <x:c r="C105" s="1" t="str">
        <x:v>Только C</x:v>
      </x:c>
      <x:c r="D105" s="1" t="n">
        <x:v>1</x:v>
      </x:c>
      <x:c r="E105" s="1" t="n">
        <x:v>0</x:v>
      </x:c>
      <x:c r="F105" s="12">
        <x:f>'Когорты'!D6*'Когорты'!L6</x:f>
        <x:v>2882880</x:v>
      </x:c>
      <x:c r="G105" s="8">
        <x:f>'Когорты'!F6</x:f>
        <x:v>0.14099999999999999</x:v>
      </x:c>
      <x:c r="H105" s="1">
        <x:f>'Когорты'!O6</x:f>
        <x:v>1.5</x:v>
      </x:c>
      <x:c r="I105" s="8">
        <x:f>IF('Когорты'!S6&gt;0,G105*H105/'Когорты'!S6,0)</x:f>
        <x:v>0.2062609713282621</x:v>
      </x:c>
      <x:c r="J105" s="1">
        <x:f>F105*I105</x:f>
        <x:v>594625.62902282027</x:v>
      </x:c>
      <x:c r="K105" s="8">
        <x:f>'Воздействие'!C30*D105</x:f>
        <x:v>0</x:v>
      </x:c>
      <x:c r="L105" s="8">
        <x:f>'Воздействие'!D30*E105</x:f>
        <x:v>0</x:v>
      </x:c>
      <x:c r="M105" s="8">
        <x:f>'Воздействие'!E30*D105*E105</x:f>
        <x:v>0</x:v>
      </x:c>
      <x:c r="N105" s="8">
        <x:f>K105+L105-M105</x:f>
        <x:v>0</x:v>
      </x:c>
      <x:c r="O105" s="1">
        <x:f>J105*'Параметры'!$B$10*N105</x:f>
        <x:v>0</x:v>
      </x:c>
      <x:c r="P105" s="8">
        <x:f>(1-'Воздействие'!F30*D105)*(1-'Воздействие'!G30*E105)</x:f>
        <x:v>1</x:v>
      </x:c>
      <x:c r="Q105" s="1">
        <x:f>J105*P105</x:f>
        <x:v>594625.62902282027</x:v>
      </x:c>
      <x:c r="R105" s="1">
        <x:f>O105*P105</x:f>
        <x:v>0</x:v>
      </x:c>
      <x:c r="S105" s="8">
        <x:f>(1-'Гипотезы'!D11)*(1-'Гипотезы'!E11)</x:f>
        <x:v>0.5625</x:v>
      </x:c>
      <x:c r="T105" s="12">
        <x:f>Q105+R105*S105</x:f>
        <x:v>594625.62902282027</x:v>
      </x:c>
      <x:c r="U105" s="12">
        <x:f>T105-J105</x:f>
        <x:v>0</x:v>
      </x:c>
      <x:c r="V105" s="12">
        <x:f>J105*'Когорты'!T6</x:f>
        <x:v>594625.62902282027</x:v>
      </x:c>
      <x:c r="W105" s="12">
        <x:f>Q105*'Когорты'!T6*(1+'Воздействие'!H30*N105)</x:f>
        <x:v>594625.62902282027</x:v>
      </x:c>
      <x:c r="X105" s="12">
        <x:f>R105*'Когорты'!T6*(1+'Воздействие'!H30*N105)</x:f>
        <x:v>0</x:v>
      </x:c>
      <x:c r="Y105" s="12">
        <x:f>W105+X105*S105</x:f>
        <x:v>594625.62902282027</x:v>
      </x:c>
      <x:c r="Z105" s="12">
        <x:f>F105*N105</x:f>
        <x:v>0</x:v>
      </x:c>
      <x:c r="AA105" s="12">
        <x:f>J105*D105</x:f>
        <x:v>594625.62902282027</x:v>
      </x:c>
      <x:c r="AB105" s="12">
        <x:f>Q105*D105</x:f>
        <x:v>594625.62902282027</x:v>
      </x:c>
      <x:c r="AC105" s="12">
        <x:f>R105*D105</x:f>
        <x:v>0</x:v>
      </x:c>
      <x:c r="AD105" s="12">
        <x:f>J105*E105</x:f>
        <x:v>0</x:v>
      </x:c>
      <x:c r="AE105" s="12">
        <x:f>Q105*E105</x:f>
        <x:v>0</x:v>
      </x:c>
      <x:c r="AF105" s="12">
        <x:f>R105*E105</x:f>
        <x:v>0</x:v>
      </x:c>
      <x:c r="AG105" s="1">
        <x:f>IF(AND(I105&gt;=0,I105&lt;=1,Q105+R105&lt;=F105+0.00000001,N105&gt;=0,N105&lt;=1),1,0)</x:f>
        <x:v>1</x:v>
      </x:c>
      <x:c r="AH105" s="1"/>
      <x:c r="AI105" s="1"/>
    </x:row>
    <x:row r="106" ht="24" customHeight="1">
      <x:c r="A106" s="1" t="str">
        <x:v>H6.2</x:v>
      </x:c>
      <x:c r="B106" s="1" t="str">
        <x:v>S2</x:v>
      </x:c>
      <x:c r="C106" s="1" t="str">
        <x:v>Только F</x:v>
      </x:c>
      <x:c r="D106" s="1" t="n">
        <x:v>0</x:v>
      </x:c>
      <x:c r="E106" s="1" t="n">
        <x:v>1</x:v>
      </x:c>
      <x:c r="F106" s="12">
        <x:f>'Когорты'!D6*'Когорты'!M6</x:f>
        <x:v>137279.99999999997</x:v>
      </x:c>
      <x:c r="G106" s="8">
        <x:f>'Когорты'!F6</x:f>
        <x:v>0.14099999999999999</x:v>
      </x:c>
      <x:c r="H106" s="1">
        <x:f>'Когорты'!P6</x:f>
        <x:v>0.20000000000000001</x:v>
      </x:c>
      <x:c r="I106" s="8">
        <x:f>IF('Когорты'!S6&gt;0,G106*H106/'Когорты'!S6,0)</x:f>
        <x:v>0.027501462843768282</x:v>
      </x:c>
      <x:c r="J106" s="1">
        <x:f>F106*I106</x:f>
        <x:v>3775.4008191925091</x:v>
      </x:c>
      <x:c r="K106" s="8">
        <x:f>'Воздействие'!C30*D106</x:f>
        <x:v>0</x:v>
      </x:c>
      <x:c r="L106" s="8">
        <x:f>'Воздействие'!D30*E106</x:f>
        <x:v>0.29999999999999999</x:v>
      </x:c>
      <x:c r="M106" s="8">
        <x:f>'Воздействие'!E30*D106*E106</x:f>
        <x:v>0</x:v>
      </x:c>
      <x:c r="N106" s="8">
        <x:f>K106+L106-M106</x:f>
        <x:v>0.29999999999999999</x:v>
      </x:c>
      <x:c r="O106" s="1">
        <x:f>J106*'Параметры'!$B$10*N106</x:f>
        <x:v>113.26202457577529</x:v>
      </x:c>
      <x:c r="P106" s="8">
        <x:f>(1-'Воздействие'!F30*D106)*(1-'Воздействие'!G30*E106)</x:f>
        <x:v>1</x:v>
      </x:c>
      <x:c r="Q106" s="1">
        <x:f>J106*P106</x:f>
        <x:v>3775.4008191925091</x:v>
      </x:c>
      <x:c r="R106" s="1">
        <x:f>O106*P106</x:f>
        <x:v>113.26202457577529</x:v>
      </x:c>
      <x:c r="S106" s="8">
        <x:f>(1-'Гипотезы'!D11)*(1-'Гипотезы'!E11)</x:f>
        <x:v>0.5625</x:v>
      </x:c>
      <x:c r="T106" s="12">
        <x:f>Q106+R106*S106</x:f>
        <x:v>3839.1107080163829</x:v>
      </x:c>
      <x:c r="U106" s="12">
        <x:f>T106-J106</x:f>
        <x:v>63.709888823873825</x:v>
      </x:c>
      <x:c r="V106" s="12">
        <x:f>J106*'Когорты'!T6</x:f>
        <x:v>3775.4008191925091</x:v>
      </x:c>
      <x:c r="W106" s="12">
        <x:f>Q106*'Когорты'!T6*(1+'Воздействие'!H30*N106)</x:f>
        <x:v>3775.4008191925091</x:v>
      </x:c>
      <x:c r="X106" s="12">
        <x:f>R106*'Когорты'!T6*(1+'Воздействие'!H30*N106)</x:f>
        <x:v>113.26202457577529</x:v>
      </x:c>
      <x:c r="Y106" s="12">
        <x:f>W106+X106*S106</x:f>
        <x:v>3839.1107080163829</x:v>
      </x:c>
      <x:c r="Z106" s="12">
        <x:f>F106*N106</x:f>
        <x:v>41183.999999999993</x:v>
      </x:c>
      <x:c r="AA106" s="12">
        <x:f>J106*D106</x:f>
        <x:v>0</x:v>
      </x:c>
      <x:c r="AB106" s="12">
        <x:f>Q106*D106</x:f>
        <x:v>0</x:v>
      </x:c>
      <x:c r="AC106" s="12">
        <x:f>R106*D106</x:f>
        <x:v>0</x:v>
      </x:c>
      <x:c r="AD106" s="12">
        <x:f>J106*E106</x:f>
        <x:v>3775.4008191925091</x:v>
      </x:c>
      <x:c r="AE106" s="12">
        <x:f>Q106*E106</x:f>
        <x:v>3775.4008191925091</x:v>
      </x:c>
      <x:c r="AF106" s="12">
        <x:f>R106*E106</x:f>
        <x:v>113.26202457577529</x:v>
      </x:c>
      <x:c r="AG106" s="1">
        <x:f>IF(AND(I106&gt;=0,I106&lt;=1,Q106+R106&lt;=F106+0.00000001,N106&gt;=0,N106&lt;=1),1,0)</x:f>
        <x:v>1</x:v>
      </x:c>
      <x:c r="AH106" s="1"/>
      <x:c r="AI106" s="1"/>
    </x:row>
    <x:row r="107" ht="24" customHeight="1">
      <x:c r="A107" s="1" t="str">
        <x:v>H6.2</x:v>
      </x:c>
      <x:c r="B107" s="1" t="str">
        <x:v>S2</x:v>
      </x:c>
      <x:c r="C107" s="1" t="str">
        <x:v>Оба</x:v>
      </x:c>
      <x:c r="D107" s="1" t="n">
        <x:v>1</x:v>
      </x:c>
      <x:c r="E107" s="1" t="n">
        <x:v>1</x:v>
      </x:c>
      <x:c r="F107" s="12">
        <x:f>'Когорты'!D6*'Когорты'!K6</x:f>
        <x:v>549120</x:v>
      </x:c>
      <x:c r="G107" s="8">
        <x:f>'Когорты'!F6</x:f>
        <x:v>0.14099999999999999</x:v>
      </x:c>
      <x:c r="H107" s="1">
        <x:f>'Когорты'!Q6</x:f>
        <x:v>1</x:v>
      </x:c>
      <x:c r="I107" s="8">
        <x:f>IF('Когорты'!S6&gt;0,G107*H107/'Когорты'!S6,0)</x:f>
        <x:v>0.13750731421884141</x:v>
      </x:c>
      <x:c r="J107" s="1">
        <x:f>F107*I107</x:f>
        <x:v>75508.01638385019</x:v>
      </x:c>
      <x:c r="K107" s="8">
        <x:f>'Воздействие'!C30*D107</x:f>
        <x:v>0</x:v>
      </x:c>
      <x:c r="L107" s="8">
        <x:f>'Воздействие'!D30*E107</x:f>
        <x:v>0.29999999999999999</x:v>
      </x:c>
      <x:c r="M107" s="8">
        <x:f>'Воздействие'!E30*D107*E107</x:f>
        <x:v>0</x:v>
      </x:c>
      <x:c r="N107" s="8">
        <x:f>K107+L107-M107</x:f>
        <x:v>0.29999999999999999</x:v>
      </x:c>
      <x:c r="O107" s="1">
        <x:f>J107*'Параметры'!$B$10*N107</x:f>
        <x:v>2265.2404915155057</x:v>
      </x:c>
      <x:c r="P107" s="8">
        <x:f>(1-'Воздействие'!F30*D107)*(1-'Воздействие'!G30*E107)</x:f>
        <x:v>1</x:v>
      </x:c>
      <x:c r="Q107" s="1">
        <x:f>J107*P107</x:f>
        <x:v>75508.01638385019</x:v>
      </x:c>
      <x:c r="R107" s="1">
        <x:f>O107*P107</x:f>
        <x:v>2265.2404915155057</x:v>
      </x:c>
      <x:c r="S107" s="8">
        <x:f>(1-'Гипотезы'!D11)*(1-'Гипотезы'!E11)</x:f>
        <x:v>0.5625</x:v>
      </x:c>
      <x:c r="T107" s="12">
        <x:f>Q107+R107*S107</x:f>
        <x:v>76782.214160327669</x:v>
      </x:c>
      <x:c r="U107" s="12">
        <x:f>T107-J107</x:f>
        <x:v>1274.1977764774783</x:v>
      </x:c>
      <x:c r="V107" s="12">
        <x:f>J107*'Когорты'!T6</x:f>
        <x:v>75508.01638385019</x:v>
      </x:c>
      <x:c r="W107" s="12">
        <x:f>Q107*'Когорты'!T6*(1+'Воздействие'!H30*N107)</x:f>
        <x:v>75508.01638385019</x:v>
      </x:c>
      <x:c r="X107" s="12">
        <x:f>R107*'Когорты'!T6*(1+'Воздействие'!H30*N107)</x:f>
        <x:v>2265.2404915155057</x:v>
      </x:c>
      <x:c r="Y107" s="12">
        <x:f>W107+X107*S107</x:f>
        <x:v>76782.214160327669</x:v>
      </x:c>
      <x:c r="Z107" s="12">
        <x:f>F107*N107</x:f>
        <x:v>164736</x:v>
      </x:c>
      <x:c r="AA107" s="12">
        <x:f>J107*D107</x:f>
        <x:v>75508.01638385019</x:v>
      </x:c>
      <x:c r="AB107" s="12">
        <x:f>Q107*D107</x:f>
        <x:v>75508.01638385019</x:v>
      </x:c>
      <x:c r="AC107" s="12">
        <x:f>R107*D107</x:f>
        <x:v>2265.2404915155057</x:v>
      </x:c>
      <x:c r="AD107" s="12">
        <x:f>J107*E107</x:f>
        <x:v>75508.01638385019</x:v>
      </x:c>
      <x:c r="AE107" s="12">
        <x:f>Q107*E107</x:f>
        <x:v>75508.01638385019</x:v>
      </x:c>
      <x:c r="AF107" s="12">
        <x:f>R107*E107</x:f>
        <x:v>2265.2404915155057</x:v>
      </x:c>
      <x:c r="AG107" s="1">
        <x:f>IF(AND(I107&gt;=0,I107&lt;=1,Q107+R107&lt;=F107+0.00000001,N107&gt;=0,N107&lt;=1),1,0)</x:f>
        <x:v>1</x:v>
      </x:c>
      <x:c r="AH107" s="1"/>
      <x:c r="AI107" s="1"/>
    </x:row>
    <x:row r="108" ht="24" customHeight="1">
      <x:c r="A108" s="1" t="str">
        <x:v>H6.2</x:v>
      </x:c>
      <x:c r="B108" s="1" t="str">
        <x:v>S2</x:v>
      </x:c>
      <x:c r="C108" s="1" t="str">
        <x:v>Ни один</x:v>
      </x:c>
      <x:c r="D108" s="1" t="n">
        <x:v>0</x:v>
      </x:c>
      <x:c r="E108" s="1" t="n">
        <x:v>0</x:v>
      </x:c>
      <x:c r="F108" s="12">
        <x:f>'Когорты'!D6*'Когорты'!N6</x:f>
        <x:v>1710719.9999999998</x:v>
      </x:c>
      <x:c r="G108" s="8">
        <x:f>'Когорты'!F6</x:f>
        <x:v>0.14099999999999999</x:v>
      </x:c>
      <x:c r="H108" s="1">
        <x:f>'Когорты'!R6</x:f>
        <x:v>0.29999999999999999</x:v>
      </x:c>
      <x:c r="I108" s="8">
        <x:f>IF('Когорты'!S6&gt;0,G108*H108/'Когорты'!S6,0)</x:f>
        <x:v>0.041252194265652423</x:v>
      </x:c>
      <x:c r="J108" s="1">
        <x:f>F108*I108</x:f>
        <x:v>70570.953774136899</x:v>
      </x:c>
      <x:c r="K108" s="8">
        <x:f>'Воздействие'!C30*D108</x:f>
        <x:v>0</x:v>
      </x:c>
      <x:c r="L108" s="8">
        <x:f>'Воздействие'!D30*E108</x:f>
        <x:v>0</x:v>
      </x:c>
      <x:c r="M108" s="8">
        <x:f>'Воздействие'!E30*D108*E108</x:f>
        <x:v>0</x:v>
      </x:c>
      <x:c r="N108" s="8">
        <x:f>K108+L108-M108</x:f>
        <x:v>0</x:v>
      </x:c>
      <x:c r="O108" s="1">
        <x:f>J108*'Параметры'!$B$10*N108</x:f>
        <x:v>0</x:v>
      </x:c>
      <x:c r="P108" s="8">
        <x:f>(1-'Воздействие'!F30*D108)*(1-'Воздействие'!G30*E108)</x:f>
        <x:v>1</x:v>
      </x:c>
      <x:c r="Q108" s="1">
        <x:f>J108*P108</x:f>
        <x:v>70570.953774136899</x:v>
      </x:c>
      <x:c r="R108" s="1">
        <x:f>O108*P108</x:f>
        <x:v>0</x:v>
      </x:c>
      <x:c r="S108" s="8">
        <x:f>(1-'Гипотезы'!D11)*(1-'Гипотезы'!E11)</x:f>
        <x:v>0.5625</x:v>
      </x:c>
      <x:c r="T108" s="12">
        <x:f>Q108+R108*S108</x:f>
        <x:v>70570.953774136899</x:v>
      </x:c>
      <x:c r="U108" s="12">
        <x:f>T108-J108</x:f>
        <x:v>0</x:v>
      </x:c>
      <x:c r="V108" s="12">
        <x:f>J108*'Когорты'!T6</x:f>
        <x:v>70570.953774136899</x:v>
      </x:c>
      <x:c r="W108" s="12">
        <x:f>Q108*'Когорты'!T6*(1+'Воздействие'!H30*N108)</x:f>
        <x:v>70570.953774136899</x:v>
      </x:c>
      <x:c r="X108" s="12">
        <x:f>R108*'Когорты'!T6*(1+'Воздействие'!H30*N108)</x:f>
        <x:v>0</x:v>
      </x:c>
      <x:c r="Y108" s="12">
        <x:f>W108+X108*S108</x:f>
        <x:v>70570.953774136899</x:v>
      </x:c>
      <x:c r="Z108" s="12">
        <x:f>F108*N108</x:f>
        <x:v>0</x:v>
      </x:c>
      <x:c r="AA108" s="12">
        <x:f>J108*D108</x:f>
        <x:v>0</x:v>
      </x:c>
      <x:c r="AB108" s="12">
        <x:f>Q108*D108</x:f>
        <x:v>0</x:v>
      </x:c>
      <x:c r="AC108" s="12">
        <x:f>R108*D108</x:f>
        <x:v>0</x:v>
      </x:c>
      <x:c r="AD108" s="12">
        <x:f>J108*E108</x:f>
        <x:v>0</x:v>
      </x:c>
      <x:c r="AE108" s="12">
        <x:f>Q108*E108</x:f>
        <x:v>0</x:v>
      </x:c>
      <x:c r="AF108" s="12">
        <x:f>R108*E108</x:f>
        <x:v>0</x:v>
      </x:c>
      <x:c r="AG108" s="1">
        <x:f>IF(AND(I108&gt;=0,I108&lt;=1,Q108+R108&lt;=F108+0.00000001,N108&gt;=0,N108&lt;=1),1,0)</x:f>
        <x:v>1</x:v>
      </x:c>
      <x:c r="AH108" s="1"/>
      <x:c r="AI108" s="1"/>
    </x:row>
    <x:row r="109" ht="24" customHeight="1">
      <x:c r="A109" s="1" t="str">
        <x:v>H6.2</x:v>
      </x:c>
      <x:c r="B109" s="1" t="str">
        <x:v>S3</x:v>
      </x:c>
      <x:c r="C109" s="1" t="str">
        <x:v>Только C</x:v>
      </x:c>
      <x:c r="D109" s="1" t="n">
        <x:v>1</x:v>
      </x:c>
      <x:c r="E109" s="1" t="n">
        <x:v>0</x:v>
      </x:c>
      <x:c r="F109" s="12">
        <x:f>'Когорты'!D7*'Когорты'!L7</x:f>
        <x:v>4324320</x:v>
      </x:c>
      <x:c r="G109" s="8">
        <x:f>'Когорты'!F7</x:f>
        <x:v>0.05099999999999999</x:v>
      </x:c>
      <x:c r="H109" s="1">
        <x:f>'Когорты'!O7</x:f>
        <x:v>1.5</x:v>
      </x:c>
      <x:c r="I109" s="8">
        <x:f>IF('Когорты'!S7&gt;0,G109*H109/'Когорты'!S7,0)</x:f>
        <x:v>0.074605032182562883</x:v>
      </x:c>
      <x:c r="J109" s="1">
        <x:f>F109*I109</x:f>
        <x:v>322616.03276770032</x:v>
      </x:c>
      <x:c r="K109" s="8">
        <x:f>'Воздействие'!C31*D109</x:f>
        <x:v>0</x:v>
      </x:c>
      <x:c r="L109" s="8">
        <x:f>'Воздействие'!D31*E109</x:f>
        <x:v>0</x:v>
      </x:c>
      <x:c r="M109" s="8">
        <x:f>'Воздействие'!E31*D109*E109</x:f>
        <x:v>0</x:v>
      </x:c>
      <x:c r="N109" s="8">
        <x:f>K109+L109-M109</x:f>
        <x:v>0</x:v>
      </x:c>
      <x:c r="O109" s="1">
        <x:f>J109*'Параметры'!$B$10*N109</x:f>
        <x:v>0</x:v>
      </x:c>
      <x:c r="P109" s="8">
        <x:f>(1-'Воздействие'!F31*D109)*(1-'Воздействие'!G31*E109)</x:f>
        <x:v>1</x:v>
      </x:c>
      <x:c r="Q109" s="1">
        <x:f>J109*P109</x:f>
        <x:v>322616.03276770032</x:v>
      </x:c>
      <x:c r="R109" s="1">
        <x:f>O109*P109</x:f>
        <x:v>0</x:v>
      </x:c>
      <x:c r="S109" s="8">
        <x:f>(1-'Гипотезы'!D11)*(1-'Гипотезы'!E11)</x:f>
        <x:v>0.5625</x:v>
      </x:c>
      <x:c r="T109" s="12">
        <x:f>Q109+R109*S109</x:f>
        <x:v>322616.03276770032</x:v>
      </x:c>
      <x:c r="U109" s="12">
        <x:f>T109-J109</x:f>
        <x:v>0</x:v>
      </x:c>
      <x:c r="V109" s="12">
        <x:f>J109*'Когорты'!T7</x:f>
        <x:v>322616.03276770032</x:v>
      </x:c>
      <x:c r="W109" s="12">
        <x:f>Q109*'Когорты'!T7*(1+'Воздействие'!H31*N109)</x:f>
        <x:v>322616.03276770032</x:v>
      </x:c>
      <x:c r="X109" s="12">
        <x:f>R109*'Когорты'!T7*(1+'Воздействие'!H31*N109)</x:f>
        <x:v>0</x:v>
      </x:c>
      <x:c r="Y109" s="12">
        <x:f>W109+X109*S109</x:f>
        <x:v>322616.03276770032</x:v>
      </x:c>
      <x:c r="Z109" s="12">
        <x:f>F109*N109</x:f>
        <x:v>0</x:v>
      </x:c>
      <x:c r="AA109" s="12">
        <x:f>J109*D109</x:f>
        <x:v>322616.03276770032</x:v>
      </x:c>
      <x:c r="AB109" s="12">
        <x:f>Q109*D109</x:f>
        <x:v>322616.03276770032</x:v>
      </x:c>
      <x:c r="AC109" s="12">
        <x:f>R109*D109</x:f>
        <x:v>0</x:v>
      </x:c>
      <x:c r="AD109" s="12">
        <x:f>J109*E109</x:f>
        <x:v>0</x:v>
      </x:c>
      <x:c r="AE109" s="12">
        <x:f>Q109*E109</x:f>
        <x:v>0</x:v>
      </x:c>
      <x:c r="AF109" s="12">
        <x:f>R109*E109</x:f>
        <x:v>0</x:v>
      </x:c>
      <x:c r="AG109" s="1">
        <x:f>IF(AND(I109&gt;=0,I109&lt;=1,Q109+R109&lt;=F109+0.00000001,N109&gt;=0,N109&lt;=1),1,0)</x:f>
        <x:v>1</x:v>
      </x:c>
      <x:c r="AH109" s="1"/>
      <x:c r="AI109" s="1"/>
    </x:row>
    <x:row r="110" ht="24" customHeight="1">
      <x:c r="A110" s="1" t="str">
        <x:v>H6.2</x:v>
      </x:c>
      <x:c r="B110" s="1" t="str">
        <x:v>S3</x:v>
      </x:c>
      <x:c r="C110" s="1" t="str">
        <x:v>Только F</x:v>
      </x:c>
      <x:c r="D110" s="1" t="n">
        <x:v>0</x:v>
      </x:c>
      <x:c r="E110" s="1" t="n">
        <x:v>1</x:v>
      </x:c>
      <x:c r="F110" s="12">
        <x:f>'Когорты'!D7*'Когорты'!M7</x:f>
        <x:v>205919.99999999997</x:v>
      </x:c>
      <x:c r="G110" s="8">
        <x:f>'Когорты'!F7</x:f>
        <x:v>0.05099999999999999</x:v>
      </x:c>
      <x:c r="H110" s="1">
        <x:f>'Когорты'!P7</x:f>
        <x:v>0.20000000000000001</x:v>
      </x:c>
      <x:c r="I110" s="8">
        <x:f>IF('Когорты'!S7&gt;0,G110*H110/'Когорты'!S7,0)</x:f>
        <x:v>0.0099473376243417178</x:v>
      </x:c>
      <x:c r="J110" s="1">
        <x:f>F110*I110</x:f>
        <x:v>2048.3557636044461</x:v>
      </x:c>
      <x:c r="K110" s="8">
        <x:f>'Воздействие'!C31*D110</x:f>
        <x:v>0</x:v>
      </x:c>
      <x:c r="L110" s="8">
        <x:f>'Воздействие'!D31*E110</x:f>
        <x:v>0.10000000000000001</x:v>
      </x:c>
      <x:c r="M110" s="8">
        <x:f>'Воздействие'!E31*D110*E110</x:f>
        <x:v>0</x:v>
      </x:c>
      <x:c r="N110" s="8">
        <x:f>K110+L110-M110</x:f>
        <x:v>0.10000000000000001</x:v>
      </x:c>
      <x:c r="O110" s="1">
        <x:f>J110*'Параметры'!$B$10*N110</x:f>
        <x:v>20.483557636044466</x:v>
      </x:c>
      <x:c r="P110" s="8">
        <x:f>(1-'Воздействие'!F31*D110)*(1-'Воздействие'!G31*E110)</x:f>
        <x:v>1</x:v>
      </x:c>
      <x:c r="Q110" s="1">
        <x:f>J110*P110</x:f>
        <x:v>2048.3557636044461</x:v>
      </x:c>
      <x:c r="R110" s="1">
        <x:f>O110*P110</x:f>
        <x:v>20.483557636044466</x:v>
      </x:c>
      <x:c r="S110" s="8">
        <x:f>(1-'Гипотезы'!D11)*(1-'Гипотезы'!E11)</x:f>
        <x:v>0.5625</x:v>
      </x:c>
      <x:c r="T110" s="12">
        <x:f>Q110+R110*S110</x:f>
        <x:v>2059.8777647747211</x:v>
      </x:c>
      <x:c r="U110" s="12">
        <x:f>T110-J110</x:f>
        <x:v>11.522001170274962</x:v>
      </x:c>
      <x:c r="V110" s="12">
        <x:f>J110*'Когорты'!T7</x:f>
        <x:v>2048.3557636044461</x:v>
      </x:c>
      <x:c r="W110" s="12">
        <x:f>Q110*'Когорты'!T7*(1+'Воздействие'!H31*N110)</x:f>
        <x:v>2048.3557636044461</x:v>
      </x:c>
      <x:c r="X110" s="12">
        <x:f>R110*'Когорты'!T7*(1+'Воздействие'!H31*N110)</x:f>
        <x:v>20.483557636044466</x:v>
      </x:c>
      <x:c r="Y110" s="12">
        <x:f>W110+X110*S110</x:f>
        <x:v>2059.8777647747211</x:v>
      </x:c>
      <x:c r="Z110" s="12">
        <x:f>F110*N110</x:f>
        <x:v>20592</x:v>
      </x:c>
      <x:c r="AA110" s="12">
        <x:f>J110*D110</x:f>
        <x:v>0</x:v>
      </x:c>
      <x:c r="AB110" s="12">
        <x:f>Q110*D110</x:f>
        <x:v>0</x:v>
      </x:c>
      <x:c r="AC110" s="12">
        <x:f>R110*D110</x:f>
        <x:v>0</x:v>
      </x:c>
      <x:c r="AD110" s="12">
        <x:f>J110*E110</x:f>
        <x:v>2048.3557636044461</x:v>
      </x:c>
      <x:c r="AE110" s="12">
        <x:f>Q110*E110</x:f>
        <x:v>2048.3557636044461</x:v>
      </x:c>
      <x:c r="AF110" s="12">
        <x:f>R110*E110</x:f>
        <x:v>20.483557636044466</x:v>
      </x:c>
      <x:c r="AG110" s="1">
        <x:f>IF(AND(I110&gt;=0,I110&lt;=1,Q110+R110&lt;=F110+0.00000001,N110&gt;=0,N110&lt;=1),1,0)</x:f>
        <x:v>1</x:v>
      </x:c>
      <x:c r="AH110" s="1"/>
      <x:c r="AI110" s="1"/>
    </x:row>
    <x:row r="111" ht="24" customHeight="1">
      <x:c r="A111" s="1" t="str">
        <x:v>H6.2</x:v>
      </x:c>
      <x:c r="B111" s="1" t="str">
        <x:v>S3</x:v>
      </x:c>
      <x:c r="C111" s="1" t="str">
        <x:v>Оба</x:v>
      </x:c>
      <x:c r="D111" s="1" t="n">
        <x:v>1</x:v>
      </x:c>
      <x:c r="E111" s="1" t="n">
        <x:v>1</x:v>
      </x:c>
      <x:c r="F111" s="12">
        <x:f>'Когорты'!D7*'Когорты'!K7</x:f>
        <x:v>823680.00000000012</x:v>
      </x:c>
      <x:c r="G111" s="8">
        <x:f>'Когорты'!F7</x:f>
        <x:v>0.05099999999999999</x:v>
      </x:c>
      <x:c r="H111" s="1">
        <x:f>'Когорты'!Q7</x:f>
        <x:v>1</x:v>
      </x:c>
      <x:c r="I111" s="8">
        <x:f>IF('Когорты'!S7&gt;0,G111*H111/'Когорты'!S7,0)</x:f>
        <x:v>0.049736688121708589</x:v>
      </x:c>
      <x:c r="J111" s="1">
        <x:f>F111*I111</x:f>
        <x:v>40967.115272088937</x:v>
      </x:c>
      <x:c r="K111" s="8">
        <x:f>'Воздействие'!C31*D111</x:f>
        <x:v>0</x:v>
      </x:c>
      <x:c r="L111" s="8">
        <x:f>'Воздействие'!D31*E111</x:f>
        <x:v>0.10000000000000001</x:v>
      </x:c>
      <x:c r="M111" s="8">
        <x:f>'Воздействие'!E31*D111*E111</x:f>
        <x:v>0</x:v>
      </x:c>
      <x:c r="N111" s="8">
        <x:f>K111+L111-M111</x:f>
        <x:v>0.10000000000000001</x:v>
      </x:c>
      <x:c r="O111" s="1">
        <x:f>J111*'Параметры'!$B$10*N111</x:f>
        <x:v>409.67115272088944</x:v>
      </x:c>
      <x:c r="P111" s="8">
        <x:f>(1-'Воздействие'!F31*D111)*(1-'Воздействие'!G31*E111)</x:f>
        <x:v>1</x:v>
      </x:c>
      <x:c r="Q111" s="1">
        <x:f>J111*P111</x:f>
        <x:v>40967.115272088937</x:v>
      </x:c>
      <x:c r="R111" s="1">
        <x:f>O111*P111</x:f>
        <x:v>409.67115272088944</x:v>
      </x:c>
      <x:c r="S111" s="8">
        <x:f>(1-'Гипотезы'!D11)*(1-'Гипотезы'!E11)</x:f>
        <x:v>0.5625</x:v>
      </x:c>
      <x:c r="T111" s="12">
        <x:f>Q111+R111*S111</x:f>
        <x:v>41197.555295494436</x:v>
      </x:c>
      <x:c r="U111" s="12">
        <x:f>T111-J111</x:f>
        <x:v>230.44002340549923</x:v>
      </x:c>
      <x:c r="V111" s="12">
        <x:f>J111*'Когорты'!T7</x:f>
        <x:v>40967.115272088937</x:v>
      </x:c>
      <x:c r="W111" s="12">
        <x:f>Q111*'Когорты'!T7*(1+'Воздействие'!H31*N111)</x:f>
        <x:v>40967.115272088937</x:v>
      </x:c>
      <x:c r="X111" s="12">
        <x:f>R111*'Когорты'!T7*(1+'Воздействие'!H31*N111)</x:f>
        <x:v>409.67115272088944</x:v>
      </x:c>
      <x:c r="Y111" s="12">
        <x:f>W111+X111*S111</x:f>
        <x:v>41197.555295494436</x:v>
      </x:c>
      <x:c r="Z111" s="12">
        <x:f>F111*N111</x:f>
        <x:v>82368.000000000015</x:v>
      </x:c>
      <x:c r="AA111" s="12">
        <x:f>J111*D111</x:f>
        <x:v>40967.115272088937</x:v>
      </x:c>
      <x:c r="AB111" s="12">
        <x:f>Q111*D111</x:f>
        <x:v>40967.115272088937</x:v>
      </x:c>
      <x:c r="AC111" s="12">
        <x:f>R111*D111</x:f>
        <x:v>409.67115272088944</x:v>
      </x:c>
      <x:c r="AD111" s="12">
        <x:f>J111*E111</x:f>
        <x:v>40967.115272088937</x:v>
      </x:c>
      <x:c r="AE111" s="12">
        <x:f>Q111*E111</x:f>
        <x:v>40967.115272088937</x:v>
      </x:c>
      <x:c r="AF111" s="12">
        <x:f>R111*E111</x:f>
        <x:v>409.67115272088944</x:v>
      </x:c>
      <x:c r="AG111" s="1">
        <x:f>IF(AND(I111&gt;=0,I111&lt;=1,Q111+R111&lt;=F111+0.00000001,N111&gt;=0,N111&lt;=1),1,0)</x:f>
        <x:v>1</x:v>
      </x:c>
      <x:c r="AH111" s="1"/>
      <x:c r="AI111" s="1"/>
    </x:row>
    <x:row r="112" ht="24" customHeight="1">
      <x:c r="A112" s="1" t="str">
        <x:v>H6.2</x:v>
      </x:c>
      <x:c r="B112" s="1" t="str">
        <x:v>S3</x:v>
      </x:c>
      <x:c r="C112" s="1" t="str">
        <x:v>Ни один</x:v>
      </x:c>
      <x:c r="D112" s="1" t="n">
        <x:v>0</x:v>
      </x:c>
      <x:c r="E112" s="1" t="n">
        <x:v>0</x:v>
      </x:c>
      <x:c r="F112" s="12">
        <x:f>'Когорты'!D7*'Когорты'!N7</x:f>
        <x:v>2566079.9999999995</x:v>
      </x:c>
      <x:c r="G112" s="8">
        <x:f>'Когорты'!F7</x:f>
        <x:v>0.05099999999999999</x:v>
      </x:c>
      <x:c r="H112" s="1">
        <x:f>'Когорты'!R7</x:f>
        <x:v>0.29999999999999999</x:v>
      </x:c>
      <x:c r="I112" s="8">
        <x:f>IF('Когорты'!S7&gt;0,G112*H112/'Когорты'!S7,0)</x:f>
        <x:v>0.014921006436512575</x:v>
      </x:c>
      <x:c r="J112" s="1">
        <x:f>F112*I112</x:f>
        <x:v>38288.496196606182</x:v>
      </x:c>
      <x:c r="K112" s="8">
        <x:f>'Воздействие'!C31*D112</x:f>
        <x:v>0</x:v>
      </x:c>
      <x:c r="L112" s="8">
        <x:f>'Воздействие'!D31*E112</x:f>
        <x:v>0</x:v>
      </x:c>
      <x:c r="M112" s="8">
        <x:f>'Воздействие'!E31*D112*E112</x:f>
        <x:v>0</x:v>
      </x:c>
      <x:c r="N112" s="8">
        <x:f>K112+L112-M112</x:f>
        <x:v>0</x:v>
      </x:c>
      <x:c r="O112" s="1">
        <x:f>J112*'Параметры'!$B$10*N112</x:f>
        <x:v>0</x:v>
      </x:c>
      <x:c r="P112" s="8">
        <x:f>(1-'Воздействие'!F31*D112)*(1-'Воздействие'!G31*E112)</x:f>
        <x:v>1</x:v>
      </x:c>
      <x:c r="Q112" s="1">
        <x:f>J112*P112</x:f>
        <x:v>38288.496196606182</x:v>
      </x:c>
      <x:c r="R112" s="1">
        <x:f>O112*P112</x:f>
        <x:v>0</x:v>
      </x:c>
      <x:c r="S112" s="8">
        <x:f>(1-'Гипотезы'!D11)*(1-'Гипотезы'!E11)</x:f>
        <x:v>0.5625</x:v>
      </x:c>
      <x:c r="T112" s="12">
        <x:f>Q112+R112*S112</x:f>
        <x:v>38288.496196606182</x:v>
      </x:c>
      <x:c r="U112" s="12">
        <x:f>T112-J112</x:f>
        <x:v>0</x:v>
      </x:c>
      <x:c r="V112" s="12">
        <x:f>J112*'Когорты'!T7</x:f>
        <x:v>38288.496196606182</x:v>
      </x:c>
      <x:c r="W112" s="12">
        <x:f>Q112*'Когорты'!T7*(1+'Воздействие'!H31*N112)</x:f>
        <x:v>38288.496196606182</x:v>
      </x:c>
      <x:c r="X112" s="12">
        <x:f>R112*'Когорты'!T7*(1+'Воздействие'!H31*N112)</x:f>
        <x:v>0</x:v>
      </x:c>
      <x:c r="Y112" s="12">
        <x:f>W112+X112*S112</x:f>
        <x:v>38288.496196606182</x:v>
      </x:c>
      <x:c r="Z112" s="12">
        <x:f>F112*N112</x:f>
        <x:v>0</x:v>
      </x:c>
      <x:c r="AA112" s="12">
        <x:f>J112*D112</x:f>
        <x:v>0</x:v>
      </x:c>
      <x:c r="AB112" s="12">
        <x:f>Q112*D112</x:f>
        <x:v>0</x:v>
      </x:c>
      <x:c r="AC112" s="12">
        <x:f>R112*D112</x:f>
        <x:v>0</x:v>
      </x:c>
      <x:c r="AD112" s="12">
        <x:f>J112*E112</x:f>
        <x:v>0</x:v>
      </x:c>
      <x:c r="AE112" s="12">
        <x:f>Q112*E112</x:f>
        <x:v>0</x:v>
      </x:c>
      <x:c r="AF112" s="12">
        <x:f>R112*E112</x:f>
        <x:v>0</x:v>
      </x:c>
      <x:c r="AG112" s="1">
        <x:f>IF(AND(I112&gt;=0,I112&lt;=1,Q112+R112&lt;=F112+0.00000001,N112&gt;=0,N112&lt;=1),1,0)</x:f>
        <x:v>1</x:v>
      </x:c>
      <x:c r="AH112" s="1"/>
      <x:c r="AI112" s="1"/>
    </x:row>
    <x:row r="113" ht="24" customHeight="1">
      <x:c r="A113" s="1" t="str">
        <x:v>H6.2</x:v>
      </x:c>
      <x:c r="B113" s="1" t="str">
        <x:v>S4</x:v>
      </x:c>
      <x:c r="C113" s="1" t="str">
        <x:v>Только C</x:v>
      </x:c>
      <x:c r="D113" s="1" t="n">
        <x:v>1</x:v>
      </x:c>
      <x:c r="E113" s="1" t="n">
        <x:v>0</x:v>
      </x:c>
      <x:c r="F113" s="12">
        <x:f>'Когорты'!D8*'Когорты'!L8</x:f>
        <x:v>10090080</x:v>
      </x:c>
      <x:c r="G113" s="8">
        <x:f>'Когорты'!F8</x:f>
        <x:v>0.14099999999999999</x:v>
      </x:c>
      <x:c r="H113" s="1">
        <x:f>'Когорты'!O8</x:f>
        <x:v>1.5</x:v>
      </x:c>
      <x:c r="I113" s="8">
        <x:f>IF('Когорты'!S8&gt;0,G113*H113/'Когорты'!S8,0)</x:f>
        <x:v>0.2062609713282621</x:v>
      </x:c>
      <x:c r="J113" s="1">
        <x:f>F113*I113</x:f>
        <x:v>2081189.7015798709</x:v>
      </x:c>
      <x:c r="K113" s="8">
        <x:f>'Воздействие'!C32*D113</x:f>
        <x:v>0</x:v>
      </x:c>
      <x:c r="L113" s="8">
        <x:f>'Воздействие'!D32*E113</x:f>
        <x:v>0</x:v>
      </x:c>
      <x:c r="M113" s="8">
        <x:f>'Воздействие'!E32*D113*E113</x:f>
        <x:v>0</x:v>
      </x:c>
      <x:c r="N113" s="8">
        <x:f>K113+L113-M113</x:f>
        <x:v>0</x:v>
      </x:c>
      <x:c r="O113" s="1">
        <x:f>J113*'Параметры'!$B$10*N113</x:f>
        <x:v>0</x:v>
      </x:c>
      <x:c r="P113" s="8">
        <x:f>(1-'Воздействие'!F32*D113)*(1-'Воздействие'!G32*E113)</x:f>
        <x:v>1</x:v>
      </x:c>
      <x:c r="Q113" s="1">
        <x:f>J113*P113</x:f>
        <x:v>2081189.7015798709</x:v>
      </x:c>
      <x:c r="R113" s="1">
        <x:f>O113*P113</x:f>
        <x:v>0</x:v>
      </x:c>
      <x:c r="S113" s="8">
        <x:f>(1-'Гипотезы'!D11)*(1-'Гипотезы'!E11)</x:f>
        <x:v>0.5625</x:v>
      </x:c>
      <x:c r="T113" s="12">
        <x:f>Q113+R113*S113</x:f>
        <x:v>2081189.7015798709</x:v>
      </x:c>
      <x:c r="U113" s="12">
        <x:f>T113-J113</x:f>
        <x:v>0</x:v>
      </x:c>
      <x:c r="V113" s="12">
        <x:f>J113*'Когорты'!T8</x:f>
        <x:v>2081189.7015798709</x:v>
      </x:c>
      <x:c r="W113" s="12">
        <x:f>Q113*'Когорты'!T8*(1+'Воздействие'!H32*N113)</x:f>
        <x:v>2081189.7015798709</x:v>
      </x:c>
      <x:c r="X113" s="12">
        <x:f>R113*'Когорты'!T8*(1+'Воздействие'!H32*N113)</x:f>
        <x:v>0</x:v>
      </x:c>
      <x:c r="Y113" s="12">
        <x:f>W113+X113*S113</x:f>
        <x:v>2081189.7015798709</x:v>
      </x:c>
      <x:c r="Z113" s="12">
        <x:f>F113*N113</x:f>
        <x:v>0</x:v>
      </x:c>
      <x:c r="AA113" s="12">
        <x:f>J113*D113</x:f>
        <x:v>2081189.7015798709</x:v>
      </x:c>
      <x:c r="AB113" s="12">
        <x:f>Q113*D113</x:f>
        <x:v>2081189.7015798709</x:v>
      </x:c>
      <x:c r="AC113" s="12">
        <x:f>R113*D113</x:f>
        <x:v>0</x:v>
      </x:c>
      <x:c r="AD113" s="12">
        <x:f>J113*E113</x:f>
        <x:v>0</x:v>
      </x:c>
      <x:c r="AE113" s="12">
        <x:f>Q113*E113</x:f>
        <x:v>0</x:v>
      </x:c>
      <x:c r="AF113" s="12">
        <x:f>R113*E113</x:f>
        <x:v>0</x:v>
      </x:c>
      <x:c r="AG113" s="1">
        <x:f>IF(AND(I113&gt;=0,I113&lt;=1,Q113+R113&lt;=F113+0.00000001,N113&gt;=0,N113&lt;=1),1,0)</x:f>
        <x:v>1</x:v>
      </x:c>
      <x:c r="AH113" s="1"/>
      <x:c r="AI113" s="1"/>
    </x:row>
    <x:row r="114" ht="24" customHeight="1">
      <x:c r="A114" s="1" t="str">
        <x:v>H6.2</x:v>
      </x:c>
      <x:c r="B114" s="1" t="str">
        <x:v>S4</x:v>
      </x:c>
      <x:c r="C114" s="1" t="str">
        <x:v>Только F</x:v>
      </x:c>
      <x:c r="D114" s="1" t="n">
        <x:v>0</x:v>
      </x:c>
      <x:c r="E114" s="1" t="n">
        <x:v>1</x:v>
      </x:c>
      <x:c r="F114" s="12">
        <x:f>'Когорты'!D8*'Когорты'!M8</x:f>
        <x:v>480479.99999999994</x:v>
      </x:c>
      <x:c r="G114" s="8">
        <x:f>'Когорты'!F8</x:f>
        <x:v>0.14099999999999999</x:v>
      </x:c>
      <x:c r="H114" s="1">
        <x:f>'Когорты'!P8</x:f>
        <x:v>0.20000000000000001</x:v>
      </x:c>
      <x:c r="I114" s="8">
        <x:f>IF('Когорты'!S8&gt;0,G114*H114/'Когорты'!S8,0)</x:f>
        <x:v>0.027501462843768282</x:v>
      </x:c>
      <x:c r="J114" s="1">
        <x:f>F114*I114</x:f>
        <x:v>13213.902867173783</x:v>
      </x:c>
      <x:c r="K114" s="8">
        <x:f>'Воздействие'!C32*D114</x:f>
        <x:v>0</x:v>
      </x:c>
      <x:c r="L114" s="8">
        <x:f>'Воздействие'!D32*E114</x:f>
        <x:v>0.10000000000000001</x:v>
      </x:c>
      <x:c r="M114" s="8">
        <x:f>'Воздействие'!E32*D114*E114</x:f>
        <x:v>0</x:v>
      </x:c>
      <x:c r="N114" s="8">
        <x:f>K114+L114-M114</x:f>
        <x:v>0.10000000000000001</x:v>
      </x:c>
      <x:c r="O114" s="1">
        <x:f>J114*'Параметры'!$B$10*N114</x:f>
        <x:v>132.13902867173783</x:v>
      </x:c>
      <x:c r="P114" s="8">
        <x:f>(1-'Воздействие'!F32*D114)*(1-'Воздействие'!G32*E114)</x:f>
        <x:v>1</x:v>
      </x:c>
      <x:c r="Q114" s="1">
        <x:f>J114*P114</x:f>
        <x:v>13213.902867173783</x:v>
      </x:c>
      <x:c r="R114" s="1">
        <x:f>O114*P114</x:f>
        <x:v>132.13902867173783</x:v>
      </x:c>
      <x:c r="S114" s="8">
        <x:f>(1-'Гипотезы'!D11)*(1-'Гипотезы'!E11)</x:f>
        <x:v>0.5625</x:v>
      </x:c>
      <x:c r="T114" s="12">
        <x:f>Q114+R114*S114</x:f>
        <x:v>13288.231070801636</x:v>
      </x:c>
      <x:c r="U114" s="12">
        <x:f>T114-J114</x:f>
        <x:v>74.328203627852417</x:v>
      </x:c>
      <x:c r="V114" s="12">
        <x:f>J114*'Когорты'!T8</x:f>
        <x:v>13213.902867173783</x:v>
      </x:c>
      <x:c r="W114" s="12">
        <x:f>Q114*'Когорты'!T8*(1+'Воздействие'!H32*N114)</x:f>
        <x:v>13213.902867173783</x:v>
      </x:c>
      <x:c r="X114" s="12">
        <x:f>R114*'Когорты'!T8*(1+'Воздействие'!H32*N114)</x:f>
        <x:v>132.13902867173783</x:v>
      </x:c>
      <x:c r="Y114" s="12">
        <x:f>W114+X114*S114</x:f>
        <x:v>13288.231070801636</x:v>
      </x:c>
      <x:c r="Z114" s="12">
        <x:f>F114*N114</x:f>
        <x:v>48048</x:v>
      </x:c>
      <x:c r="AA114" s="12">
        <x:f>J114*D114</x:f>
        <x:v>0</x:v>
      </x:c>
      <x:c r="AB114" s="12">
        <x:f>Q114*D114</x:f>
        <x:v>0</x:v>
      </x:c>
      <x:c r="AC114" s="12">
        <x:f>R114*D114</x:f>
        <x:v>0</x:v>
      </x:c>
      <x:c r="AD114" s="12">
        <x:f>J114*E114</x:f>
        <x:v>13213.902867173783</x:v>
      </x:c>
      <x:c r="AE114" s="12">
        <x:f>Q114*E114</x:f>
        <x:v>13213.902867173783</x:v>
      </x:c>
      <x:c r="AF114" s="12">
        <x:f>R114*E114</x:f>
        <x:v>132.13902867173783</x:v>
      </x:c>
      <x:c r="AG114" s="1">
        <x:f>IF(AND(I114&gt;=0,I114&lt;=1,Q114+R114&lt;=F114+0.00000001,N114&gt;=0,N114&lt;=1),1,0)</x:f>
        <x:v>1</x:v>
      </x:c>
      <x:c r="AH114" s="1"/>
      <x:c r="AI114" s="1"/>
    </x:row>
    <x:row r="115" ht="24" customHeight="1">
      <x:c r="A115" s="1" t="str">
        <x:v>H6.2</x:v>
      </x:c>
      <x:c r="B115" s="1" t="str">
        <x:v>S4</x:v>
      </x:c>
      <x:c r="C115" s="1" t="str">
        <x:v>Оба</x:v>
      </x:c>
      <x:c r="D115" s="1" t="n">
        <x:v>1</x:v>
      </x:c>
      <x:c r="E115" s="1" t="n">
        <x:v>1</x:v>
      </x:c>
      <x:c r="F115" s="12">
        <x:f>'Когорты'!D8*'Когорты'!K8</x:f>
        <x:v>1921920.0000000002</x:v>
      </x:c>
      <x:c r="G115" s="8">
        <x:f>'Когорты'!F8</x:f>
        <x:v>0.14099999999999999</x:v>
      </x:c>
      <x:c r="H115" s="1">
        <x:f>'Когорты'!Q8</x:f>
        <x:v>1</x:v>
      </x:c>
      <x:c r="I115" s="8">
        <x:f>IF('Когорты'!S8&gt;0,G115*H115/'Когорты'!S8,0)</x:f>
        <x:v>0.13750731421884141</x:v>
      </x:c>
      <x:c r="J115" s="1">
        <x:f>F115*I115</x:f>
        <x:v>264278.0573434757</x:v>
      </x:c>
      <x:c r="K115" s="8">
        <x:f>'Воздействие'!C32*D115</x:f>
        <x:v>0</x:v>
      </x:c>
      <x:c r="L115" s="8">
        <x:f>'Воздействие'!D32*E115</x:f>
        <x:v>0.10000000000000001</x:v>
      </x:c>
      <x:c r="M115" s="8">
        <x:f>'Воздействие'!E32*D115*E115</x:f>
        <x:v>0</x:v>
      </x:c>
      <x:c r="N115" s="8">
        <x:f>K115+L115-M115</x:f>
        <x:v>0.10000000000000001</x:v>
      </x:c>
      <x:c r="O115" s="1">
        <x:f>J115*'Параметры'!$B$10*N115</x:f>
        <x:v>2642.7805734347571</x:v>
      </x:c>
      <x:c r="P115" s="8">
        <x:f>(1-'Воздействие'!F32*D115)*(1-'Воздействие'!G32*E115)</x:f>
        <x:v>1</x:v>
      </x:c>
      <x:c r="Q115" s="1">
        <x:f>J115*P115</x:f>
        <x:v>264278.0573434757</x:v>
      </x:c>
      <x:c r="R115" s="1">
        <x:f>O115*P115</x:f>
        <x:v>2642.7805734347571</x:v>
      </x:c>
      <x:c r="S115" s="8">
        <x:f>(1-'Гипотезы'!D11)*(1-'Гипотезы'!E11)</x:f>
        <x:v>0.5625</x:v>
      </x:c>
      <x:c r="T115" s="12">
        <x:f>Q115+R115*S115</x:f>
        <x:v>265764.62141603272</x:v>
      </x:c>
      <x:c r="U115" s="12">
        <x:f>T115-J115</x:f>
        <x:v>1486.5640725570265</x:v>
      </x:c>
      <x:c r="V115" s="12">
        <x:f>J115*'Когорты'!T8</x:f>
        <x:v>264278.0573434757</x:v>
      </x:c>
      <x:c r="W115" s="12">
        <x:f>Q115*'Когорты'!T8*(1+'Воздействие'!H32*N115)</x:f>
        <x:v>264278.0573434757</x:v>
      </x:c>
      <x:c r="X115" s="12">
        <x:f>R115*'Когорты'!T8*(1+'Воздействие'!H32*N115)</x:f>
        <x:v>2642.7805734347571</x:v>
      </x:c>
      <x:c r="Y115" s="12">
        <x:f>W115+X115*S115</x:f>
        <x:v>265764.62141603272</x:v>
      </x:c>
      <x:c r="Z115" s="12">
        <x:f>F115*N115</x:f>
        <x:v>192192.00000000003</x:v>
      </x:c>
      <x:c r="AA115" s="12">
        <x:f>J115*D115</x:f>
        <x:v>264278.0573434757</x:v>
      </x:c>
      <x:c r="AB115" s="12">
        <x:f>Q115*D115</x:f>
        <x:v>264278.0573434757</x:v>
      </x:c>
      <x:c r="AC115" s="12">
        <x:f>R115*D115</x:f>
        <x:v>2642.7805734347571</x:v>
      </x:c>
      <x:c r="AD115" s="12">
        <x:f>J115*E115</x:f>
        <x:v>264278.0573434757</x:v>
      </x:c>
      <x:c r="AE115" s="12">
        <x:f>Q115*E115</x:f>
        <x:v>264278.0573434757</x:v>
      </x:c>
      <x:c r="AF115" s="12">
        <x:f>R115*E115</x:f>
        <x:v>2642.7805734347571</x:v>
      </x:c>
      <x:c r="AG115" s="1">
        <x:f>IF(AND(I115&gt;=0,I115&lt;=1,Q115+R115&lt;=F115+0.00000001,N115&gt;=0,N115&lt;=1),1,0)</x:f>
        <x:v>1</x:v>
      </x:c>
      <x:c r="AH115" s="1"/>
      <x:c r="AI115" s="1"/>
    </x:row>
    <x:row r="116" ht="24" customHeight="1">
      <x:c r="A116" s="1" t="str">
        <x:v>H6.2</x:v>
      </x:c>
      <x:c r="B116" s="1" t="str">
        <x:v>S4</x:v>
      </x:c>
      <x:c r="C116" s="1" t="str">
        <x:v>Ни один</x:v>
      </x:c>
      <x:c r="D116" s="1" t="n">
        <x:v>0</x:v>
      </x:c>
      <x:c r="E116" s="1" t="n">
        <x:v>0</x:v>
      </x:c>
      <x:c r="F116" s="12">
        <x:f>'Когорты'!D8*'Когорты'!N8</x:f>
        <x:v>5987519.9999999991</x:v>
      </x:c>
      <x:c r="G116" s="8">
        <x:f>'Когорты'!F8</x:f>
        <x:v>0.14099999999999999</x:v>
      </x:c>
      <x:c r="H116" s="1">
        <x:f>'Когорты'!R8</x:f>
        <x:v>0.29999999999999999</x:v>
      </x:c>
      <x:c r="I116" s="8">
        <x:f>IF('Когорты'!S8&gt;0,G116*H116/'Когорты'!S8,0)</x:f>
        <x:v>0.041252194265652423</x:v>
      </x:c>
      <x:c r="J116" s="1">
        <x:f>F116*I116</x:f>
        <x:v>246998.33820947915</x:v>
      </x:c>
      <x:c r="K116" s="8">
        <x:f>'Воздействие'!C32*D116</x:f>
        <x:v>0</x:v>
      </x:c>
      <x:c r="L116" s="8">
        <x:f>'Воздействие'!D32*E116</x:f>
        <x:v>0</x:v>
      </x:c>
      <x:c r="M116" s="8">
        <x:f>'Воздействие'!E32*D116*E116</x:f>
        <x:v>0</x:v>
      </x:c>
      <x:c r="N116" s="8">
        <x:f>K116+L116-M116</x:f>
        <x:v>0</x:v>
      </x:c>
      <x:c r="O116" s="1">
        <x:f>J116*'Параметры'!$B$10*N116</x:f>
        <x:v>0</x:v>
      </x:c>
      <x:c r="P116" s="8">
        <x:f>(1-'Воздействие'!F32*D116)*(1-'Воздействие'!G32*E116)</x:f>
        <x:v>1</x:v>
      </x:c>
      <x:c r="Q116" s="1">
        <x:f>J116*P116</x:f>
        <x:v>246998.33820947915</x:v>
      </x:c>
      <x:c r="R116" s="1">
        <x:f>O116*P116</x:f>
        <x:v>0</x:v>
      </x:c>
      <x:c r="S116" s="8">
        <x:f>(1-'Гипотезы'!D11)*(1-'Гипотезы'!E11)</x:f>
        <x:v>0.5625</x:v>
      </x:c>
      <x:c r="T116" s="12">
        <x:f>Q116+R116*S116</x:f>
        <x:v>246998.33820947915</x:v>
      </x:c>
      <x:c r="U116" s="12">
        <x:f>T116-J116</x:f>
        <x:v>0</x:v>
      </x:c>
      <x:c r="V116" s="12">
        <x:f>J116*'Когорты'!T8</x:f>
        <x:v>246998.33820947915</x:v>
      </x:c>
      <x:c r="W116" s="12">
        <x:f>Q116*'Когорты'!T8*(1+'Воздействие'!H32*N116)</x:f>
        <x:v>246998.33820947915</x:v>
      </x:c>
      <x:c r="X116" s="12">
        <x:f>R116*'Когорты'!T8*(1+'Воздействие'!H32*N116)</x:f>
        <x:v>0</x:v>
      </x:c>
      <x:c r="Y116" s="12">
        <x:f>W116+X116*S116</x:f>
        <x:v>246998.33820947915</x:v>
      </x:c>
      <x:c r="Z116" s="12">
        <x:f>F116*N116</x:f>
        <x:v>0</x:v>
      </x:c>
      <x:c r="AA116" s="12">
        <x:f>J116*D116</x:f>
        <x:v>0</x:v>
      </x:c>
      <x:c r="AB116" s="12">
        <x:f>Q116*D116</x:f>
        <x:v>0</x:v>
      </x:c>
      <x:c r="AC116" s="12">
        <x:f>R116*D116</x:f>
        <x:v>0</x:v>
      </x:c>
      <x:c r="AD116" s="12">
        <x:f>J116*E116</x:f>
        <x:v>0</x:v>
      </x:c>
      <x:c r="AE116" s="12">
        <x:f>Q116*E116</x:f>
        <x:v>0</x:v>
      </x:c>
      <x:c r="AF116" s="12">
        <x:f>R116*E116</x:f>
        <x:v>0</x:v>
      </x:c>
      <x:c r="AG116" s="1">
        <x:f>IF(AND(I116&gt;=0,I116&lt;=1,Q116+R116&lt;=F116+0.00000001,N116&gt;=0,N116&lt;=1),1,0)</x:f>
        <x:v>1</x:v>
      </x:c>
      <x:c r="AH116" s="1"/>
      <x:c r="AI116" s="1"/>
    </x:row>
    <x:row r="117" ht="24" customHeight="1">
      <x:c r="A117" s="1" t="str">
        <x:v>H6.3</x:v>
      </x:c>
      <x:c r="B117" s="1" t="str">
        <x:v>S1</x:v>
      </x:c>
      <x:c r="C117" s="1" t="str">
        <x:v>Только C</x:v>
      </x:c>
      <x:c r="D117" s="1" t="n">
        <x:v>1</x:v>
      </x:c>
      <x:c r="E117" s="1" t="n">
        <x:v>0</x:v>
      </x:c>
      <x:c r="F117" s="12">
        <x:f>'Когорты'!D5*'Когорты'!L5</x:f>
        <x:v>6726719.9999999991</x:v>
      </x:c>
      <x:c r="G117" s="8">
        <x:f>'Когорты'!F5</x:f>
        <x:v>0.23099999999999998</x:v>
      </x:c>
      <x:c r="H117" s="1">
        <x:f>'Когорты'!O5</x:f>
        <x:v>1.5</x:v>
      </x:c>
      <x:c r="I117" s="8">
        <x:f>IF('Когорты'!S5&gt;0,G117*H117/'Когорты'!S5,0)</x:f>
        <x:v>0.33791691047396133</x:v>
      </x:c>
      <x:c r="J117" s="1">
        <x:f>F117*I117</x:f>
        <x:v>2273072.440023405</x:v>
      </x:c>
      <x:c r="K117" s="8">
        <x:f>'Воздействие'!C33*D117</x:f>
        <x:v>0</x:v>
      </x:c>
      <x:c r="L117" s="8">
        <x:f>'Воздействие'!D33*E117</x:f>
        <x:v>0</x:v>
      </x:c>
      <x:c r="M117" s="8">
        <x:f>'Воздействие'!E33*D117*E117</x:f>
        <x:v>0</x:v>
      </x:c>
      <x:c r="N117" s="8">
        <x:f>K117+L117-M117</x:f>
        <x:v>0</x:v>
      </x:c>
      <x:c r="O117" s="1">
        <x:f>J117*'Параметры'!$B$10*N117</x:f>
        <x:v>0</x:v>
      </x:c>
      <x:c r="P117" s="8">
        <x:f>(1-'Воздействие'!F33*D117)*(1-'Воздействие'!G33*E117)</x:f>
        <x:v>1</x:v>
      </x:c>
      <x:c r="Q117" s="1">
        <x:f>J117*P117</x:f>
        <x:v>2273072.440023405</x:v>
      </x:c>
      <x:c r="R117" s="1">
        <x:f>O117*P117</x:f>
        <x:v>0</x:v>
      </x:c>
      <x:c r="S117" s="8">
        <x:f>(1-'Гипотезы'!D12)*(1-'Гипотезы'!E12)</x:f>
        <x:v>0.5625</x:v>
      </x:c>
      <x:c r="T117" s="12">
        <x:f>Q117+R117*S117</x:f>
        <x:v>2273072.440023405</x:v>
      </x:c>
      <x:c r="U117" s="12">
        <x:f>T117-J117</x:f>
        <x:v>0</x:v>
      </x:c>
      <x:c r="V117" s="12">
        <x:f>J117*'Когорты'!T5</x:f>
        <x:v>2273072.440023405</x:v>
      </x:c>
      <x:c r="W117" s="12">
        <x:f>Q117*'Когорты'!T5*(1+'Воздействие'!H33*N117)</x:f>
        <x:v>2273072.440023405</x:v>
      </x:c>
      <x:c r="X117" s="12">
        <x:f>R117*'Когорты'!T5*(1+'Воздействие'!H33*N117)</x:f>
        <x:v>0</x:v>
      </x:c>
      <x:c r="Y117" s="12">
        <x:f>W117+X117*S117</x:f>
        <x:v>2273072.440023405</x:v>
      </x:c>
      <x:c r="Z117" s="12">
        <x:f>F117*N117</x:f>
        <x:v>0</x:v>
      </x:c>
      <x:c r="AA117" s="12">
        <x:f>J117*D117</x:f>
        <x:v>2273072.440023405</x:v>
      </x:c>
      <x:c r="AB117" s="12">
        <x:f>Q117*D117</x:f>
        <x:v>2273072.440023405</x:v>
      </x:c>
      <x:c r="AC117" s="12">
        <x:f>R117*D117</x:f>
        <x:v>0</x:v>
      </x:c>
      <x:c r="AD117" s="12">
        <x:f>J117*E117</x:f>
        <x:v>0</x:v>
      </x:c>
      <x:c r="AE117" s="12">
        <x:f>Q117*E117</x:f>
        <x:v>0</x:v>
      </x:c>
      <x:c r="AF117" s="12">
        <x:f>R117*E117</x:f>
        <x:v>0</x:v>
      </x:c>
      <x:c r="AG117" s="1">
        <x:f>IF(AND(I117&gt;=0,I117&lt;=1,Q117+R117&lt;=F117+0.00000001,N117&gt;=0,N117&lt;=1),1,0)</x:f>
        <x:v>1</x:v>
      </x:c>
      <x:c r="AH117" s="1"/>
      <x:c r="AI117" s="1"/>
    </x:row>
    <x:row r="118" ht="24" customHeight="1">
      <x:c r="A118" s="1" t="str">
        <x:v>H6.3</x:v>
      </x:c>
      <x:c r="B118" s="1" t="str">
        <x:v>S1</x:v>
      </x:c>
      <x:c r="C118" s="1" t="str">
        <x:v>Только F</x:v>
      </x:c>
      <x:c r="D118" s="1" t="n">
        <x:v>0</x:v>
      </x:c>
      <x:c r="E118" s="1" t="n">
        <x:v>1</x:v>
      </x:c>
      <x:c r="F118" s="12">
        <x:f>'Когорты'!D5*'Когорты'!M5</x:f>
        <x:v>320319.99999999988</x:v>
      </x:c>
      <x:c r="G118" s="8">
        <x:f>'Когорты'!F5</x:f>
        <x:v>0.23099999999999998</x:v>
      </x:c>
      <x:c r="H118" s="1">
        <x:f>'Когорты'!P5</x:f>
        <x:v>0.20000000000000001</x:v>
      </x:c>
      <x:c r="I118" s="8">
        <x:f>IF('Когорты'!S5&gt;0,G118*H118/'Когорты'!S5,0)</x:f>
        <x:v>0.045055588063194846</x:v>
      </x:c>
      <x:c r="J118" s="1">
        <x:f>F118*I118</x:f>
        <x:v>14432.205968402568</x:v>
      </x:c>
      <x:c r="K118" s="8">
        <x:f>'Воздействие'!C33*D118</x:f>
        <x:v>0</x:v>
      </x:c>
      <x:c r="L118" s="8">
        <x:f>'Воздействие'!D33*E118</x:f>
        <x:v>0.29999999999999999</x:v>
      </x:c>
      <x:c r="M118" s="8">
        <x:f>'Воздействие'!E33*D118*E118</x:f>
        <x:v>0</x:v>
      </x:c>
      <x:c r="N118" s="8">
        <x:f>K118+L118-M118</x:f>
        <x:v>0.29999999999999999</x:v>
      </x:c>
      <x:c r="O118" s="1">
        <x:f>J118*'Параметры'!$B$10*N118</x:f>
        <x:v>432.96617905207705</x:v>
      </x:c>
      <x:c r="P118" s="8">
        <x:f>(1-'Воздействие'!F33*D118)*(1-'Воздействие'!G33*E118)</x:f>
        <x:v>1</x:v>
      </x:c>
      <x:c r="Q118" s="1">
        <x:f>J118*P118</x:f>
        <x:v>14432.205968402568</x:v>
      </x:c>
      <x:c r="R118" s="1">
        <x:f>O118*P118</x:f>
        <x:v>432.96617905207705</x:v>
      </x:c>
      <x:c r="S118" s="8">
        <x:f>(1-'Гипотезы'!D12)*(1-'Гипотезы'!E12)</x:f>
        <x:v>0.5625</x:v>
      </x:c>
      <x:c r="T118" s="12">
        <x:f>Q118+R118*S118</x:f>
        <x:v>14675.749444119361</x:v>
      </x:c>
      <x:c r="U118" s="12">
        <x:f>T118-J118</x:f>
        <x:v>243.54347571679318</x:v>
      </x:c>
      <x:c r="V118" s="12">
        <x:f>J118*'Когорты'!T5</x:f>
        <x:v>14432.205968402568</x:v>
      </x:c>
      <x:c r="W118" s="12">
        <x:f>Q118*'Когорты'!T5*(1+'Воздействие'!H33*N118)</x:f>
        <x:v>14432.205968402568</x:v>
      </x:c>
      <x:c r="X118" s="12">
        <x:f>R118*'Когорты'!T5*(1+'Воздействие'!H33*N118)</x:f>
        <x:v>432.96617905207705</x:v>
      </x:c>
      <x:c r="Y118" s="12">
        <x:f>W118+X118*S118</x:f>
        <x:v>14675.749444119361</x:v>
      </x:c>
      <x:c r="Z118" s="12">
        <x:f>F118*N118</x:f>
        <x:v>96095.999999999956</x:v>
      </x:c>
      <x:c r="AA118" s="12">
        <x:f>J118*D118</x:f>
        <x:v>0</x:v>
      </x:c>
      <x:c r="AB118" s="12">
        <x:f>Q118*D118</x:f>
        <x:v>0</x:v>
      </x:c>
      <x:c r="AC118" s="12">
        <x:f>R118*D118</x:f>
        <x:v>0</x:v>
      </x:c>
      <x:c r="AD118" s="12">
        <x:f>J118*E118</x:f>
        <x:v>14432.205968402568</x:v>
      </x:c>
      <x:c r="AE118" s="12">
        <x:f>Q118*E118</x:f>
        <x:v>14432.205968402568</x:v>
      </x:c>
      <x:c r="AF118" s="12">
        <x:f>R118*E118</x:f>
        <x:v>432.96617905207705</x:v>
      </x:c>
      <x:c r="AG118" s="1">
        <x:f>IF(AND(I118&gt;=0,I118&lt;=1,Q118+R118&lt;=F118+0.00000001,N118&gt;=0,N118&lt;=1),1,0)</x:f>
        <x:v>1</x:v>
      </x:c>
      <x:c r="AH118" s="1"/>
      <x:c r="AI118" s="1"/>
    </x:row>
    <x:row r="119" ht="24" customHeight="1">
      <x:c r="A119" s="1" t="str">
        <x:v>H6.3</x:v>
      </x:c>
      <x:c r="B119" s="1" t="str">
        <x:v>S1</x:v>
      </x:c>
      <x:c r="C119" s="1" t="str">
        <x:v>Оба</x:v>
      </x:c>
      <x:c r="D119" s="1" t="n">
        <x:v>1</x:v>
      </x:c>
      <x:c r="E119" s="1" t="n">
        <x:v>1</x:v>
      </x:c>
      <x:c r="F119" s="12">
        <x:f>'Когорты'!D5*'Когорты'!K5</x:f>
        <x:v>1281280</x:v>
      </x:c>
      <x:c r="G119" s="8">
        <x:f>'Когорты'!F5</x:f>
        <x:v>0.23099999999999998</x:v>
      </x:c>
      <x:c r="H119" s="1">
        <x:f>'Когорты'!Q5</x:f>
        <x:v>1</x:v>
      </x:c>
      <x:c r="I119" s="8">
        <x:f>IF('Когорты'!S5&gt;0,G119*H119/'Когорты'!S5,0)</x:f>
        <x:v>0.22527794031597423</x:v>
      </x:c>
      <x:c r="J119" s="1">
        <x:f>F119*I119</x:f>
        <x:v>288644.11936805147</x:v>
      </x:c>
      <x:c r="K119" s="8">
        <x:f>'Воздействие'!C33*D119</x:f>
        <x:v>0</x:v>
      </x:c>
      <x:c r="L119" s="8">
        <x:f>'Воздействие'!D33*E119</x:f>
        <x:v>0.29999999999999999</x:v>
      </x:c>
      <x:c r="M119" s="8">
        <x:f>'Воздействие'!E33*D119*E119</x:f>
        <x:v>0</x:v>
      </x:c>
      <x:c r="N119" s="8">
        <x:f>K119+L119-M119</x:f>
        <x:v>0.29999999999999999</x:v>
      </x:c>
      <x:c r="O119" s="1">
        <x:f>J119*'Параметры'!$B$10*N119</x:f>
        <x:v>8659.3235810415445</x:v>
      </x:c>
      <x:c r="P119" s="8">
        <x:f>(1-'Воздействие'!F33*D119)*(1-'Воздействие'!G33*E119)</x:f>
        <x:v>1</x:v>
      </x:c>
      <x:c r="Q119" s="1">
        <x:f>J119*P119</x:f>
        <x:v>288644.11936805147</x:v>
      </x:c>
      <x:c r="R119" s="1">
        <x:f>O119*P119</x:f>
        <x:v>8659.3235810415445</x:v>
      </x:c>
      <x:c r="S119" s="8">
        <x:f>(1-'Гипотезы'!D12)*(1-'Гипотезы'!E12)</x:f>
        <x:v>0.5625</x:v>
      </x:c>
      <x:c r="T119" s="12">
        <x:f>Q119+R119*S119</x:f>
        <x:v>293514.98888238735</x:v>
      </x:c>
      <x:c r="U119" s="12">
        <x:f>T119-J119</x:f>
        <x:v>4870.8695143358782</x:v>
      </x:c>
      <x:c r="V119" s="12">
        <x:f>J119*'Когорты'!T5</x:f>
        <x:v>288644.11936805147</x:v>
      </x:c>
      <x:c r="W119" s="12">
        <x:f>Q119*'Когорты'!T5*(1+'Воздействие'!H33*N119)</x:f>
        <x:v>288644.11936805147</x:v>
      </x:c>
      <x:c r="X119" s="12">
        <x:f>R119*'Когорты'!T5*(1+'Воздействие'!H33*N119)</x:f>
        <x:v>8659.3235810415445</x:v>
      </x:c>
      <x:c r="Y119" s="12">
        <x:f>W119+X119*S119</x:f>
        <x:v>293514.98888238735</x:v>
      </x:c>
      <x:c r="Z119" s="12">
        <x:f>F119*N119</x:f>
        <x:v>384384</x:v>
      </x:c>
      <x:c r="AA119" s="12">
        <x:f>J119*D119</x:f>
        <x:v>288644.11936805147</x:v>
      </x:c>
      <x:c r="AB119" s="12">
        <x:f>Q119*D119</x:f>
        <x:v>288644.11936805147</x:v>
      </x:c>
      <x:c r="AC119" s="12">
        <x:f>R119*D119</x:f>
        <x:v>8659.3235810415445</x:v>
      </x:c>
      <x:c r="AD119" s="12">
        <x:f>J119*E119</x:f>
        <x:v>288644.11936805147</x:v>
      </x:c>
      <x:c r="AE119" s="12">
        <x:f>Q119*E119</x:f>
        <x:v>288644.11936805147</x:v>
      </x:c>
      <x:c r="AF119" s="12">
        <x:f>R119*E119</x:f>
        <x:v>8659.3235810415445</x:v>
      </x:c>
      <x:c r="AG119" s="1">
        <x:f>IF(AND(I119&gt;=0,I119&lt;=1,Q119+R119&lt;=F119+0.00000001,N119&gt;=0,N119&lt;=1),1,0)</x:f>
        <x:v>1</x:v>
      </x:c>
      <x:c r="AH119" s="1"/>
      <x:c r="AI119" s="1"/>
    </x:row>
    <x:row r="120" ht="24" customHeight="1">
      <x:c r="A120" s="1" t="str">
        <x:v>H6.3</x:v>
      </x:c>
      <x:c r="B120" s="1" t="str">
        <x:v>S1</x:v>
      </x:c>
      <x:c r="C120" s="1" t="str">
        <x:v>Ни один</x:v>
      </x:c>
      <x:c r="D120" s="1" t="n">
        <x:v>0</x:v>
      </x:c>
      <x:c r="E120" s="1" t="n">
        <x:v>0</x:v>
      </x:c>
      <x:c r="F120" s="12">
        <x:f>'Когорты'!D5*'Когорты'!N5</x:f>
        <x:v>3991679.9999999991</x:v>
      </x:c>
      <x:c r="G120" s="8">
        <x:f>'Когорты'!F5</x:f>
        <x:v>0.23099999999999998</x:v>
      </x:c>
      <x:c r="H120" s="1">
        <x:f>'Когорты'!R5</x:f>
        <x:v>0.29999999999999999</x:v>
      </x:c>
      <x:c r="I120" s="8">
        <x:f>IF('Когорты'!S5&gt;0,G120*H120/'Когорты'!S5,0)</x:f>
        <x:v>0.067583382094792255</x:v>
      </x:c>
      <x:c r="J120" s="1">
        <x:f>F120*I120</x:f>
        <x:v>269771.23464014026</x:v>
      </x:c>
      <x:c r="K120" s="8">
        <x:f>'Воздействие'!C33*D120</x:f>
        <x:v>0</x:v>
      </x:c>
      <x:c r="L120" s="8">
        <x:f>'Воздействие'!D33*E120</x:f>
        <x:v>0</x:v>
      </x:c>
      <x:c r="M120" s="8">
        <x:f>'Воздействие'!E33*D120*E120</x:f>
        <x:v>0</x:v>
      </x:c>
      <x:c r="N120" s="8">
        <x:f>K120+L120-M120</x:f>
        <x:v>0</x:v>
      </x:c>
      <x:c r="O120" s="1">
        <x:f>J120*'Параметры'!$B$10*N120</x:f>
        <x:v>0</x:v>
      </x:c>
      <x:c r="P120" s="8">
        <x:f>(1-'Воздействие'!F33*D120)*(1-'Воздействие'!G33*E120)</x:f>
        <x:v>1</x:v>
      </x:c>
      <x:c r="Q120" s="1">
        <x:f>J120*P120</x:f>
        <x:v>269771.23464014026</x:v>
      </x:c>
      <x:c r="R120" s="1">
        <x:f>O120*P120</x:f>
        <x:v>0</x:v>
      </x:c>
      <x:c r="S120" s="8">
        <x:f>(1-'Гипотезы'!D12)*(1-'Гипотезы'!E12)</x:f>
        <x:v>0.5625</x:v>
      </x:c>
      <x:c r="T120" s="12">
        <x:f>Q120+R120*S120</x:f>
        <x:v>269771.23464014026</x:v>
      </x:c>
      <x:c r="U120" s="12">
        <x:f>T120-J120</x:f>
        <x:v>0</x:v>
      </x:c>
      <x:c r="V120" s="12">
        <x:f>J120*'Когорты'!T5</x:f>
        <x:v>269771.23464014026</x:v>
      </x:c>
      <x:c r="W120" s="12">
        <x:f>Q120*'Когорты'!T5*(1+'Воздействие'!H33*N120)</x:f>
        <x:v>269771.23464014026</x:v>
      </x:c>
      <x:c r="X120" s="12">
        <x:f>R120*'Когорты'!T5*(1+'Воздействие'!H33*N120)</x:f>
        <x:v>0</x:v>
      </x:c>
      <x:c r="Y120" s="12">
        <x:f>W120+X120*S120</x:f>
        <x:v>269771.23464014026</x:v>
      </x:c>
      <x:c r="Z120" s="12">
        <x:f>F120*N120</x:f>
        <x:v>0</x:v>
      </x:c>
      <x:c r="AA120" s="12">
        <x:f>J120*D120</x:f>
        <x:v>0</x:v>
      </x:c>
      <x:c r="AB120" s="12">
        <x:f>Q120*D120</x:f>
        <x:v>0</x:v>
      </x:c>
      <x:c r="AC120" s="12">
        <x:f>R120*D120</x:f>
        <x:v>0</x:v>
      </x:c>
      <x:c r="AD120" s="12">
        <x:f>J120*E120</x:f>
        <x:v>0</x:v>
      </x:c>
      <x:c r="AE120" s="12">
        <x:f>Q120*E120</x:f>
        <x:v>0</x:v>
      </x:c>
      <x:c r="AF120" s="12">
        <x:f>R120*E120</x:f>
        <x:v>0</x:v>
      </x:c>
      <x:c r="AG120" s="1">
        <x:f>IF(AND(I120&gt;=0,I120&lt;=1,Q120+R120&lt;=F120+0.00000001,N120&gt;=0,N120&lt;=1),1,0)</x:f>
        <x:v>1</x:v>
      </x:c>
      <x:c r="AH120" s="1"/>
      <x:c r="AI120" s="1"/>
    </x:row>
    <x:row r="121" ht="24" customHeight="1">
      <x:c r="A121" s="1" t="str">
        <x:v>H6.3</x:v>
      </x:c>
      <x:c r="B121" s="1" t="str">
        <x:v>S2</x:v>
      </x:c>
      <x:c r="C121" s="1" t="str">
        <x:v>Только C</x:v>
      </x:c>
      <x:c r="D121" s="1" t="n">
        <x:v>1</x:v>
      </x:c>
      <x:c r="E121" s="1" t="n">
        <x:v>0</x:v>
      </x:c>
      <x:c r="F121" s="12">
        <x:f>'Когорты'!D6*'Когорты'!L6</x:f>
        <x:v>2882880</x:v>
      </x:c>
      <x:c r="G121" s="8">
        <x:f>'Когорты'!F6</x:f>
        <x:v>0.14099999999999999</x:v>
      </x:c>
      <x:c r="H121" s="1">
        <x:f>'Когорты'!O6</x:f>
        <x:v>1.5</x:v>
      </x:c>
      <x:c r="I121" s="8">
        <x:f>IF('Когорты'!S6&gt;0,G121*H121/'Когорты'!S6,0)</x:f>
        <x:v>0.2062609713282621</x:v>
      </x:c>
      <x:c r="J121" s="1">
        <x:f>F121*I121</x:f>
        <x:v>594625.62902282027</x:v>
      </x:c>
      <x:c r="K121" s="8">
        <x:f>'Воздействие'!C34*D121</x:f>
        <x:v>0</x:v>
      </x:c>
      <x:c r="L121" s="8">
        <x:f>'Воздействие'!D34*E121</x:f>
        <x:v>0</x:v>
      </x:c>
      <x:c r="M121" s="8">
        <x:f>'Воздействие'!E34*D121*E121</x:f>
        <x:v>0</x:v>
      </x:c>
      <x:c r="N121" s="8">
        <x:f>K121+L121-M121</x:f>
        <x:v>0</x:v>
      </x:c>
      <x:c r="O121" s="1">
        <x:f>J121*'Параметры'!$B$10*N121</x:f>
        <x:v>0</x:v>
      </x:c>
      <x:c r="P121" s="8">
        <x:f>(1-'Воздействие'!F34*D121)*(1-'Воздействие'!G34*E121)</x:f>
        <x:v>1</x:v>
      </x:c>
      <x:c r="Q121" s="1">
        <x:f>J121*P121</x:f>
        <x:v>594625.62902282027</x:v>
      </x:c>
      <x:c r="R121" s="1">
        <x:f>O121*P121</x:f>
        <x:v>0</x:v>
      </x:c>
      <x:c r="S121" s="8">
        <x:f>(1-'Гипотезы'!D12)*(1-'Гипотезы'!E12)</x:f>
        <x:v>0.5625</x:v>
      </x:c>
      <x:c r="T121" s="12">
        <x:f>Q121+R121*S121</x:f>
        <x:v>594625.62902282027</x:v>
      </x:c>
      <x:c r="U121" s="12">
        <x:f>T121-J121</x:f>
        <x:v>0</x:v>
      </x:c>
      <x:c r="V121" s="12">
        <x:f>J121*'Когорты'!T6</x:f>
        <x:v>594625.62902282027</x:v>
      </x:c>
      <x:c r="W121" s="12">
        <x:f>Q121*'Когорты'!T6*(1+'Воздействие'!H34*N121)</x:f>
        <x:v>594625.62902282027</x:v>
      </x:c>
      <x:c r="X121" s="12">
        <x:f>R121*'Когорты'!T6*(1+'Воздействие'!H34*N121)</x:f>
        <x:v>0</x:v>
      </x:c>
      <x:c r="Y121" s="12">
        <x:f>W121+X121*S121</x:f>
        <x:v>594625.62902282027</x:v>
      </x:c>
      <x:c r="Z121" s="12">
        <x:f>F121*N121</x:f>
        <x:v>0</x:v>
      </x:c>
      <x:c r="AA121" s="12">
        <x:f>J121*D121</x:f>
        <x:v>594625.62902282027</x:v>
      </x:c>
      <x:c r="AB121" s="12">
        <x:f>Q121*D121</x:f>
        <x:v>594625.62902282027</x:v>
      </x:c>
      <x:c r="AC121" s="12">
        <x:f>R121*D121</x:f>
        <x:v>0</x:v>
      </x:c>
      <x:c r="AD121" s="12">
        <x:f>J121*E121</x:f>
        <x:v>0</x:v>
      </x:c>
      <x:c r="AE121" s="12">
        <x:f>Q121*E121</x:f>
        <x:v>0</x:v>
      </x:c>
      <x:c r="AF121" s="12">
        <x:f>R121*E121</x:f>
        <x:v>0</x:v>
      </x:c>
      <x:c r="AG121" s="1">
        <x:f>IF(AND(I121&gt;=0,I121&lt;=1,Q121+R121&lt;=F121+0.00000001,N121&gt;=0,N121&lt;=1),1,0)</x:f>
        <x:v>1</x:v>
      </x:c>
      <x:c r="AH121" s="1"/>
      <x:c r="AI121" s="1"/>
    </x:row>
    <x:row r="122" ht="24" customHeight="1">
      <x:c r="A122" s="1" t="str">
        <x:v>H6.3</x:v>
      </x:c>
      <x:c r="B122" s="1" t="str">
        <x:v>S2</x:v>
      </x:c>
      <x:c r="C122" s="1" t="str">
        <x:v>Только F</x:v>
      </x:c>
      <x:c r="D122" s="1" t="n">
        <x:v>0</x:v>
      </x:c>
      <x:c r="E122" s="1" t="n">
        <x:v>1</x:v>
      </x:c>
      <x:c r="F122" s="12">
        <x:f>'Когорты'!D6*'Когорты'!M6</x:f>
        <x:v>137279.99999999997</x:v>
      </x:c>
      <x:c r="G122" s="8">
        <x:f>'Когорты'!F6</x:f>
        <x:v>0.14099999999999999</x:v>
      </x:c>
      <x:c r="H122" s="1">
        <x:f>'Когорты'!P6</x:f>
        <x:v>0.20000000000000001</x:v>
      </x:c>
      <x:c r="I122" s="8">
        <x:f>IF('Когорты'!S6&gt;0,G122*H122/'Когорты'!S6,0)</x:f>
        <x:v>0.027501462843768282</x:v>
      </x:c>
      <x:c r="J122" s="1">
        <x:f>F122*I122</x:f>
        <x:v>3775.4008191925091</x:v>
      </x:c>
      <x:c r="K122" s="8">
        <x:f>'Воздействие'!C34*D122</x:f>
        <x:v>0</x:v>
      </x:c>
      <x:c r="L122" s="8">
        <x:f>'Воздействие'!D34*E122</x:f>
        <x:v>0.29999999999999999</x:v>
      </x:c>
      <x:c r="M122" s="8">
        <x:f>'Воздействие'!E34*D122*E122</x:f>
        <x:v>0</x:v>
      </x:c>
      <x:c r="N122" s="8">
        <x:f>K122+L122-M122</x:f>
        <x:v>0.29999999999999999</x:v>
      </x:c>
      <x:c r="O122" s="1">
        <x:f>J122*'Параметры'!$B$10*N122</x:f>
        <x:v>113.26202457577529</x:v>
      </x:c>
      <x:c r="P122" s="8">
        <x:f>(1-'Воздействие'!F34*D122)*(1-'Воздействие'!G34*E122)</x:f>
        <x:v>1</x:v>
      </x:c>
      <x:c r="Q122" s="1">
        <x:f>J122*P122</x:f>
        <x:v>3775.4008191925091</x:v>
      </x:c>
      <x:c r="R122" s="1">
        <x:f>O122*P122</x:f>
        <x:v>113.26202457577529</x:v>
      </x:c>
      <x:c r="S122" s="8">
        <x:f>(1-'Гипотезы'!D12)*(1-'Гипотезы'!E12)</x:f>
        <x:v>0.5625</x:v>
      </x:c>
      <x:c r="T122" s="12">
        <x:f>Q122+R122*S122</x:f>
        <x:v>3839.1107080163829</x:v>
      </x:c>
      <x:c r="U122" s="12">
        <x:f>T122-J122</x:f>
        <x:v>63.709888823873825</x:v>
      </x:c>
      <x:c r="V122" s="12">
        <x:f>J122*'Когорты'!T6</x:f>
        <x:v>3775.4008191925091</x:v>
      </x:c>
      <x:c r="W122" s="12">
        <x:f>Q122*'Когорты'!T6*(1+'Воздействие'!H34*N122)</x:f>
        <x:v>3775.4008191925091</x:v>
      </x:c>
      <x:c r="X122" s="12">
        <x:f>R122*'Когорты'!T6*(1+'Воздействие'!H34*N122)</x:f>
        <x:v>113.26202457577529</x:v>
      </x:c>
      <x:c r="Y122" s="12">
        <x:f>W122+X122*S122</x:f>
        <x:v>3839.1107080163829</x:v>
      </x:c>
      <x:c r="Z122" s="12">
        <x:f>F122*N122</x:f>
        <x:v>41183.999999999993</x:v>
      </x:c>
      <x:c r="AA122" s="12">
        <x:f>J122*D122</x:f>
        <x:v>0</x:v>
      </x:c>
      <x:c r="AB122" s="12">
        <x:f>Q122*D122</x:f>
        <x:v>0</x:v>
      </x:c>
      <x:c r="AC122" s="12">
        <x:f>R122*D122</x:f>
        <x:v>0</x:v>
      </x:c>
      <x:c r="AD122" s="12">
        <x:f>J122*E122</x:f>
        <x:v>3775.4008191925091</x:v>
      </x:c>
      <x:c r="AE122" s="12">
        <x:f>Q122*E122</x:f>
        <x:v>3775.4008191925091</x:v>
      </x:c>
      <x:c r="AF122" s="12">
        <x:f>R122*E122</x:f>
        <x:v>113.26202457577529</x:v>
      </x:c>
      <x:c r="AG122" s="1">
        <x:f>IF(AND(I122&gt;=0,I122&lt;=1,Q122+R122&lt;=F122+0.00000001,N122&gt;=0,N122&lt;=1),1,0)</x:f>
        <x:v>1</x:v>
      </x:c>
      <x:c r="AH122" s="1"/>
      <x:c r="AI122" s="1"/>
    </x:row>
    <x:row r="123" ht="24" customHeight="1">
      <x:c r="A123" s="1" t="str">
        <x:v>H6.3</x:v>
      </x:c>
      <x:c r="B123" s="1" t="str">
        <x:v>S2</x:v>
      </x:c>
      <x:c r="C123" s="1" t="str">
        <x:v>Оба</x:v>
      </x:c>
      <x:c r="D123" s="1" t="n">
        <x:v>1</x:v>
      </x:c>
      <x:c r="E123" s="1" t="n">
        <x:v>1</x:v>
      </x:c>
      <x:c r="F123" s="12">
        <x:f>'Когорты'!D6*'Когорты'!K6</x:f>
        <x:v>549120</x:v>
      </x:c>
      <x:c r="G123" s="8">
        <x:f>'Когорты'!F6</x:f>
        <x:v>0.14099999999999999</x:v>
      </x:c>
      <x:c r="H123" s="1">
        <x:f>'Когорты'!Q6</x:f>
        <x:v>1</x:v>
      </x:c>
      <x:c r="I123" s="8">
        <x:f>IF('Когорты'!S6&gt;0,G123*H123/'Когорты'!S6,0)</x:f>
        <x:v>0.13750731421884141</x:v>
      </x:c>
      <x:c r="J123" s="1">
        <x:f>F123*I123</x:f>
        <x:v>75508.01638385019</x:v>
      </x:c>
      <x:c r="K123" s="8">
        <x:f>'Воздействие'!C34*D123</x:f>
        <x:v>0</x:v>
      </x:c>
      <x:c r="L123" s="8">
        <x:f>'Воздействие'!D34*E123</x:f>
        <x:v>0.29999999999999999</x:v>
      </x:c>
      <x:c r="M123" s="8">
        <x:f>'Воздействие'!E34*D123*E123</x:f>
        <x:v>0</x:v>
      </x:c>
      <x:c r="N123" s="8">
        <x:f>K123+L123-M123</x:f>
        <x:v>0.29999999999999999</x:v>
      </x:c>
      <x:c r="O123" s="1">
        <x:f>J123*'Параметры'!$B$10*N123</x:f>
        <x:v>2265.2404915155057</x:v>
      </x:c>
      <x:c r="P123" s="8">
        <x:f>(1-'Воздействие'!F34*D123)*(1-'Воздействие'!G34*E123)</x:f>
        <x:v>1</x:v>
      </x:c>
      <x:c r="Q123" s="1">
        <x:f>J123*P123</x:f>
        <x:v>75508.01638385019</x:v>
      </x:c>
      <x:c r="R123" s="1">
        <x:f>O123*P123</x:f>
        <x:v>2265.2404915155057</x:v>
      </x:c>
      <x:c r="S123" s="8">
        <x:f>(1-'Гипотезы'!D12)*(1-'Гипотезы'!E12)</x:f>
        <x:v>0.5625</x:v>
      </x:c>
      <x:c r="T123" s="12">
        <x:f>Q123+R123*S123</x:f>
        <x:v>76782.214160327669</x:v>
      </x:c>
      <x:c r="U123" s="12">
        <x:f>T123-J123</x:f>
        <x:v>1274.1977764774783</x:v>
      </x:c>
      <x:c r="V123" s="12">
        <x:f>J123*'Когорты'!T6</x:f>
        <x:v>75508.01638385019</x:v>
      </x:c>
      <x:c r="W123" s="12">
        <x:f>Q123*'Когорты'!T6*(1+'Воздействие'!H34*N123)</x:f>
        <x:v>75508.01638385019</x:v>
      </x:c>
      <x:c r="X123" s="12">
        <x:f>R123*'Когорты'!T6*(1+'Воздействие'!H34*N123)</x:f>
        <x:v>2265.2404915155057</x:v>
      </x:c>
      <x:c r="Y123" s="12">
        <x:f>W123+X123*S123</x:f>
        <x:v>76782.214160327669</x:v>
      </x:c>
      <x:c r="Z123" s="12">
        <x:f>F123*N123</x:f>
        <x:v>164736</x:v>
      </x:c>
      <x:c r="AA123" s="12">
        <x:f>J123*D123</x:f>
        <x:v>75508.01638385019</x:v>
      </x:c>
      <x:c r="AB123" s="12">
        <x:f>Q123*D123</x:f>
        <x:v>75508.01638385019</x:v>
      </x:c>
      <x:c r="AC123" s="12">
        <x:f>R123*D123</x:f>
        <x:v>2265.2404915155057</x:v>
      </x:c>
      <x:c r="AD123" s="12">
        <x:f>J123*E123</x:f>
        <x:v>75508.01638385019</x:v>
      </x:c>
      <x:c r="AE123" s="12">
        <x:f>Q123*E123</x:f>
        <x:v>75508.01638385019</x:v>
      </x:c>
      <x:c r="AF123" s="12">
        <x:f>R123*E123</x:f>
        <x:v>2265.2404915155057</x:v>
      </x:c>
      <x:c r="AG123" s="1">
        <x:f>IF(AND(I123&gt;=0,I123&lt;=1,Q123+R123&lt;=F123+0.00000001,N123&gt;=0,N123&lt;=1),1,0)</x:f>
        <x:v>1</x:v>
      </x:c>
      <x:c r="AH123" s="1"/>
      <x:c r="AI123" s="1"/>
    </x:row>
    <x:row r="124" ht="24" customHeight="1">
      <x:c r="A124" s="1" t="str">
        <x:v>H6.3</x:v>
      </x:c>
      <x:c r="B124" s="1" t="str">
        <x:v>S2</x:v>
      </x:c>
      <x:c r="C124" s="1" t="str">
        <x:v>Ни один</x:v>
      </x:c>
      <x:c r="D124" s="1" t="n">
        <x:v>0</x:v>
      </x:c>
      <x:c r="E124" s="1" t="n">
        <x:v>0</x:v>
      </x:c>
      <x:c r="F124" s="12">
        <x:f>'Когорты'!D6*'Когорты'!N6</x:f>
        <x:v>1710719.9999999998</x:v>
      </x:c>
      <x:c r="G124" s="8">
        <x:f>'Когорты'!F6</x:f>
        <x:v>0.14099999999999999</x:v>
      </x:c>
      <x:c r="H124" s="1">
        <x:f>'Когорты'!R6</x:f>
        <x:v>0.29999999999999999</x:v>
      </x:c>
      <x:c r="I124" s="8">
        <x:f>IF('Когорты'!S6&gt;0,G124*H124/'Когорты'!S6,0)</x:f>
        <x:v>0.041252194265652423</x:v>
      </x:c>
      <x:c r="J124" s="1">
        <x:f>F124*I124</x:f>
        <x:v>70570.953774136899</x:v>
      </x:c>
      <x:c r="K124" s="8">
        <x:f>'Воздействие'!C34*D124</x:f>
        <x:v>0</x:v>
      </x:c>
      <x:c r="L124" s="8">
        <x:f>'Воздействие'!D34*E124</x:f>
        <x:v>0</x:v>
      </x:c>
      <x:c r="M124" s="8">
        <x:f>'Воздействие'!E34*D124*E124</x:f>
        <x:v>0</x:v>
      </x:c>
      <x:c r="N124" s="8">
        <x:f>K124+L124-M124</x:f>
        <x:v>0</x:v>
      </x:c>
      <x:c r="O124" s="1">
        <x:f>J124*'Параметры'!$B$10*N124</x:f>
        <x:v>0</x:v>
      </x:c>
      <x:c r="P124" s="8">
        <x:f>(1-'Воздействие'!F34*D124)*(1-'Воздействие'!G34*E124)</x:f>
        <x:v>1</x:v>
      </x:c>
      <x:c r="Q124" s="1">
        <x:f>J124*P124</x:f>
        <x:v>70570.953774136899</x:v>
      </x:c>
      <x:c r="R124" s="1">
        <x:f>O124*P124</x:f>
        <x:v>0</x:v>
      </x:c>
      <x:c r="S124" s="8">
        <x:f>(1-'Гипотезы'!D12)*(1-'Гипотезы'!E12)</x:f>
        <x:v>0.5625</x:v>
      </x:c>
      <x:c r="T124" s="12">
        <x:f>Q124+R124*S124</x:f>
        <x:v>70570.953774136899</x:v>
      </x:c>
      <x:c r="U124" s="12">
        <x:f>T124-J124</x:f>
        <x:v>0</x:v>
      </x:c>
      <x:c r="V124" s="12">
        <x:f>J124*'Когорты'!T6</x:f>
        <x:v>70570.953774136899</x:v>
      </x:c>
      <x:c r="W124" s="12">
        <x:f>Q124*'Когорты'!T6*(1+'Воздействие'!H34*N124)</x:f>
        <x:v>70570.953774136899</x:v>
      </x:c>
      <x:c r="X124" s="12">
        <x:f>R124*'Когорты'!T6*(1+'Воздействие'!H34*N124)</x:f>
        <x:v>0</x:v>
      </x:c>
      <x:c r="Y124" s="12">
        <x:f>W124+X124*S124</x:f>
        <x:v>70570.953774136899</x:v>
      </x:c>
      <x:c r="Z124" s="12">
        <x:f>F124*N124</x:f>
        <x:v>0</x:v>
      </x:c>
      <x:c r="AA124" s="12">
        <x:f>J124*D124</x:f>
        <x:v>0</x:v>
      </x:c>
      <x:c r="AB124" s="12">
        <x:f>Q124*D124</x:f>
        <x:v>0</x:v>
      </x:c>
      <x:c r="AC124" s="12">
        <x:f>R124*D124</x:f>
        <x:v>0</x:v>
      </x:c>
      <x:c r="AD124" s="12">
        <x:f>J124*E124</x:f>
        <x:v>0</x:v>
      </x:c>
      <x:c r="AE124" s="12">
        <x:f>Q124*E124</x:f>
        <x:v>0</x:v>
      </x:c>
      <x:c r="AF124" s="12">
        <x:f>R124*E124</x:f>
        <x:v>0</x:v>
      </x:c>
      <x:c r="AG124" s="1">
        <x:f>IF(AND(I124&gt;=0,I124&lt;=1,Q124+R124&lt;=F124+0.00000001,N124&gt;=0,N124&lt;=1),1,0)</x:f>
        <x:v>1</x:v>
      </x:c>
      <x:c r="AH124" s="1"/>
      <x:c r="AI124" s="1"/>
    </x:row>
    <x:row r="125" ht="24" customHeight="1">
      <x:c r="A125" s="1" t="str">
        <x:v>H6.3</x:v>
      </x:c>
      <x:c r="B125" s="1" t="str">
        <x:v>S3</x:v>
      </x:c>
      <x:c r="C125" s="1" t="str">
        <x:v>Только C</x:v>
      </x:c>
      <x:c r="D125" s="1" t="n">
        <x:v>1</x:v>
      </x:c>
      <x:c r="E125" s="1" t="n">
        <x:v>0</x:v>
      </x:c>
      <x:c r="F125" s="12">
        <x:f>'Когорты'!D7*'Когорты'!L7</x:f>
        <x:v>4324320</x:v>
      </x:c>
      <x:c r="G125" s="8">
        <x:f>'Когорты'!F7</x:f>
        <x:v>0.05099999999999999</x:v>
      </x:c>
      <x:c r="H125" s="1">
        <x:f>'Когорты'!O7</x:f>
        <x:v>1.5</x:v>
      </x:c>
      <x:c r="I125" s="8">
        <x:f>IF('Когорты'!S7&gt;0,G125*H125/'Когорты'!S7,0)</x:f>
        <x:v>0.074605032182562883</x:v>
      </x:c>
      <x:c r="J125" s="1">
        <x:f>F125*I125</x:f>
        <x:v>322616.03276770032</x:v>
      </x:c>
      <x:c r="K125" s="8">
        <x:f>'Воздействие'!C35*D125</x:f>
        <x:v>0</x:v>
      </x:c>
      <x:c r="L125" s="8">
        <x:f>'Воздействие'!D35*E125</x:f>
        <x:v>0</x:v>
      </x:c>
      <x:c r="M125" s="8">
        <x:f>'Воздействие'!E35*D125*E125</x:f>
        <x:v>0</x:v>
      </x:c>
      <x:c r="N125" s="8">
        <x:f>K125+L125-M125</x:f>
        <x:v>0</x:v>
      </x:c>
      <x:c r="O125" s="1">
        <x:f>J125*'Параметры'!$B$10*N125</x:f>
        <x:v>0</x:v>
      </x:c>
      <x:c r="P125" s="8">
        <x:f>(1-'Воздействие'!F35*D125)*(1-'Воздействие'!G35*E125)</x:f>
        <x:v>1</x:v>
      </x:c>
      <x:c r="Q125" s="1">
        <x:f>J125*P125</x:f>
        <x:v>322616.03276770032</x:v>
      </x:c>
      <x:c r="R125" s="1">
        <x:f>O125*P125</x:f>
        <x:v>0</x:v>
      </x:c>
      <x:c r="S125" s="8">
        <x:f>(1-'Гипотезы'!D12)*(1-'Гипотезы'!E12)</x:f>
        <x:v>0.5625</x:v>
      </x:c>
      <x:c r="T125" s="12">
        <x:f>Q125+R125*S125</x:f>
        <x:v>322616.03276770032</x:v>
      </x:c>
      <x:c r="U125" s="12">
        <x:f>T125-J125</x:f>
        <x:v>0</x:v>
      </x:c>
      <x:c r="V125" s="12">
        <x:f>J125*'Когорты'!T7</x:f>
        <x:v>322616.03276770032</x:v>
      </x:c>
      <x:c r="W125" s="12">
        <x:f>Q125*'Когорты'!T7*(1+'Воздействие'!H35*N125)</x:f>
        <x:v>322616.03276770032</x:v>
      </x:c>
      <x:c r="X125" s="12">
        <x:f>R125*'Когорты'!T7*(1+'Воздействие'!H35*N125)</x:f>
        <x:v>0</x:v>
      </x:c>
      <x:c r="Y125" s="12">
        <x:f>W125+X125*S125</x:f>
        <x:v>322616.03276770032</x:v>
      </x:c>
      <x:c r="Z125" s="12">
        <x:f>F125*N125</x:f>
        <x:v>0</x:v>
      </x:c>
      <x:c r="AA125" s="12">
        <x:f>J125*D125</x:f>
        <x:v>322616.03276770032</x:v>
      </x:c>
      <x:c r="AB125" s="12">
        <x:f>Q125*D125</x:f>
        <x:v>322616.03276770032</x:v>
      </x:c>
      <x:c r="AC125" s="12">
        <x:f>R125*D125</x:f>
        <x:v>0</x:v>
      </x:c>
      <x:c r="AD125" s="12">
        <x:f>J125*E125</x:f>
        <x:v>0</x:v>
      </x:c>
      <x:c r="AE125" s="12">
        <x:f>Q125*E125</x:f>
        <x:v>0</x:v>
      </x:c>
      <x:c r="AF125" s="12">
        <x:f>R125*E125</x:f>
        <x:v>0</x:v>
      </x:c>
      <x:c r="AG125" s="1">
        <x:f>IF(AND(I125&gt;=0,I125&lt;=1,Q125+R125&lt;=F125+0.00000001,N125&gt;=0,N125&lt;=1),1,0)</x:f>
        <x:v>1</x:v>
      </x:c>
      <x:c r="AH125" s="1"/>
      <x:c r="AI125" s="1"/>
    </x:row>
    <x:row r="126" ht="24" customHeight="1">
      <x:c r="A126" s="1" t="str">
        <x:v>H6.3</x:v>
      </x:c>
      <x:c r="B126" s="1" t="str">
        <x:v>S3</x:v>
      </x:c>
      <x:c r="C126" s="1" t="str">
        <x:v>Только F</x:v>
      </x:c>
      <x:c r="D126" s="1" t="n">
        <x:v>0</x:v>
      </x:c>
      <x:c r="E126" s="1" t="n">
        <x:v>1</x:v>
      </x:c>
      <x:c r="F126" s="12">
        <x:f>'Когорты'!D7*'Когорты'!M7</x:f>
        <x:v>205919.99999999997</x:v>
      </x:c>
      <x:c r="G126" s="8">
        <x:f>'Когорты'!F7</x:f>
        <x:v>0.05099999999999999</x:v>
      </x:c>
      <x:c r="H126" s="1">
        <x:f>'Когорты'!P7</x:f>
        <x:v>0.20000000000000001</x:v>
      </x:c>
      <x:c r="I126" s="8">
        <x:f>IF('Когорты'!S7&gt;0,G126*H126/'Когорты'!S7,0)</x:f>
        <x:v>0.0099473376243417178</x:v>
      </x:c>
      <x:c r="J126" s="1">
        <x:f>F126*I126</x:f>
        <x:v>2048.3557636044461</x:v>
      </x:c>
      <x:c r="K126" s="8">
        <x:f>'Воздействие'!C35*D126</x:f>
        <x:v>0</x:v>
      </x:c>
      <x:c r="L126" s="8">
        <x:f>'Воздействие'!D35*E126</x:f>
        <x:v>0.10000000000000001</x:v>
      </x:c>
      <x:c r="M126" s="8">
        <x:f>'Воздействие'!E35*D126*E126</x:f>
        <x:v>0</x:v>
      </x:c>
      <x:c r="N126" s="8">
        <x:f>K126+L126-M126</x:f>
        <x:v>0.10000000000000001</x:v>
      </x:c>
      <x:c r="O126" s="1">
        <x:f>J126*'Параметры'!$B$10*N126</x:f>
        <x:v>20.483557636044466</x:v>
      </x:c>
      <x:c r="P126" s="8">
        <x:f>(1-'Воздействие'!F35*D126)*(1-'Воздействие'!G35*E126)</x:f>
        <x:v>1</x:v>
      </x:c>
      <x:c r="Q126" s="1">
        <x:f>J126*P126</x:f>
        <x:v>2048.3557636044461</x:v>
      </x:c>
      <x:c r="R126" s="1">
        <x:f>O126*P126</x:f>
        <x:v>20.483557636044466</x:v>
      </x:c>
      <x:c r="S126" s="8">
        <x:f>(1-'Гипотезы'!D12)*(1-'Гипотезы'!E12)</x:f>
        <x:v>0.5625</x:v>
      </x:c>
      <x:c r="T126" s="12">
        <x:f>Q126+R126*S126</x:f>
        <x:v>2059.8777647747211</x:v>
      </x:c>
      <x:c r="U126" s="12">
        <x:f>T126-J126</x:f>
        <x:v>11.522001170274962</x:v>
      </x:c>
      <x:c r="V126" s="12">
        <x:f>J126*'Когорты'!T7</x:f>
        <x:v>2048.3557636044461</x:v>
      </x:c>
      <x:c r="W126" s="12">
        <x:f>Q126*'Когорты'!T7*(1+'Воздействие'!H35*N126)</x:f>
        <x:v>2048.3557636044461</x:v>
      </x:c>
      <x:c r="X126" s="12">
        <x:f>R126*'Когорты'!T7*(1+'Воздействие'!H35*N126)</x:f>
        <x:v>20.483557636044466</x:v>
      </x:c>
      <x:c r="Y126" s="12">
        <x:f>W126+X126*S126</x:f>
        <x:v>2059.8777647747211</x:v>
      </x:c>
      <x:c r="Z126" s="12">
        <x:f>F126*N126</x:f>
        <x:v>20592</x:v>
      </x:c>
      <x:c r="AA126" s="12">
        <x:f>J126*D126</x:f>
        <x:v>0</x:v>
      </x:c>
      <x:c r="AB126" s="12">
        <x:f>Q126*D126</x:f>
        <x:v>0</x:v>
      </x:c>
      <x:c r="AC126" s="12">
        <x:f>R126*D126</x:f>
        <x:v>0</x:v>
      </x:c>
      <x:c r="AD126" s="12">
        <x:f>J126*E126</x:f>
        <x:v>2048.3557636044461</x:v>
      </x:c>
      <x:c r="AE126" s="12">
        <x:f>Q126*E126</x:f>
        <x:v>2048.3557636044461</x:v>
      </x:c>
      <x:c r="AF126" s="12">
        <x:f>R126*E126</x:f>
        <x:v>20.483557636044466</x:v>
      </x:c>
      <x:c r="AG126" s="1">
        <x:f>IF(AND(I126&gt;=0,I126&lt;=1,Q126+R126&lt;=F126+0.00000001,N126&gt;=0,N126&lt;=1),1,0)</x:f>
        <x:v>1</x:v>
      </x:c>
      <x:c r="AH126" s="1"/>
      <x:c r="AI126" s="1"/>
    </x:row>
    <x:row r="127" ht="24" customHeight="1">
      <x:c r="A127" s="1" t="str">
        <x:v>H6.3</x:v>
      </x:c>
      <x:c r="B127" s="1" t="str">
        <x:v>S3</x:v>
      </x:c>
      <x:c r="C127" s="1" t="str">
        <x:v>Оба</x:v>
      </x:c>
      <x:c r="D127" s="1" t="n">
        <x:v>1</x:v>
      </x:c>
      <x:c r="E127" s="1" t="n">
        <x:v>1</x:v>
      </x:c>
      <x:c r="F127" s="12">
        <x:f>'Когорты'!D7*'Когорты'!K7</x:f>
        <x:v>823680.00000000012</x:v>
      </x:c>
      <x:c r="G127" s="8">
        <x:f>'Когорты'!F7</x:f>
        <x:v>0.05099999999999999</x:v>
      </x:c>
      <x:c r="H127" s="1">
        <x:f>'Когорты'!Q7</x:f>
        <x:v>1</x:v>
      </x:c>
      <x:c r="I127" s="8">
        <x:f>IF('Когорты'!S7&gt;0,G127*H127/'Когорты'!S7,0)</x:f>
        <x:v>0.049736688121708589</x:v>
      </x:c>
      <x:c r="J127" s="1">
        <x:f>F127*I127</x:f>
        <x:v>40967.115272088937</x:v>
      </x:c>
      <x:c r="K127" s="8">
        <x:f>'Воздействие'!C35*D127</x:f>
        <x:v>0</x:v>
      </x:c>
      <x:c r="L127" s="8">
        <x:f>'Воздействие'!D35*E127</x:f>
        <x:v>0.10000000000000001</x:v>
      </x:c>
      <x:c r="M127" s="8">
        <x:f>'Воздействие'!E35*D127*E127</x:f>
        <x:v>0</x:v>
      </x:c>
      <x:c r="N127" s="8">
        <x:f>K127+L127-M127</x:f>
        <x:v>0.10000000000000001</x:v>
      </x:c>
      <x:c r="O127" s="1">
        <x:f>J127*'Параметры'!$B$10*N127</x:f>
        <x:v>409.67115272088944</x:v>
      </x:c>
      <x:c r="P127" s="8">
        <x:f>(1-'Воздействие'!F35*D127)*(1-'Воздействие'!G35*E127)</x:f>
        <x:v>1</x:v>
      </x:c>
      <x:c r="Q127" s="1">
        <x:f>J127*P127</x:f>
        <x:v>40967.115272088937</x:v>
      </x:c>
      <x:c r="R127" s="1">
        <x:f>O127*P127</x:f>
        <x:v>409.67115272088944</x:v>
      </x:c>
      <x:c r="S127" s="8">
        <x:f>(1-'Гипотезы'!D12)*(1-'Гипотезы'!E12)</x:f>
        <x:v>0.5625</x:v>
      </x:c>
      <x:c r="T127" s="12">
        <x:f>Q127+R127*S127</x:f>
        <x:v>41197.555295494436</x:v>
      </x:c>
      <x:c r="U127" s="12">
        <x:f>T127-J127</x:f>
        <x:v>230.44002340549923</x:v>
      </x:c>
      <x:c r="V127" s="12">
        <x:f>J127*'Когорты'!T7</x:f>
        <x:v>40967.115272088937</x:v>
      </x:c>
      <x:c r="W127" s="12">
        <x:f>Q127*'Когорты'!T7*(1+'Воздействие'!H35*N127)</x:f>
        <x:v>40967.115272088937</x:v>
      </x:c>
      <x:c r="X127" s="12">
        <x:f>R127*'Когорты'!T7*(1+'Воздействие'!H35*N127)</x:f>
        <x:v>409.67115272088944</x:v>
      </x:c>
      <x:c r="Y127" s="12">
        <x:f>W127+X127*S127</x:f>
        <x:v>41197.555295494436</x:v>
      </x:c>
      <x:c r="Z127" s="12">
        <x:f>F127*N127</x:f>
        <x:v>82368.000000000015</x:v>
      </x:c>
      <x:c r="AA127" s="12">
        <x:f>J127*D127</x:f>
        <x:v>40967.115272088937</x:v>
      </x:c>
      <x:c r="AB127" s="12">
        <x:f>Q127*D127</x:f>
        <x:v>40967.115272088937</x:v>
      </x:c>
      <x:c r="AC127" s="12">
        <x:f>R127*D127</x:f>
        <x:v>409.67115272088944</x:v>
      </x:c>
      <x:c r="AD127" s="12">
        <x:f>J127*E127</x:f>
        <x:v>40967.115272088937</x:v>
      </x:c>
      <x:c r="AE127" s="12">
        <x:f>Q127*E127</x:f>
        <x:v>40967.115272088937</x:v>
      </x:c>
      <x:c r="AF127" s="12">
        <x:f>R127*E127</x:f>
        <x:v>409.67115272088944</x:v>
      </x:c>
      <x:c r="AG127" s="1">
        <x:f>IF(AND(I127&gt;=0,I127&lt;=1,Q127+R127&lt;=F127+0.00000001,N127&gt;=0,N127&lt;=1),1,0)</x:f>
        <x:v>1</x:v>
      </x:c>
      <x:c r="AH127" s="1"/>
      <x:c r="AI127" s="1"/>
    </x:row>
    <x:row r="128" ht="24" customHeight="1">
      <x:c r="A128" s="1" t="str">
        <x:v>H6.3</x:v>
      </x:c>
      <x:c r="B128" s="1" t="str">
        <x:v>S3</x:v>
      </x:c>
      <x:c r="C128" s="1" t="str">
        <x:v>Ни один</x:v>
      </x:c>
      <x:c r="D128" s="1" t="n">
        <x:v>0</x:v>
      </x:c>
      <x:c r="E128" s="1" t="n">
        <x:v>0</x:v>
      </x:c>
      <x:c r="F128" s="12">
        <x:f>'Когорты'!D7*'Когорты'!N7</x:f>
        <x:v>2566079.9999999995</x:v>
      </x:c>
      <x:c r="G128" s="8">
        <x:f>'Когорты'!F7</x:f>
        <x:v>0.05099999999999999</x:v>
      </x:c>
      <x:c r="H128" s="1">
        <x:f>'Когорты'!R7</x:f>
        <x:v>0.29999999999999999</x:v>
      </x:c>
      <x:c r="I128" s="8">
        <x:f>IF('Когорты'!S7&gt;0,G128*H128/'Когорты'!S7,0)</x:f>
        <x:v>0.014921006436512575</x:v>
      </x:c>
      <x:c r="J128" s="1">
        <x:f>F128*I128</x:f>
        <x:v>38288.496196606182</x:v>
      </x:c>
      <x:c r="K128" s="8">
        <x:f>'Воздействие'!C35*D128</x:f>
        <x:v>0</x:v>
      </x:c>
      <x:c r="L128" s="8">
        <x:f>'Воздействие'!D35*E128</x:f>
        <x:v>0</x:v>
      </x:c>
      <x:c r="M128" s="8">
        <x:f>'Воздействие'!E35*D128*E128</x:f>
        <x:v>0</x:v>
      </x:c>
      <x:c r="N128" s="8">
        <x:f>K128+L128-M128</x:f>
        <x:v>0</x:v>
      </x:c>
      <x:c r="O128" s="1">
        <x:f>J128*'Параметры'!$B$10*N128</x:f>
        <x:v>0</x:v>
      </x:c>
      <x:c r="P128" s="8">
        <x:f>(1-'Воздействие'!F35*D128)*(1-'Воздействие'!G35*E128)</x:f>
        <x:v>1</x:v>
      </x:c>
      <x:c r="Q128" s="1">
        <x:f>J128*P128</x:f>
        <x:v>38288.496196606182</x:v>
      </x:c>
      <x:c r="R128" s="1">
        <x:f>O128*P128</x:f>
        <x:v>0</x:v>
      </x:c>
      <x:c r="S128" s="8">
        <x:f>(1-'Гипотезы'!D12)*(1-'Гипотезы'!E12)</x:f>
        <x:v>0.5625</x:v>
      </x:c>
      <x:c r="T128" s="12">
        <x:f>Q128+R128*S128</x:f>
        <x:v>38288.496196606182</x:v>
      </x:c>
      <x:c r="U128" s="12">
        <x:f>T128-J128</x:f>
        <x:v>0</x:v>
      </x:c>
      <x:c r="V128" s="12">
        <x:f>J128*'Когорты'!T7</x:f>
        <x:v>38288.496196606182</x:v>
      </x:c>
      <x:c r="W128" s="12">
        <x:f>Q128*'Когорты'!T7*(1+'Воздействие'!H35*N128)</x:f>
        <x:v>38288.496196606182</x:v>
      </x:c>
      <x:c r="X128" s="12">
        <x:f>R128*'Когорты'!T7*(1+'Воздействие'!H35*N128)</x:f>
        <x:v>0</x:v>
      </x:c>
      <x:c r="Y128" s="12">
        <x:f>W128+X128*S128</x:f>
        <x:v>38288.496196606182</x:v>
      </x:c>
      <x:c r="Z128" s="12">
        <x:f>F128*N128</x:f>
        <x:v>0</x:v>
      </x:c>
      <x:c r="AA128" s="12">
        <x:f>J128*D128</x:f>
        <x:v>0</x:v>
      </x:c>
      <x:c r="AB128" s="12">
        <x:f>Q128*D128</x:f>
        <x:v>0</x:v>
      </x:c>
      <x:c r="AC128" s="12">
        <x:f>R128*D128</x:f>
        <x:v>0</x:v>
      </x:c>
      <x:c r="AD128" s="12">
        <x:f>J128*E128</x:f>
        <x:v>0</x:v>
      </x:c>
      <x:c r="AE128" s="12">
        <x:f>Q128*E128</x:f>
        <x:v>0</x:v>
      </x:c>
      <x:c r="AF128" s="12">
        <x:f>R128*E128</x:f>
        <x:v>0</x:v>
      </x:c>
      <x:c r="AG128" s="1">
        <x:f>IF(AND(I128&gt;=0,I128&lt;=1,Q128+R128&lt;=F128+0.00000001,N128&gt;=0,N128&lt;=1),1,0)</x:f>
        <x:v>1</x:v>
      </x:c>
      <x:c r="AH128" s="1"/>
      <x:c r="AI128" s="1"/>
    </x:row>
    <x:row r="129" ht="24" customHeight="1">
      <x:c r="A129" s="1" t="str">
        <x:v>H6.3</x:v>
      </x:c>
      <x:c r="B129" s="1" t="str">
        <x:v>S4</x:v>
      </x:c>
      <x:c r="C129" s="1" t="str">
        <x:v>Только C</x:v>
      </x:c>
      <x:c r="D129" s="1" t="n">
        <x:v>1</x:v>
      </x:c>
      <x:c r="E129" s="1" t="n">
        <x:v>0</x:v>
      </x:c>
      <x:c r="F129" s="12">
        <x:f>'Когорты'!D8*'Когорты'!L8</x:f>
        <x:v>10090080</x:v>
      </x:c>
      <x:c r="G129" s="8">
        <x:f>'Когорты'!F8</x:f>
        <x:v>0.14099999999999999</x:v>
      </x:c>
      <x:c r="H129" s="1">
        <x:f>'Когорты'!O8</x:f>
        <x:v>1.5</x:v>
      </x:c>
      <x:c r="I129" s="8">
        <x:f>IF('Когорты'!S8&gt;0,G129*H129/'Когорты'!S8,0)</x:f>
        <x:v>0.2062609713282621</x:v>
      </x:c>
      <x:c r="J129" s="1">
        <x:f>F129*I129</x:f>
        <x:v>2081189.7015798709</x:v>
      </x:c>
      <x:c r="K129" s="8">
        <x:f>'Воздействие'!C36*D129</x:f>
        <x:v>0</x:v>
      </x:c>
      <x:c r="L129" s="8">
        <x:f>'Воздействие'!D36*E129</x:f>
        <x:v>0</x:v>
      </x:c>
      <x:c r="M129" s="8">
        <x:f>'Воздействие'!E36*D129*E129</x:f>
        <x:v>0</x:v>
      </x:c>
      <x:c r="N129" s="8">
        <x:f>K129+L129-M129</x:f>
        <x:v>0</x:v>
      </x:c>
      <x:c r="O129" s="1">
        <x:f>J129*'Параметры'!$B$10*N129</x:f>
        <x:v>0</x:v>
      </x:c>
      <x:c r="P129" s="8">
        <x:f>(1-'Воздействие'!F36*D129)*(1-'Воздействие'!G36*E129)</x:f>
        <x:v>1</x:v>
      </x:c>
      <x:c r="Q129" s="1">
        <x:f>J129*P129</x:f>
        <x:v>2081189.7015798709</x:v>
      </x:c>
      <x:c r="R129" s="1">
        <x:f>O129*P129</x:f>
        <x:v>0</x:v>
      </x:c>
      <x:c r="S129" s="8">
        <x:f>(1-'Гипотезы'!D12)*(1-'Гипотезы'!E12)</x:f>
        <x:v>0.5625</x:v>
      </x:c>
      <x:c r="T129" s="12">
        <x:f>Q129+R129*S129</x:f>
        <x:v>2081189.7015798709</x:v>
      </x:c>
      <x:c r="U129" s="12">
        <x:f>T129-J129</x:f>
        <x:v>0</x:v>
      </x:c>
      <x:c r="V129" s="12">
        <x:f>J129*'Когорты'!T8</x:f>
        <x:v>2081189.7015798709</x:v>
      </x:c>
      <x:c r="W129" s="12">
        <x:f>Q129*'Когорты'!T8*(1+'Воздействие'!H36*N129)</x:f>
        <x:v>2081189.7015798709</x:v>
      </x:c>
      <x:c r="X129" s="12">
        <x:f>R129*'Когорты'!T8*(1+'Воздействие'!H36*N129)</x:f>
        <x:v>0</x:v>
      </x:c>
      <x:c r="Y129" s="12">
        <x:f>W129+X129*S129</x:f>
        <x:v>2081189.7015798709</x:v>
      </x:c>
      <x:c r="Z129" s="12">
        <x:f>F129*N129</x:f>
        <x:v>0</x:v>
      </x:c>
      <x:c r="AA129" s="12">
        <x:f>J129*D129</x:f>
        <x:v>2081189.7015798709</x:v>
      </x:c>
      <x:c r="AB129" s="12">
        <x:f>Q129*D129</x:f>
        <x:v>2081189.7015798709</x:v>
      </x:c>
      <x:c r="AC129" s="12">
        <x:f>R129*D129</x:f>
        <x:v>0</x:v>
      </x:c>
      <x:c r="AD129" s="12">
        <x:f>J129*E129</x:f>
        <x:v>0</x:v>
      </x:c>
      <x:c r="AE129" s="12">
        <x:f>Q129*E129</x:f>
        <x:v>0</x:v>
      </x:c>
      <x:c r="AF129" s="12">
        <x:f>R129*E129</x:f>
        <x:v>0</x:v>
      </x:c>
      <x:c r="AG129" s="1">
        <x:f>IF(AND(I129&gt;=0,I129&lt;=1,Q129+R129&lt;=F129+0.00000001,N129&gt;=0,N129&lt;=1),1,0)</x:f>
        <x:v>1</x:v>
      </x:c>
      <x:c r="AH129" s="1"/>
      <x:c r="AI129" s="1"/>
    </x:row>
    <x:row r="130" ht="24" customHeight="1">
      <x:c r="A130" s="1" t="str">
        <x:v>H6.3</x:v>
      </x:c>
      <x:c r="B130" s="1" t="str">
        <x:v>S4</x:v>
      </x:c>
      <x:c r="C130" s="1" t="str">
        <x:v>Только F</x:v>
      </x:c>
      <x:c r="D130" s="1" t="n">
        <x:v>0</x:v>
      </x:c>
      <x:c r="E130" s="1" t="n">
        <x:v>1</x:v>
      </x:c>
      <x:c r="F130" s="12">
        <x:f>'Когорты'!D8*'Когорты'!M8</x:f>
        <x:v>480479.99999999994</x:v>
      </x:c>
      <x:c r="G130" s="8">
        <x:f>'Когорты'!F8</x:f>
        <x:v>0.14099999999999999</x:v>
      </x:c>
      <x:c r="H130" s="1">
        <x:f>'Когорты'!P8</x:f>
        <x:v>0.20000000000000001</x:v>
      </x:c>
      <x:c r="I130" s="8">
        <x:f>IF('Когорты'!S8&gt;0,G130*H130/'Когорты'!S8,0)</x:f>
        <x:v>0.027501462843768282</x:v>
      </x:c>
      <x:c r="J130" s="1">
        <x:f>F130*I130</x:f>
        <x:v>13213.902867173783</x:v>
      </x:c>
      <x:c r="K130" s="8">
        <x:f>'Воздействие'!C36*D130</x:f>
        <x:v>0</x:v>
      </x:c>
      <x:c r="L130" s="8">
        <x:f>'Воздействие'!D36*E130</x:f>
        <x:v>0.10000000000000001</x:v>
      </x:c>
      <x:c r="M130" s="8">
        <x:f>'Воздействие'!E36*D130*E130</x:f>
        <x:v>0</x:v>
      </x:c>
      <x:c r="N130" s="8">
        <x:f>K130+L130-M130</x:f>
        <x:v>0.10000000000000001</x:v>
      </x:c>
      <x:c r="O130" s="1">
        <x:f>J130*'Параметры'!$B$10*N130</x:f>
        <x:v>132.13902867173783</x:v>
      </x:c>
      <x:c r="P130" s="8">
        <x:f>(1-'Воздействие'!F36*D130)*(1-'Воздействие'!G36*E130)</x:f>
        <x:v>1</x:v>
      </x:c>
      <x:c r="Q130" s="1">
        <x:f>J130*P130</x:f>
        <x:v>13213.902867173783</x:v>
      </x:c>
      <x:c r="R130" s="1">
        <x:f>O130*P130</x:f>
        <x:v>132.13902867173783</x:v>
      </x:c>
      <x:c r="S130" s="8">
        <x:f>(1-'Гипотезы'!D12)*(1-'Гипотезы'!E12)</x:f>
        <x:v>0.5625</x:v>
      </x:c>
      <x:c r="T130" s="12">
        <x:f>Q130+R130*S130</x:f>
        <x:v>13288.231070801636</x:v>
      </x:c>
      <x:c r="U130" s="12">
        <x:f>T130-J130</x:f>
        <x:v>74.328203627852417</x:v>
      </x:c>
      <x:c r="V130" s="12">
        <x:f>J130*'Когорты'!T8</x:f>
        <x:v>13213.902867173783</x:v>
      </x:c>
      <x:c r="W130" s="12">
        <x:f>Q130*'Когорты'!T8*(1+'Воздействие'!H36*N130)</x:f>
        <x:v>13213.902867173783</x:v>
      </x:c>
      <x:c r="X130" s="12">
        <x:f>R130*'Когорты'!T8*(1+'Воздействие'!H36*N130)</x:f>
        <x:v>132.13902867173783</x:v>
      </x:c>
      <x:c r="Y130" s="12">
        <x:f>W130+X130*S130</x:f>
        <x:v>13288.231070801636</x:v>
      </x:c>
      <x:c r="Z130" s="12">
        <x:f>F130*N130</x:f>
        <x:v>48048</x:v>
      </x:c>
      <x:c r="AA130" s="12">
        <x:f>J130*D130</x:f>
        <x:v>0</x:v>
      </x:c>
      <x:c r="AB130" s="12">
        <x:f>Q130*D130</x:f>
        <x:v>0</x:v>
      </x:c>
      <x:c r="AC130" s="12">
        <x:f>R130*D130</x:f>
        <x:v>0</x:v>
      </x:c>
      <x:c r="AD130" s="12">
        <x:f>J130*E130</x:f>
        <x:v>13213.902867173783</x:v>
      </x:c>
      <x:c r="AE130" s="12">
        <x:f>Q130*E130</x:f>
        <x:v>13213.902867173783</x:v>
      </x:c>
      <x:c r="AF130" s="12">
        <x:f>R130*E130</x:f>
        <x:v>132.13902867173783</x:v>
      </x:c>
      <x:c r="AG130" s="1">
        <x:f>IF(AND(I130&gt;=0,I130&lt;=1,Q130+R130&lt;=F130+0.00000001,N130&gt;=0,N130&lt;=1),1,0)</x:f>
        <x:v>1</x:v>
      </x:c>
      <x:c r="AH130" s="1"/>
      <x:c r="AI130" s="1"/>
    </x:row>
    <x:row r="131" ht="24" customHeight="1">
      <x:c r="A131" s="1" t="str">
        <x:v>H6.3</x:v>
      </x:c>
      <x:c r="B131" s="1" t="str">
        <x:v>S4</x:v>
      </x:c>
      <x:c r="C131" s="1" t="str">
        <x:v>Оба</x:v>
      </x:c>
      <x:c r="D131" s="1" t="n">
        <x:v>1</x:v>
      </x:c>
      <x:c r="E131" s="1" t="n">
        <x:v>1</x:v>
      </x:c>
      <x:c r="F131" s="12">
        <x:f>'Когорты'!D8*'Когорты'!K8</x:f>
        <x:v>1921920.0000000002</x:v>
      </x:c>
      <x:c r="G131" s="8">
        <x:f>'Когорты'!F8</x:f>
        <x:v>0.14099999999999999</x:v>
      </x:c>
      <x:c r="H131" s="1">
        <x:f>'Когорты'!Q8</x:f>
        <x:v>1</x:v>
      </x:c>
      <x:c r="I131" s="8">
        <x:f>IF('Когорты'!S8&gt;0,G131*H131/'Когорты'!S8,0)</x:f>
        <x:v>0.13750731421884141</x:v>
      </x:c>
      <x:c r="J131" s="1">
        <x:f>F131*I131</x:f>
        <x:v>264278.0573434757</x:v>
      </x:c>
      <x:c r="K131" s="8">
        <x:f>'Воздействие'!C36*D131</x:f>
        <x:v>0</x:v>
      </x:c>
      <x:c r="L131" s="8">
        <x:f>'Воздействие'!D36*E131</x:f>
        <x:v>0.10000000000000001</x:v>
      </x:c>
      <x:c r="M131" s="8">
        <x:f>'Воздействие'!E36*D131*E131</x:f>
        <x:v>0</x:v>
      </x:c>
      <x:c r="N131" s="8">
        <x:f>K131+L131-M131</x:f>
        <x:v>0.10000000000000001</x:v>
      </x:c>
      <x:c r="O131" s="1">
        <x:f>J131*'Параметры'!$B$10*N131</x:f>
        <x:v>2642.7805734347571</x:v>
      </x:c>
      <x:c r="P131" s="8">
        <x:f>(1-'Воздействие'!F36*D131)*(1-'Воздействие'!G36*E131)</x:f>
        <x:v>1</x:v>
      </x:c>
      <x:c r="Q131" s="1">
        <x:f>J131*P131</x:f>
        <x:v>264278.0573434757</x:v>
      </x:c>
      <x:c r="R131" s="1">
        <x:f>O131*P131</x:f>
        <x:v>2642.7805734347571</x:v>
      </x:c>
      <x:c r="S131" s="8">
        <x:f>(1-'Гипотезы'!D12)*(1-'Гипотезы'!E12)</x:f>
        <x:v>0.5625</x:v>
      </x:c>
      <x:c r="T131" s="12">
        <x:f>Q131+R131*S131</x:f>
        <x:v>265764.62141603272</x:v>
      </x:c>
      <x:c r="U131" s="12">
        <x:f>T131-J131</x:f>
        <x:v>1486.5640725570265</x:v>
      </x:c>
      <x:c r="V131" s="12">
        <x:f>J131*'Когорты'!T8</x:f>
        <x:v>264278.0573434757</x:v>
      </x:c>
      <x:c r="W131" s="12">
        <x:f>Q131*'Когорты'!T8*(1+'Воздействие'!H36*N131)</x:f>
        <x:v>264278.0573434757</x:v>
      </x:c>
      <x:c r="X131" s="12">
        <x:f>R131*'Когорты'!T8*(1+'Воздействие'!H36*N131)</x:f>
        <x:v>2642.7805734347571</x:v>
      </x:c>
      <x:c r="Y131" s="12">
        <x:f>W131+X131*S131</x:f>
        <x:v>265764.62141603272</x:v>
      </x:c>
      <x:c r="Z131" s="12">
        <x:f>F131*N131</x:f>
        <x:v>192192.00000000003</x:v>
      </x:c>
      <x:c r="AA131" s="12">
        <x:f>J131*D131</x:f>
        <x:v>264278.0573434757</x:v>
      </x:c>
      <x:c r="AB131" s="12">
        <x:f>Q131*D131</x:f>
        <x:v>264278.0573434757</x:v>
      </x:c>
      <x:c r="AC131" s="12">
        <x:f>R131*D131</x:f>
        <x:v>2642.7805734347571</x:v>
      </x:c>
      <x:c r="AD131" s="12">
        <x:f>J131*E131</x:f>
        <x:v>264278.0573434757</x:v>
      </x:c>
      <x:c r="AE131" s="12">
        <x:f>Q131*E131</x:f>
        <x:v>264278.0573434757</x:v>
      </x:c>
      <x:c r="AF131" s="12">
        <x:f>R131*E131</x:f>
        <x:v>2642.7805734347571</x:v>
      </x:c>
      <x:c r="AG131" s="1">
        <x:f>IF(AND(I131&gt;=0,I131&lt;=1,Q131+R131&lt;=F131+0.00000001,N131&gt;=0,N131&lt;=1),1,0)</x:f>
        <x:v>1</x:v>
      </x:c>
      <x:c r="AH131" s="1"/>
      <x:c r="AI131" s="1"/>
    </x:row>
    <x:row r="132" ht="24" customHeight="1">
      <x:c r="A132" s="1" t="str">
        <x:v>H6.3</x:v>
      </x:c>
      <x:c r="B132" s="1" t="str">
        <x:v>S4</x:v>
      </x:c>
      <x:c r="C132" s="1" t="str">
        <x:v>Ни один</x:v>
      </x:c>
      <x:c r="D132" s="1" t="n">
        <x:v>0</x:v>
      </x:c>
      <x:c r="E132" s="1" t="n">
        <x:v>0</x:v>
      </x:c>
      <x:c r="F132" s="12">
        <x:f>'Когорты'!D8*'Когорты'!N8</x:f>
        <x:v>5987519.9999999991</x:v>
      </x:c>
      <x:c r="G132" s="8">
        <x:f>'Когорты'!F8</x:f>
        <x:v>0.14099999999999999</x:v>
      </x:c>
      <x:c r="H132" s="1">
        <x:f>'Когорты'!R8</x:f>
        <x:v>0.29999999999999999</x:v>
      </x:c>
      <x:c r="I132" s="8">
        <x:f>IF('Когорты'!S8&gt;0,G132*H132/'Когорты'!S8,0)</x:f>
        <x:v>0.041252194265652423</x:v>
      </x:c>
      <x:c r="J132" s="1">
        <x:f>F132*I132</x:f>
        <x:v>246998.33820947915</x:v>
      </x:c>
      <x:c r="K132" s="8">
        <x:f>'Воздействие'!C36*D132</x:f>
        <x:v>0</x:v>
      </x:c>
      <x:c r="L132" s="8">
        <x:f>'Воздействие'!D36*E132</x:f>
        <x:v>0</x:v>
      </x:c>
      <x:c r="M132" s="8">
        <x:f>'Воздействие'!E36*D132*E132</x:f>
        <x:v>0</x:v>
      </x:c>
      <x:c r="N132" s="8">
        <x:f>K132+L132-M132</x:f>
        <x:v>0</x:v>
      </x:c>
      <x:c r="O132" s="1">
        <x:f>J132*'Параметры'!$B$10*N132</x:f>
        <x:v>0</x:v>
      </x:c>
      <x:c r="P132" s="8">
        <x:f>(1-'Воздействие'!F36*D132)*(1-'Воздействие'!G36*E132)</x:f>
        <x:v>1</x:v>
      </x:c>
      <x:c r="Q132" s="1">
        <x:f>J132*P132</x:f>
        <x:v>246998.33820947915</x:v>
      </x:c>
      <x:c r="R132" s="1">
        <x:f>O132*P132</x:f>
        <x:v>0</x:v>
      </x:c>
      <x:c r="S132" s="8">
        <x:f>(1-'Гипотезы'!D12)*(1-'Гипотезы'!E12)</x:f>
        <x:v>0.5625</x:v>
      </x:c>
      <x:c r="T132" s="12">
        <x:f>Q132+R132*S132</x:f>
        <x:v>246998.33820947915</x:v>
      </x:c>
      <x:c r="U132" s="12">
        <x:f>T132-J132</x:f>
        <x:v>0</x:v>
      </x:c>
      <x:c r="V132" s="12">
        <x:f>J132*'Когорты'!T8</x:f>
        <x:v>246998.33820947915</x:v>
      </x:c>
      <x:c r="W132" s="12">
        <x:f>Q132*'Когорты'!T8*(1+'Воздействие'!H36*N132)</x:f>
        <x:v>246998.33820947915</x:v>
      </x:c>
      <x:c r="X132" s="12">
        <x:f>R132*'Когорты'!T8*(1+'Воздействие'!H36*N132)</x:f>
        <x:v>0</x:v>
      </x:c>
      <x:c r="Y132" s="12">
        <x:f>W132+X132*S132</x:f>
        <x:v>246998.33820947915</x:v>
      </x:c>
      <x:c r="Z132" s="12">
        <x:f>F132*N132</x:f>
        <x:v>0</x:v>
      </x:c>
      <x:c r="AA132" s="12">
        <x:f>J132*D132</x:f>
        <x:v>0</x:v>
      </x:c>
      <x:c r="AB132" s="12">
        <x:f>Q132*D132</x:f>
        <x:v>0</x:v>
      </x:c>
      <x:c r="AC132" s="12">
        <x:f>R132*D132</x:f>
        <x:v>0</x:v>
      </x:c>
      <x:c r="AD132" s="12">
        <x:f>J132*E132</x:f>
        <x:v>0</x:v>
      </x:c>
      <x:c r="AE132" s="12">
        <x:f>Q132*E132</x:f>
        <x:v>0</x:v>
      </x:c>
      <x:c r="AF132" s="12">
        <x:f>R132*E132</x:f>
        <x:v>0</x:v>
      </x:c>
      <x:c r="AG132" s="1">
        <x:f>IF(AND(I132&gt;=0,I132&lt;=1,Q132+R132&lt;=F132+0.00000001,N132&gt;=0,N132&lt;=1),1,0)</x:f>
        <x:v>1</x:v>
      </x:c>
      <x:c r="AH132" s="1"/>
      <x:c r="AI132" s="1"/>
    </x:row>
    <x:row r="133" ht="24" customHeight="1">
      <x:c r="A133" s="1"/>
      <x:c r="B133" s="1"/>
      <x:c r="C133" s="1"/>
      <x:c r="D133" s="1"/>
      <x:c r="E133" s="1"/>
      <x:c r="F133" s="1"/>
      <x:c r="G133" s="1"/>
      <x:c r="H133" s="1"/>
      <x:c r="I133" s="1"/>
      <x:c r="J133" s="1"/>
      <x:c r="K133" s="1"/>
      <x:c r="L133" s="1"/>
      <x:c r="M133" s="1"/>
      <x:c r="N133" s="1"/>
      <x:c r="O133" s="1"/>
      <x:c r="P133" s="1"/>
      <x:c r="Q133" s="1"/>
      <x:c r="R133" s="1"/>
      <x:c r="S133" s="1"/>
      <x:c r="T133" s="1"/>
      <x:c r="U133" s="1"/>
      <x:c r="V133" s="1"/>
      <x:c r="W133" s="1"/>
      <x:c r="X133" s="1"/>
      <x:c r="Y133" s="1"/>
      <x:c r="Z133" s="1"/>
      <x:c r="AA133" s="1"/>
      <x:c r="AB133" s="1"/>
      <x:c r="AC133" s="1"/>
      <x:c r="AD133" s="1"/>
      <x:c r="AE133" s="1"/>
      <x:c r="AF133" s="1"/>
      <x:c r="AG133" s="1"/>
      <x:c r="AH133" s="1"/>
      <x:c r="AI133" s="1"/>
    </x:row>
    <x:row r="134" ht="24" customHeight="1">
      <x:c r="A134" s="1"/>
      <x:c r="B134" s="1"/>
      <x:c r="C134" s="1"/>
      <x:c r="D134" s="1"/>
      <x:c r="E134" s="1"/>
      <x:c r="F134" s="1"/>
      <x:c r="G134" s="1"/>
      <x:c r="H134" s="1"/>
      <x:c r="I134" s="1"/>
      <x:c r="J134" s="1"/>
      <x:c r="K134" s="1"/>
      <x:c r="L134" s="1"/>
      <x:c r="M134" s="1"/>
      <x:c r="N134" s="1"/>
      <x:c r="O134" s="1"/>
      <x:c r="P134" s="1"/>
      <x:c r="Q134" s="1"/>
      <x:c r="R134" s="1"/>
      <x:c r="S134" s="1"/>
      <x:c r="T134" s="1"/>
      <x:c r="U134" s="1"/>
      <x:c r="V134" s="1"/>
      <x:c r="W134" s="1"/>
      <x:c r="X134" s="1"/>
      <x:c r="Y134" s="1"/>
      <x:c r="Z134" s="1"/>
      <x:c r="AA134" s="1"/>
      <x:c r="AB134" s="1"/>
      <x:c r="AC134" s="1"/>
      <x:c r="AD134" s="1"/>
      <x:c r="AE134" s="1"/>
      <x:c r="AF134" s="1"/>
      <x:c r="AG134" s="1"/>
      <x:c r="AH134" s="1"/>
      <x:c r="AI134" s="1"/>
    </x:row>
    <x:row r="135" ht="24" customHeight="1">
      <x:c r="A135" s="1"/>
      <x:c r="B135" s="1"/>
      <x:c r="C135" s="1"/>
      <x:c r="D135" s="1"/>
      <x:c r="E135" s="1"/>
      <x:c r="F135" s="1"/>
      <x:c r="G135" s="1"/>
      <x:c r="H135" s="1"/>
      <x:c r="I135" s="1"/>
      <x:c r="J135" s="1"/>
      <x:c r="K135" s="1"/>
      <x:c r="L135" s="1"/>
      <x:c r="M135" s="1"/>
      <x:c r="N135" s="1"/>
      <x:c r="O135" s="1"/>
      <x:c r="P135" s="1"/>
      <x:c r="Q135" s="1"/>
      <x:c r="R135" s="1"/>
      <x:c r="S135" s="1"/>
      <x:c r="T135" s="1"/>
      <x:c r="U135" s="1"/>
      <x:c r="V135" s="1"/>
      <x:c r="W135" s="1"/>
      <x:c r="X135" s="1"/>
      <x:c r="Y135" s="1"/>
      <x:c r="Z135" s="1"/>
      <x:c r="AA135" s="1"/>
      <x:c r="AB135" s="1"/>
      <x:c r="AC135" s="1"/>
      <x:c r="AD135" s="1"/>
      <x:c r="AE135" s="1"/>
      <x:c r="AF135" s="1"/>
      <x:c r="AG135" s="1"/>
      <x:c r="AH135" s="1"/>
      <x:c r="AI135" s="1"/>
    </x:row>
    <x:row r="136" ht="24" customHeight="1">
      <x:c r="A136" s="1"/>
      <x:c r="B136" s="1"/>
      <x:c r="C136" s="1"/>
      <x:c r="D136" s="1"/>
      <x:c r="E136" s="1"/>
      <x:c r="F136" s="1"/>
      <x:c r="G136" s="1"/>
      <x:c r="H136" s="1"/>
      <x:c r="I136" s="1"/>
      <x:c r="J136" s="1"/>
      <x:c r="K136" s="1"/>
      <x:c r="L136" s="1"/>
      <x:c r="M136" s="1"/>
      <x:c r="N136" s="1"/>
      <x:c r="O136" s="1"/>
      <x:c r="P136" s="1"/>
      <x:c r="Q136" s="1"/>
      <x:c r="R136" s="1"/>
      <x:c r="S136" s="1"/>
      <x:c r="T136" s="1"/>
      <x:c r="U136" s="1"/>
      <x:c r="V136" s="1"/>
      <x:c r="W136" s="1"/>
      <x:c r="X136" s="1"/>
      <x:c r="Y136" s="1"/>
      <x:c r="Z136" s="1"/>
      <x:c r="AA136" s="1"/>
      <x:c r="AB136" s="1"/>
      <x:c r="AC136" s="1"/>
      <x:c r="AD136" s="1"/>
      <x:c r="AE136" s="1"/>
      <x:c r="AF136" s="1"/>
      <x:c r="AG136" s="1"/>
      <x:c r="AH136" s="1"/>
      <x:c r="AI136" s="1"/>
    </x:row>
    <x:row r="137" ht="24" customHeight="1">
      <x:c r="A137" s="1"/>
      <x:c r="B137" s="1"/>
      <x:c r="C137" s="1"/>
      <x:c r="D137" s="1"/>
      <x:c r="E137" s="1"/>
      <x:c r="F137" s="1"/>
      <x:c r="G137" s="1"/>
      <x:c r="H137" s="1"/>
      <x:c r="I137" s="1"/>
      <x:c r="J137" s="1"/>
      <x:c r="K137" s="1"/>
      <x:c r="L137" s="1"/>
      <x:c r="M137" s="1"/>
      <x:c r="N137" s="1"/>
      <x:c r="O137" s="1"/>
      <x:c r="P137" s="1"/>
      <x:c r="Q137" s="1"/>
      <x:c r="R137" s="1"/>
      <x:c r="S137" s="1"/>
      <x:c r="T137" s="1"/>
      <x:c r="U137" s="1"/>
      <x:c r="V137" s="1"/>
      <x:c r="W137" s="1"/>
      <x:c r="X137" s="1"/>
      <x:c r="Y137" s="1"/>
      <x:c r="Z137" s="1"/>
      <x:c r="AA137" s="1"/>
      <x:c r="AB137" s="1"/>
      <x:c r="AC137" s="1"/>
      <x:c r="AD137" s="1"/>
      <x:c r="AE137" s="1"/>
      <x:c r="AF137" s="1"/>
      <x:c r="AG137" s="1"/>
      <x:c r="AH137" s="1"/>
      <x:c r="AI137" s="1"/>
    </x:row>
    <x:row r="138" ht="50" customHeight="1">
      <x:c r="A138" s="7" t="str">
        <x:v>H</x:v>
      </x:c>
      <x:c r="B138" s="7" t="str">
        <x:v>Покупатели 0</x:v>
      </x:c>
      <x:c r="C138" s="7" t="str">
        <x:v>Цель, людей</x:v>
      </x:c>
      <x:c r="D138" s="7" t="str">
        <x:v>Грубый прирост</x:v>
      </x:c>
      <x:c r="E138" s="7" t="str">
        <x:v>База после потерь</x:v>
      </x:c>
      <x:c r="F138" s="7" t="str">
        <x:v>Коэф. прироста</x:v>
      </x:c>
      <x:c r="G138" s="7" t="str">
        <x:v>Доход 0</x:v>
      </x:c>
      <x:c r="H138" s="7" t="str">
        <x:v>Доход после потерь</x:v>
      </x:c>
      <x:c r="I138" s="7" t="str">
        <x:v>Коэф. дохода</x:v>
      </x:c>
      <x:c r="J138" s="7" t="str">
        <x:v>Покупатели C0</x:v>
      </x:c>
      <x:c r="K138" s="7" t="str">
        <x:v>C после потерь</x:v>
      </x:c>
      <x:c r="L138" s="7" t="str">
        <x:v>Коэф. C</x:v>
      </x:c>
      <x:c r="M138" s="7" t="str">
        <x:v>Покупатели F0</x:v>
      </x:c>
      <x:c r="N138" s="7" t="str">
        <x:v>F после потерь</x:v>
      </x:c>
      <x:c r="O138" s="7" t="str">
        <x:v>Коэф. F</x:v>
      </x:c>
      <x:c r="P138" s="7" t="str">
        <x:v>Сохр. uplift</x:v>
      </x:c>
      <x:c r="Q138" s="7" t="str">
        <x:v>Покупатели 1</x:v>
      </x:c>
      <x:c r="R138" s="7" t="str">
        <x:v>Доход 1</x:v>
      </x:c>
      <x:c r="S138" s="7" t="str">
        <x:v>Допустимость</x:v>
      </x:c>
      <x:c r="T138" s="7" t="str">
        <x:v>Global CR1</x:v>
      </x:c>
      <x:c r="U138" s="7" t="str">
        <x:v>Δ покупателей</x:v>
      </x:c>
      <x:c r="V138" s="7" t="str">
        <x:v>Δ global CR</x:v>
      </x:c>
      <x:c r="W138" s="7" t="str">
        <x:v>CR C0</x:v>
      </x:c>
      <x:c r="X138" s="7" t="str">
        <x:v>CR C1</x:v>
      </x:c>
      <x:c r="Y138" s="7" t="str">
        <x:v>CR F0</x:v>
      </x:c>
      <x:c r="Z138" s="7" t="str">
        <x:v>CR F1</x:v>
      </x:c>
      <x:c r="AA138" s="7" t="str">
        <x:v>ARPU0</x:v>
      </x:c>
      <x:c r="AB138" s="7" t="str">
        <x:v>ARPU1</x:v>
      </x:c>
      <x:c r="AC138" s="7" t="str">
        <x:v>Guard C</x:v>
      </x:c>
      <x:c r="AD138" s="7" t="str">
        <x:v>Guard F</x:v>
      </x:c>
      <x:c r="AE138" s="7" t="str">
        <x:v>Guard ARPU</x:v>
      </x:c>
      <x:c r="AF138" s="7" t="str">
        <x:v>Δ относит. CR</x:v>
      </x:c>
      <x:c r="AG138" s="7" t="str">
        <x:v>Грубый Δ</x:v>
      </x:c>
      <x:c r="AH138" s="7" t="str">
        <x:v>Чистый uplift, людей</x:v>
      </x:c>
      <x:c r="AI138" s="7" t="str">
        <x:v>Потеря базы, людей</x:v>
      </x:c>
    </x:row>
    <x:row r="139" ht="24" customHeight="1">
      <x:c r="A139" s="1"/>
      <x:c r="B139" s="1"/>
      <x:c r="C139" s="1"/>
      <x:c r="D139" s="1"/>
      <x:c r="E139" s="1"/>
      <x:c r="F139" s="1"/>
      <x:c r="G139" s="1"/>
      <x:c r="H139" s="1"/>
      <x:c r="I139" s="1"/>
      <x:c r="J139" s="1"/>
      <x:c r="K139" s="1"/>
      <x:c r="L139" s="1"/>
      <x:c r="M139" s="1"/>
      <x:c r="N139" s="1"/>
      <x:c r="O139" s="1"/>
      <x:c r="P139" s="1"/>
      <x:c r="Q139" s="1"/>
      <x:c r="R139" s="1"/>
      <x:c r="S139" s="1"/>
      <x:c r="T139" s="1"/>
      <x:c r="U139" s="1"/>
      <x:c r="V139" s="1"/>
      <x:c r="W139" s="1"/>
      <x:c r="X139" s="1"/>
      <x:c r="Y139" s="1"/>
      <x:c r="Z139" s="1"/>
      <x:c r="AA139" s="1"/>
      <x:c r="AB139" s="1"/>
      <x:c r="AC139" s="1"/>
      <x:c r="AD139" s="1"/>
      <x:c r="AE139" s="1"/>
      <x:c r="AF139" s="1"/>
      <x:c r="AG139" s="1"/>
      <x:c r="AH139" s="1"/>
      <x:c r="AI139" s="1"/>
    </x:row>
    <x:row r="140" ht="24" customHeight="1">
      <x:c r="A140" s="1" t="str">
        <x:v>H1</x:v>
      </x:c>
      <x:c r="B140" s="12">
        <x:f>SUM('Расчёт'!J5:J20)</x:f>
        <x:v>6599999.9999999981</x:v>
      </x:c>
      <x:c r="C140" s="12">
        <x:f>SUM('Расчёт'!Z5:Z20)</x:f>
        <x:v>3432000</x:v>
      </x:c>
      <x:c r="D140" s="12">
        <x:f>SUM('Расчёт'!O5:O20)</x:f>
        <x:v>41348.671737858393</x:v>
      </x:c>
      <x:c r="E140" s="12">
        <x:f>SUM('Расчёт'!Q5:Q20)</x:f>
        <x:v>6599999.9999999981</x:v>
      </x:c>
      <x:c r="F140" s="12">
        <x:f>SUM('Расчёт'!R5:R20)</x:f>
        <x:v>41348.671737858393</x:v>
      </x:c>
      <x:c r="G140" s="12">
        <x:f>SUM('Расчёт'!V5:V20)</x:f>
        <x:v>6599999.9999999981</x:v>
      </x:c>
      <x:c r="H140" s="12">
        <x:f>SUM('Расчёт'!W5:W20)</x:f>
        <x:v>6599999.9999999981</x:v>
      </x:c>
      <x:c r="I140" s="12">
        <x:f>SUM('Расчёт'!X5:X20)</x:f>
        <x:v>41348.671737858393</x:v>
      </x:c>
      <x:c r="J140" s="12">
        <x:f>SUM('Расчёт'!AA5:AA20)</x:f>
        <x:v>5940901.1117612626</x:v>
      </x:c>
      <x:c r="K140" s="12">
        <x:f>SUM('Расчёт'!AB5:AB20)</x:f>
        <x:v>5940901.1117612626</x:v>
      </x:c>
      <x:c r="L140" s="12">
        <x:f>SUM('Расчёт'!AC5:AC20)</x:f>
        <x:v>41348.671737858393</x:v>
      </x:c>
      <x:c r="M140" s="12">
        <x:f>SUM('Расчёт'!AD5:AD20)</x:f>
        <x:v>702867.17378583958</x:v>
      </x:c>
      <x:c r="N140" s="12">
        <x:f>SUM('Расчёт'!AE5:AE20)</x:f>
        <x:v>702867.17378583958</x:v>
      </x:c>
      <x:c r="O140" s="12">
        <x:f>SUM('Расчёт'!AF5:AF20)</x:f>
        <x:v>4659.0052662375656</x:v>
      </x:c>
      <x:c r="P140" s="8">
        <x:f>(1-'Гипотезы'!D5)*(1-'Гипотезы'!E5)</x:f>
        <x:v>0.5625</x:v>
      </x:c>
      <x:c r="Q140" s="12">
        <x:f>E140+F140*P140</x:f>
        <x:v>6623258.6278525433</x:v>
      </x:c>
      <x:c r="R140" s="12">
        <x:f>H140+I140*P140</x:f>
        <x:v>6623258.6278525433</x:v>
      </x:c>
      <x:c r="S140" s="23">
        <x:f>IF(AND('Параметры'!B28=1,'Когорты'!X10=1,'Гипотезы'!I5=1,MIN('Воздействие'!K5:K8)=1,MIN(AG5:AG20)=1),1,0)</x:f>
        <x:v>1</x:v>
      </x:c>
      <x:c r="T140" s="8">
        <x:f>Q140/'Параметры'!$B$8</x:f>
        <x:v>0.15052860517846689</x:v>
      </x:c>
      <x:c r="U140" s="12">
        <x:f>Q140-B140</x:f>
        <x:v>23258.62785254512</x:v>
      </x:c>
      <x:c r="V140" s="8">
        <x:f>U140/'Параметры'!$B$8</x:f>
        <x:v>0.00052860517846693451</x:v>
      </x:c>
      <x:c r="W140" s="8">
        <x:f>J140/'Когорты'!$U$10</x:f>
        <x:v>0.20772381509654764</x:v>
      </x:c>
      <x:c r="X140" s="8">
        <x:f>(K140+L140*P140)/'Когорты'!$U$10</x:f>
        <x:v>0.20853705383265062</x:v>
      </x:c>
      <x:c r="Y140" s="8">
        <x:f>M140/'Когорты'!$V$10</x:f>
        <x:v>0.12287887653598593</x:v>
      </x:c>
      <x:c r="Z140" s="8">
        <x:f>(N140+O140*P140)/'Когорты'!$V$10</x:f>
        <x:v>0.12333703920421298</x:v>
      </x:c>
      <x:c r="AA140" s="22">
        <x:f>G140/'Параметры'!$B$8</x:f>
        <x:v>0.14999999999999997</x:v>
      </x:c>
      <x:c r="AB140" s="22">
        <x:f>R140/'Параметры'!$B$8</x:f>
        <x:v>0.15052860517846689</x:v>
      </x:c>
      <x:c r="AC140" s="23">
        <x:f>IF(X140+0.000000000001&gt;=W140,1,0)</x:f>
        <x:v>1</x:v>
      </x:c>
      <x:c r="AD140" s="23">
        <x:f>IF(Z140+0.000000000001&gt;=Y140,1,0)</x:f>
        <x:v>1</x:v>
      </x:c>
      <x:c r="AE140" s="23">
        <x:f>IF(AB140+0.000000001&gt;=AA140,1,0)</x:f>
        <x:v>1</x:v>
      </x:c>
      <x:c r="AF140" s="8">
        <x:f>IF(B140=0,"n.a.",U140/B140)</x:f>
        <x:v>0.0035240345231128977</x:v>
      </x:c>
      <x:c r="AG140" s="12">
        <x:f>D140</x:f>
        <x:v>41348.671737858393</x:v>
      </x:c>
      <x:c r="AH140" s="12">
        <x:f>F140*P140</x:f>
        <x:v>23258.627852545345</x:v>
      </x:c>
      <x:c r="AI140" s="12">
        <x:f>E140-B140</x:f>
        <x:v>0</x:v>
      </x:c>
    </x:row>
    <x:row r="141" ht="24" customHeight="1">
      <x:c r="A141" s="1" t="str">
        <x:v>H2</x:v>
      </x:c>
      <x:c r="B141" s="12">
        <x:f>SUM('Расчёт'!J21:J36)</x:f>
        <x:v>6599999.9999999981</x:v>
      </x:c>
      <x:c r="C141" s="12">
        <x:f>SUM('Расчёт'!Z21:Z36)</x:f>
        <x:v>6692400</x:v>
      </x:c>
      <x:c r="D141" s="12">
        <x:f>SUM('Расчёт'!O21:O36)</x:f>
        <x:v>129695.72849619659</x:v>
      </x:c>
      <x:c r="E141" s="12">
        <x:f>SUM('Расчёт'!Q21:Q36)</x:f>
        <x:v>6599999.9999999981</x:v>
      </x:c>
      <x:c r="F141" s="12">
        <x:f>SUM('Расчёт'!R21:R36)</x:f>
        <x:v>129695.72849619659</x:v>
      </x:c>
      <x:c r="G141" s="12">
        <x:f>SUM('Расчёт'!V21:V36)</x:f>
        <x:v>6599999.9999999981</x:v>
      </x:c>
      <x:c r="H141" s="12">
        <x:f>SUM('Расчёт'!W21:W36)</x:f>
        <x:v>6599999.9999999981</x:v>
      </x:c>
      <x:c r="I141" s="12">
        <x:f>SUM('Расчёт'!X21:X36)</x:f>
        <x:v>129695.72849619659</x:v>
      </x:c>
      <x:c r="J141" s="12">
        <x:f>SUM('Расчёт'!AA21:AA36)</x:f>
        <x:v>5940901.1117612626</x:v>
      </x:c>
      <x:c r="K141" s="12">
        <x:f>SUM('Расчёт'!AB21:AB36)</x:f>
        <x:v>5940901.1117612626</x:v>
      </x:c>
      <x:c r="L141" s="12">
        <x:f>SUM('Расчёт'!AC21:AC36)</x:f>
        <x:v>128858.98186073726</x:v>
      </x:c>
      <x:c r="M141" s="12">
        <x:f>SUM('Расчёт'!AD21:AD36)</x:f>
        <x:v>702867.17378583958</x:v>
      </x:c>
      <x:c r="N141" s="12">
        <x:f>SUM('Расчёт'!AE21:AE36)</x:f>
        <x:v>702867.17378583958</x:v>
      </x:c>
      <x:c r="O141" s="12">
        <x:f>SUM('Расчёт'!AF21:AF36)</x:f>
        <x:v>24265.652428320649</x:v>
      </x:c>
      <x:c r="P141" s="8">
        <x:f>(1-'Гипотезы'!D6)*(1-'Гипотезы'!E6)</x:f>
        <x:v>0.5625</x:v>
      </x:c>
      <x:c r="Q141" s="12">
        <x:f>E141+F141*P141</x:f>
        <x:v>6672953.8472791091</x:v>
      </x:c>
      <x:c r="R141" s="12">
        <x:f>H141+I141*P141</x:f>
        <x:v>6672953.8472791091</x:v>
      </x:c>
      <x:c r="S141" s="23">
        <x:f>IF(AND('Параметры'!B28=1,'Когорты'!X10=1,'Гипотезы'!I6=1,MIN('Воздействие'!K9:K12)=1,MIN(AG21:AG36)=1),1,0)</x:f>
        <x:v>1</x:v>
      </x:c>
      <x:c r="T141" s="8">
        <x:f>Q141/'Параметры'!$B$8</x:f>
        <x:v>0.15165804198361613</x:v>
      </x:c>
      <x:c r="U141" s="12">
        <x:f>Q141-B141</x:f>
        <x:v>72953.847279110923</x:v>
      </x:c>
      <x:c r="V141" s="8">
        <x:f>U141/'Параметры'!$B$8</x:f>
        <x:v>0.0016580419836161573</x:v>
      </x:c>
      <x:c r="W141" s="8">
        <x:f>J141/'Когорты'!$U$10</x:f>
        <x:v>0.20772381509654764</x:v>
      </x:c>
      <x:c r="X141" s="8">
        <x:f>(K141+L141*P141)/'Когорты'!$U$10</x:f>
        <x:v>0.21025819192510234</x:v>
      </x:c>
      <x:c r="Y141" s="8">
        <x:f>M141/'Когорты'!$V$10</x:f>
        <x:v>0.12287887653598593</x:v>
      </x:c>
      <x:c r="Z141" s="8">
        <x:f>(N141+O141*P141)/'Когорты'!$V$10</x:f>
        <x:v>0.12526514043300174</x:v>
      </x:c>
      <x:c r="AA141" s="22">
        <x:f>G141/'Параметры'!$B$8</x:f>
        <x:v>0.14999999999999997</x:v>
      </x:c>
      <x:c r="AB141" s="22">
        <x:f>R141/'Параметры'!$B$8</x:f>
        <x:v>0.15165804198361613</x:v>
      </x:c>
      <x:c r="AC141" s="23">
        <x:f>IF(X141+0.000000000001&gt;=W141,1,0)</x:f>
        <x:v>1</x:v>
      </x:c>
      <x:c r="AD141" s="23">
        <x:f>IF(Z141+0.000000000001&gt;=Y141,1,0)</x:f>
        <x:v>1</x:v>
      </x:c>
      <x:c r="AE141" s="23">
        <x:f>IF(AB141+0.000000001&gt;=AA141,1,0)</x:f>
        <x:v>1</x:v>
      </x:c>
      <x:c r="AF141" s="8">
        <x:f>IF(B141=0,"n.a.",U141/B141)</x:f>
        <x:v>0.011053613224107719</x:v>
      </x:c>
      <x:c r="AG141" s="12">
        <x:f>D141</x:f>
        <x:v>129695.72849619659</x:v>
      </x:c>
      <x:c r="AH141" s="12">
        <x:f>F141*P141</x:f>
        <x:v>72953.847279110589</x:v>
      </x:c>
      <x:c r="AI141" s="12">
        <x:f>E141-B141</x:f>
        <x:v>0</x:v>
      </x:c>
    </x:row>
    <x:row r="142" ht="24" customHeight="1">
      <x:c r="A142" s="1" t="str">
        <x:v>H3</x:v>
      </x:c>
      <x:c r="B142" s="12">
        <x:f>SUM('Расчёт'!J37:J52)</x:f>
        <x:v>6599999.9999999981</x:v>
      </x:c>
      <x:c r="C142" s="12">
        <x:f>SUM('Расчёт'!Z37:Z52)</x:f>
        <x:v>5434000</x:v>
      </x:c>
      <x:c r="D142" s="12">
        <x:f>SUM('Расчёт'!O37:O52)</x:f>
        <x:v>90420.514921006426</x:v>
      </x:c>
      <x:c r="E142" s="12">
        <x:f>SUM('Расчёт'!Q37:Q52)</x:f>
        <x:v>6599999.9999999981</x:v>
      </x:c>
      <x:c r="F142" s="12">
        <x:f>SUM('Расчёт'!R37:R52)</x:f>
        <x:v>90420.514921006426</x:v>
      </x:c>
      <x:c r="G142" s="12">
        <x:f>SUM('Расчёт'!V37:V52)</x:f>
        <x:v>6599999.9999999981</x:v>
      </x:c>
      <x:c r="H142" s="12">
        <x:f>SUM('Расчёт'!W37:W52)</x:f>
        <x:v>6599999.9999999981</x:v>
      </x:c>
      <x:c r="I142" s="12">
        <x:f>SUM('Расчёт'!X37:X52)</x:f>
        <x:v>90420.514921006426</x:v>
      </x:c>
      <x:c r="J142" s="12">
        <x:f>SUM('Расчёт'!AA37:AA52)</x:f>
        <x:v>5940901.1117612626</x:v>
      </x:c>
      <x:c r="K142" s="12">
        <x:f>SUM('Расчёт'!AB37:AB52)</x:f>
        <x:v>5940901.1117612626</x:v>
      </x:c>
      <x:c r="L142" s="12">
        <x:f>SUM('Расчёт'!AC37:AC52)</x:f>
        <x:v>90420.514921006426</x:v>
      </x:c>
      <x:c r="M142" s="12">
        <x:f>SUM('Расчёт'!AD37:AD52)</x:f>
        <x:v>702867.17378583958</x:v>
      </x:c>
      <x:c r="N142" s="12">
        <x:f>SUM('Расчёт'!AE37:AE52)</x:f>
        <x:v>702867.17378583958</x:v>
      </x:c>
      <x:c r="O142" s="12">
        <x:f>SUM('Расчёт'!AF37:AF52)</x:f>
        <x:v>10188.227033352838</x:v>
      </x:c>
      <x:c r="P142" s="8">
        <x:f>(1-'Гипотезы'!D7)*(1-'Гипотезы'!E7)</x:f>
        <x:v>0.5625</x:v>
      </x:c>
      <x:c r="Q142" s="12">
        <x:f>E142+F142*P142</x:f>
        <x:v>6650861.5396430641</x:v>
      </x:c>
      <x:c r="R142" s="12">
        <x:f>H142+I142*P142</x:f>
        <x:v>6650861.5396430641</x:v>
      </x:c>
      <x:c r="S142" s="23">
        <x:f>IF(AND('Параметры'!B28=1,'Когорты'!X10=1,'Гипотезы'!I7=1,MIN('Воздействие'!K13:K16)=1,MIN(AG37:AG52)=1),1,0)</x:f>
        <x:v>1</x:v>
      </x:c>
      <x:c r="T142" s="8">
        <x:f>Q142/'Параметры'!$B$8</x:f>
        <x:v>0.15115594408279692</x:v>
      </x:c>
      <x:c r="U142" s="12">
        <x:f>Q142-B142</x:f>
        <x:v>50861.539643066004</x:v>
      </x:c>
      <x:c r="V142" s="8">
        <x:f>U142/'Параметры'!$B$8</x:f>
        <x:v>0.0011559440827969547</x:v>
      </x:c>
      <x:c r="W142" s="8">
        <x:f>J142/'Когорты'!$U$10</x:f>
        <x:v>0.20772381509654764</x:v>
      </x:c>
      <x:c r="X142" s="8">
        <x:f>(K142+L142*P142)/'Когорты'!$U$10</x:f>
        <x:v>0.20950219060854297</x:v>
      </x:c>
      <x:c r="Y142" s="8">
        <x:f>M142/'Когорты'!$V$10</x:f>
        <x:v>0.12287887653598593</x:v>
      </x:c>
      <x:c r="Z142" s="8">
        <x:f>(N142+O142*P142)/'Когорты'!$V$10</x:f>
        <x:v>0.12388077823288472</x:v>
      </x:c>
      <x:c r="AA142" s="22">
        <x:f>G142/'Параметры'!$B$8</x:f>
        <x:v>0.14999999999999997</x:v>
      </x:c>
      <x:c r="AB142" s="22">
        <x:f>R142/'Параметры'!$B$8</x:f>
        <x:v>0.15115594408279692</x:v>
      </x:c>
      <x:c r="AC142" s="23">
        <x:f>IF(X142+0.000000000001&gt;=W142,1,0)</x:f>
        <x:v>1</x:v>
      </x:c>
      <x:c r="AD142" s="23">
        <x:f>IF(Z142+0.000000000001&gt;=Y142,1,0)</x:f>
        <x:v>1</x:v>
      </x:c>
      <x:c r="AE142" s="23">
        <x:f>IF(AB142+0.000000001&gt;=AA142,1,0)</x:f>
        <x:v>1</x:v>
      </x:c>
      <x:c r="AF142" s="8">
        <x:f>IF(B142=0,"n.a.",U142/B142)</x:f>
        <x:v>0.0077062938853130333</x:v>
      </x:c>
      <x:c r="AG142" s="12">
        <x:f>D142</x:f>
        <x:v>90420.514921006426</x:v>
      </x:c>
      <x:c r="AH142" s="12">
        <x:f>F142*P142</x:f>
        <x:v>50861.539643066113</x:v>
      </x:c>
      <x:c r="AI142" s="12">
        <x:f>E142-B142</x:f>
        <x:v>0</x:v>
      </x:c>
    </x:row>
    <x:row r="143" ht="24" customHeight="1">
      <x:c r="A143" s="1" t="str">
        <x:v>H4</x:v>
      </x:c>
      <x:c r="B143" s="12">
        <x:f>SUM('Расчёт'!J53:J68)</x:f>
        <x:v>6599999.9999999981</x:v>
      </x:c>
      <x:c r="C143" s="12">
        <x:f>SUM('Расчёт'!Z53:Z68)</x:f>
        <x:v>7436000</x:v>
      </x:c>
      <x:c r="D143" s="12">
        <x:f>SUM('Расчёт'!O53:O68)</x:f>
        <x:v>137741.54944411936</x:v>
      </x:c>
      <x:c r="E143" s="12">
        <x:f>SUM('Расчёт'!Q53:Q68)</x:f>
        <x:v>6599999.9999999981</x:v>
      </x:c>
      <x:c r="F143" s="12">
        <x:f>SUM('Расчёт'!R53:R68)</x:f>
        <x:v>137741.54944411936</x:v>
      </x:c>
      <x:c r="G143" s="12">
        <x:f>SUM('Расчёт'!V53:V68)</x:f>
        <x:v>6599999.9999999981</x:v>
      </x:c>
      <x:c r="H143" s="12">
        <x:f>SUM('Расчёт'!W53:W68)</x:f>
        <x:v>6599999.9999999981</x:v>
      </x:c>
      <x:c r="I143" s="12">
        <x:f>SUM('Расчёт'!X53:X68)</x:f>
        <x:v>137741.54944411936</x:v>
      </x:c>
      <x:c r="J143" s="12">
        <x:f>SUM('Расчёт'!AA53:AA68)</x:f>
        <x:v>5940901.1117612626</x:v>
      </x:c>
      <x:c r="K143" s="12">
        <x:f>SUM('Расчёт'!AB53:AB68)</x:f>
        <x:v>5940901.1117612626</x:v>
      </x:c>
      <x:c r="L143" s="12">
        <x:f>SUM('Расчёт'!AC53:AC68)</x:f>
        <x:v>137013.91456992392</x:v>
      </x:c>
      <x:c r="M143" s="12">
        <x:f>SUM('Расчёт'!AD53:AD68)</x:f>
        <x:v>702867.17378583958</x:v>
      </x:c>
      <x:c r="N143" s="12">
        <x:f>SUM('Расчёт'!AE53:AE68)</x:f>
        <x:v>702867.17378583958</x:v>
      </x:c>
      <x:c r="O143" s="12">
        <x:f>SUM('Расчёт'!AF53:AF68)</x:f>
        <x:v>23139.056758338211</x:v>
      </x:c>
      <x:c r="P143" s="8">
        <x:f>(1-'Гипотезы'!D8)*(1-'Гипотезы'!E8)</x:f>
        <x:v>0.5625</x:v>
      </x:c>
      <x:c r="Q143" s="12">
        <x:f>E143+F143*P143</x:f>
        <x:v>6677479.6215623152</x:v>
      </x:c>
      <x:c r="R143" s="12">
        <x:f>H143+I143*P143</x:f>
        <x:v>6677479.6215623152</x:v>
      </x:c>
      <x:c r="S143" s="23">
        <x:f>IF(AND('Параметры'!B28=1,'Когорты'!X10=1,'Гипотезы'!I8=1,MIN('Воздействие'!K17:K20)=1,MIN(AG53:AG68)=1),1,0)</x:f>
        <x:v>1</x:v>
      </x:c>
      <x:c r="T143" s="8">
        <x:f>Q143/'Параметры'!$B$8</x:f>
        <x:v>0.15176090049005261</x:v>
      </x:c>
      <x:c r="U143" s="12">
        <x:f>Q143-B143</x:f>
        <x:v>77479.621562317014</x:v>
      </x:c>
      <x:c r="V143" s="8">
        <x:f>U143/'Параметры'!$B$8</x:f>
        <x:v>0.0017609004900526594</x:v>
      </x:c>
      <x:c r="W143" s="8">
        <x:f>J143/'Когорты'!$U$10</x:f>
        <x:v>0.20772381509654764</x:v>
      </x:c>
      <x:c r="X143" s="8">
        <x:f>(K143+L143*P143)/'Когорты'!$U$10</x:f>
        <x:v>0.2104185817729666</x:v>
      </x:c>
      <x:c r="Y143" s="8">
        <x:f>M143/'Когорты'!$V$10</x:f>
        <x:v>0.12287887653598593</x:v>
      </x:c>
      <x:c r="Z143" s="8">
        <x:f>(N143+O143*P143)/'Когорты'!$V$10</x:f>
        <x:v>0.12515435196021063</x:v>
      </x:c>
      <x:c r="AA143" s="22">
        <x:f>G143/'Параметры'!$B$8</x:f>
        <x:v>0.14999999999999997</x:v>
      </x:c>
      <x:c r="AB143" s="22">
        <x:f>R143/'Параметры'!$B$8</x:f>
        <x:v>0.15176090049005261</x:v>
      </x:c>
      <x:c r="AC143" s="23">
        <x:f>IF(X143+0.000000000001&gt;=W143,1,0)</x:f>
        <x:v>1</x:v>
      </x:c>
      <x:c r="AD143" s="23">
        <x:f>IF(Z143+0.000000000001&gt;=Y143,1,0)</x:f>
        <x:v>1</x:v>
      </x:c>
      <x:c r="AE143" s="23">
        <x:f>IF(AB143+0.000000001&gt;=AA143,1,0)</x:f>
        <x:v>1</x:v>
      </x:c>
      <x:c r="AF143" s="8">
        <x:f>IF(B143=0,"n.a.",U143/B143)</x:f>
        <x:v>0.011739336600351065</x:v>
      </x:c>
      <x:c r="AG143" s="12">
        <x:f>D143</x:f>
        <x:v>137741.54944411936</x:v>
      </x:c>
      <x:c r="AH143" s="12">
        <x:f>F143*P143</x:f>
        <x:v>77479.621562317145</x:v>
      </x:c>
      <x:c r="AI143" s="12">
        <x:f>E143-B143</x:f>
        <x:v>0</x:v>
      </x:c>
    </x:row>
    <x:row r="144" ht="24" customHeight="1">
      <x:c r="A144" s="1" t="str">
        <x:v>H5</x:v>
      </x:c>
      <x:c r="B144" s="12">
        <x:f>SUM('Расчёт'!J69:J84)</x:f>
        <x:v>6599999.9999999981</x:v>
      </x:c>
      <x:c r="C144" s="12">
        <x:f>SUM('Расчёт'!Z69:Z84)</x:f>
        <x:v>1830400</x:v>
      </x:c>
      <x:c r="D144" s="12">
        <x:f>SUM('Расчёт'!O69:O84)</x:f>
        <x:v>25528.135751901693</x:v>
      </x:c>
      <x:c r="E144" s="12">
        <x:f>SUM('Расчёт'!Q69:Q84)</x:f>
        <x:v>6599999.9999999981</x:v>
      </x:c>
      <x:c r="F144" s="12">
        <x:f>SUM('Расчёт'!R69:R84)</x:f>
        <x:v>25528.135751901693</x:v>
      </x:c>
      <x:c r="G144" s="12">
        <x:f>SUM('Расчёт'!V69:V84)</x:f>
        <x:v>6599999.9999999981</x:v>
      </x:c>
      <x:c r="H144" s="12">
        <x:f>SUM('Расчёт'!W69:W84)</x:f>
        <x:v>6599999.9999999981</x:v>
      </x:c>
      <x:c r="I144" s="12">
        <x:f>SUM('Расчёт'!X69:X84)</x:f>
        <x:v>25528.135751901693</x:v>
      </x:c>
      <x:c r="J144" s="12">
        <x:f>SUM('Расчёт'!AA69:AA84)</x:f>
        <x:v>5940901.1117612626</x:v>
      </x:c>
      <x:c r="K144" s="12">
        <x:f>SUM('Расчёт'!AB69:AB84)</x:f>
        <x:v>5940901.1117612626</x:v>
      </x:c>
      <x:c r="L144" s="12">
        <x:f>SUM('Расчёт'!AC69:AC84)</x:f>
        <x:v>24312.510239906376</x:v>
      </x:c>
      <x:c r="M144" s="12">
        <x:f>SUM('Расчёт'!AD69:AD84)</x:f>
        <x:v>702867.17378583958</x:v>
      </x:c>
      <x:c r="N144" s="12">
        <x:f>SUM('Расчёт'!AE69:AE84)</x:f>
        <x:v>702867.17378583958</x:v>
      </x:c>
      <x:c r="O144" s="12">
        <x:f>SUM('Расчёт'!AF69:AF84)</x:f>
        <x:v>25528.135751901693</x:v>
      </x:c>
      <x:c r="P144" s="8">
        <x:f>(1-'Гипотезы'!D9)*(1-'Гипотезы'!E9)</x:f>
        <x:v>0.5625</x:v>
      </x:c>
      <x:c r="Q144" s="12">
        <x:f>E144+F144*P144</x:f>
        <x:v>6614359.5763604427</x:v>
      </x:c>
      <x:c r="R144" s="12">
        <x:f>H144+I144*P144</x:f>
        <x:v>6614359.5763604427</x:v>
      </x:c>
      <x:c r="S144" s="23">
        <x:f>IF(AND('Параметры'!B28=1,'Когорты'!X10=1,'Гипотезы'!I9=1,MIN('Воздействие'!K21:K24)=1,MIN(AG69:AG84)=1),1,0)</x:f>
        <x:v>1</x:v>
      </x:c>
      <x:c r="T144" s="8">
        <x:f>Q144/'Параметры'!$B$8</x:f>
        <x:v>0.15032635400819189</x:v>
      </x:c>
      <x:c r="U144" s="12">
        <x:f>Q144-B144</x:f>
        <x:v>14359.576360444538</x:v>
      </x:c>
      <x:c r="V144" s="8">
        <x:f>U144/'Параметры'!$B$8</x:f>
        <x:v>0.00032635400819192132</x:v>
      </x:c>
      <x:c r="W144" s="8">
        <x:f>J144/'Когорты'!$U$10</x:f>
        <x:v>0.20772381509654764</x:v>
      </x:c>
      <x:c r="X144" s="8">
        <x:f>(K144+L144*P144)/'Когорты'!$U$10</x:f>
        <x:v>0.2082019894675248</x:v>
      </x:c>
      <x:c r="Y144" s="8">
        <x:f>M144/'Когорты'!$V$10</x:f>
        <x:v>0.12287887653598593</x:v>
      </x:c>
      <x:c r="Z144" s="8">
        <x:f>(N144+O144*P144)/'Когорты'!$V$10</x:f>
        <x:v>0.12538929198361612</x:v>
      </x:c>
      <x:c r="AA144" s="22">
        <x:f>G144/'Параметры'!$B$8</x:f>
        <x:v>0.14999999999999997</x:v>
      </x:c>
      <x:c r="AB144" s="22">
        <x:f>R144/'Параметры'!$B$8</x:f>
        <x:v>0.15032635400819189</x:v>
      </x:c>
      <x:c r="AC144" s="23">
        <x:f>IF(X144+0.000000000001&gt;=W144,1,0)</x:f>
        <x:v>1</x:v>
      </x:c>
      <x:c r="AD144" s="23">
        <x:f>IF(Z144+0.000000000001&gt;=Y144,1,0)</x:f>
        <x:v>1</x:v>
      </x:c>
      <x:c r="AE144" s="23">
        <x:f>IF(AB144+0.000000001&gt;=AA144,1,0)</x:f>
        <x:v>1</x:v>
      </x:c>
      <x:c r="AF144" s="8">
        <x:f>IF(B144=0,"n.a.",U144/B144)</x:f>
        <x:v>0.0021756933879461429</x:v>
      </x:c>
      <x:c r="AG144" s="12">
        <x:f>D144</x:f>
        <x:v>25528.135751901693</x:v>
      </x:c>
      <x:c r="AH144" s="12">
        <x:f>F144*P144</x:f>
        <x:v>14359.576360444702</x:v>
      </x:c>
      <x:c r="AI144" s="12">
        <x:f>E144-B144</x:f>
        <x:v>0</x:v>
      </x:c>
    </x:row>
    <x:row r="145" ht="24" customHeight="1">
      <x:c r="A145" s="1" t="str">
        <x:v>H6.1</x:v>
      </x:c>
      <x:c r="B145" s="12">
        <x:f>SUM('Расчёт'!J85:J100)</x:f>
        <x:v>6599999.9999999981</x:v>
      </x:c>
      <x:c r="C145" s="12">
        <x:f>SUM('Расчёт'!Z85:Z100)</x:f>
        <x:v>1029600</x:v>
      </x:c>
      <x:c r="D145" s="12">
        <x:f>SUM('Расчёт'!O85:O100)</x:f>
        <x:v>14675.866588648332</x:v>
      </x:c>
      <x:c r="E145" s="12">
        <x:f>SUM('Расчёт'!Q85:Q100)</x:f>
        <x:v>6599999.9999999981</x:v>
      </x:c>
      <x:c r="F145" s="12">
        <x:f>SUM('Расчёт'!R85:R100)</x:f>
        <x:v>14675.866588648332</x:v>
      </x:c>
      <x:c r="G145" s="12">
        <x:f>SUM('Расчёт'!V85:V100)</x:f>
        <x:v>6599999.9999999981</x:v>
      </x:c>
      <x:c r="H145" s="12">
        <x:f>SUM('Расчёт'!W85:W100)</x:f>
        <x:v>6599999.9999999981</x:v>
      </x:c>
      <x:c r="I145" s="12">
        <x:f>SUM('Расчёт'!X85:X100)</x:f>
        <x:v>14675.866588648332</x:v>
      </x:c>
      <x:c r="J145" s="12">
        <x:f>SUM('Расчёт'!AA85:AA100)</x:f>
        <x:v>5940901.1117612626</x:v>
      </x:c>
      <x:c r="K145" s="12">
        <x:f>SUM('Расчёт'!AB85:AB100)</x:f>
        <x:v>5940901.1117612626</x:v>
      </x:c>
      <x:c r="L145" s="12">
        <x:f>SUM('Расчёт'!AC85:AC100)</x:f>
        <x:v>13977.015798712697</x:v>
      </x:c>
      <x:c r="M145" s="12">
        <x:f>SUM('Расчёт'!AD85:AD100)</x:f>
        <x:v>702867.17378583958</x:v>
      </x:c>
      <x:c r="N145" s="12">
        <x:f>SUM('Расчёт'!AE85:AE100)</x:f>
        <x:v>702867.17378583958</x:v>
      </x:c>
      <x:c r="O145" s="12">
        <x:f>SUM('Расчёт'!AF85:AF100)</x:f>
        <x:v>14675.866588648332</x:v>
      </x:c>
      <x:c r="P145" s="8">
        <x:f>(1-'Гипотезы'!D10)*(1-'Гипотезы'!E10)</x:f>
        <x:v>0.5625</x:v>
      </x:c>
      <x:c r="Q145" s="12">
        <x:f>E145+F145*P145</x:f>
        <x:v>6608255.1749561131</x:v>
      </x:c>
      <x:c r="R145" s="12">
        <x:f>H145+I145*P145</x:f>
        <x:v>6608255.1749561131</x:v>
      </x:c>
      <x:c r="S145" s="23">
        <x:f>IF(AND('Параметры'!B28=1,'Когорты'!X10=1,'Гипотезы'!I10=1,MIN('Воздействие'!K25:K28)=1,MIN(AG85:AG100)=1),1,0)</x:f>
        <x:v>1</x:v>
      </x:c>
      <x:c r="T145" s="8">
        <x:f>Q145/'Параметры'!$B$8</x:f>
        <x:v>0.15018761761263894</x:v>
      </x:c>
      <x:c r="U145" s="12">
        <x:f>Q145-B145</x:f>
        <x:v>8255.1749561149627</x:v>
      </x:c>
      <x:c r="V145" s="8">
        <x:f>U145/'Параметры'!$B$8</x:f>
        <x:v>0.00018761761263897642</x:v>
      </x:c>
      <x:c r="W145" s="8">
        <x:f>J145/'Когорты'!$U$10</x:f>
        <x:v>0.20772381509654764</x:v>
      </x:c>
      <x:c r="X145" s="8">
        <x:f>(K145+L145*P145)/'Когорты'!$U$10</x:f>
        <x:v>0.20799871269748388</x:v>
      </x:c>
      <x:c r="Y145" s="8">
        <x:f>M145/'Когорты'!$V$10</x:f>
        <x:v>0.12287887653598593</x:v>
      </x:c>
      <x:c r="Z145" s="8">
        <x:f>(N145+O145*P145)/'Когорты'!$V$10</x:f>
        <x:v>0.1243220889409011</x:v>
      </x:c>
      <x:c r="AA145" s="22">
        <x:f>G145/'Параметры'!$B$8</x:f>
        <x:v>0.14999999999999997</x:v>
      </x:c>
      <x:c r="AB145" s="22">
        <x:f>R145/'Параметры'!$B$8</x:f>
        <x:v>0.15018761761263894</x:v>
      </x:c>
      <x:c r="AC145" s="23">
        <x:f>IF(X145+0.000000000001&gt;=W145,1,0)</x:f>
        <x:v>1</x:v>
      </x:c>
      <x:c r="AD145" s="23">
        <x:f>IF(Z145+0.000000000001&gt;=Y145,1,0)</x:f>
        <x:v>1</x:v>
      </x:c>
      <x:c r="AE145" s="23">
        <x:f>IF(AB145+0.000000001&gt;=AA145,1,0)</x:f>
        <x:v>1</x:v>
      </x:c>
      <x:c r="AF145" s="8">
        <x:f>IF(B145=0,"n.a.",U145/B145)</x:f>
        <x:v>0.0012507840842598433</x:v>
      </x:c>
      <x:c r="AG145" s="12">
        <x:f>D145</x:f>
        <x:v>14675.866588648332</x:v>
      </x:c>
      <x:c r="AH145" s="12">
        <x:f>F145*P145</x:f>
        <x:v>8255.1749561146862</x:v>
      </x:c>
      <x:c r="AI145" s="12">
        <x:f>E145-B145</x:f>
        <x:v>0</x:v>
      </x:c>
    </x:row>
    <x:row r="146" ht="24" customHeight="1">
      <x:c r="A146" s="1" t="str">
        <x:v>H6.2</x:v>
      </x:c>
      <x:c r="B146" s="12">
        <x:f>SUM('Расчёт'!J101:J116)</x:f>
        <x:v>6599999.9999999981</x:v>
      </x:c>
      <x:c r="C146" s="12">
        <x:f>SUM('Расчёт'!Z101:Z116)</x:f>
        <x:v>1029600</x:v>
      </x:c>
      <x:c r="D146" s="12">
        <x:f>SUM('Расчёт'!O101:O116)</x:f>
        <x:v>14675.866588648332</x:v>
      </x:c>
      <x:c r="E146" s="12">
        <x:f>SUM('Расчёт'!Q101:Q116)</x:f>
        <x:v>6599999.9999999981</x:v>
      </x:c>
      <x:c r="F146" s="12">
        <x:f>SUM('Расчёт'!R101:R116)</x:f>
        <x:v>14675.866588648332</x:v>
      </x:c>
      <x:c r="G146" s="12">
        <x:f>SUM('Расчёт'!V101:V116)</x:f>
        <x:v>6599999.9999999981</x:v>
      </x:c>
      <x:c r="H146" s="12">
        <x:f>SUM('Расчёт'!W101:W116)</x:f>
        <x:v>6599999.9999999981</x:v>
      </x:c>
      <x:c r="I146" s="12">
        <x:f>SUM('Расчёт'!X101:X116)</x:f>
        <x:v>14675.866588648332</x:v>
      </x:c>
      <x:c r="J146" s="12">
        <x:f>SUM('Расчёт'!AA101:AA116)</x:f>
        <x:v>5940901.1117612626</x:v>
      </x:c>
      <x:c r="K146" s="12">
        <x:f>SUM('Расчёт'!AB101:AB116)</x:f>
        <x:v>5940901.1117612626</x:v>
      </x:c>
      <x:c r="L146" s="12">
        <x:f>SUM('Расчёт'!AC101:AC116)</x:f>
        <x:v>13977.015798712697</x:v>
      </x:c>
      <x:c r="M146" s="12">
        <x:f>SUM('Расчёт'!AD101:AD116)</x:f>
        <x:v>702867.17378583958</x:v>
      </x:c>
      <x:c r="N146" s="12">
        <x:f>SUM('Расчёт'!AE101:AE116)</x:f>
        <x:v>702867.17378583958</x:v>
      </x:c>
      <x:c r="O146" s="12">
        <x:f>SUM('Расчёт'!AF101:AF116)</x:f>
        <x:v>14675.866588648332</x:v>
      </x:c>
      <x:c r="P146" s="8">
        <x:f>(1-'Гипотезы'!D11)*(1-'Гипотезы'!E11)</x:f>
        <x:v>0.5625</x:v>
      </x:c>
      <x:c r="Q146" s="12">
        <x:f>E146+F146*P146</x:f>
        <x:v>6608255.1749561131</x:v>
      </x:c>
      <x:c r="R146" s="12">
        <x:f>H146+I146*P146</x:f>
        <x:v>6608255.1749561131</x:v>
      </x:c>
      <x:c r="S146" s="23">
        <x:f>IF(AND('Параметры'!B28=1,'Когорты'!X10=1,'Гипотезы'!I11=1,MIN('Воздействие'!K29:K32)=1,MIN(AG101:AG116)=1),1,0)</x:f>
        <x:v>1</x:v>
      </x:c>
      <x:c r="T146" s="8">
        <x:f>Q146/'Параметры'!$B$8</x:f>
        <x:v>0.15018761761263894</x:v>
      </x:c>
      <x:c r="U146" s="12">
        <x:f>Q146-B146</x:f>
        <x:v>8255.1749561149627</x:v>
      </x:c>
      <x:c r="V146" s="8">
        <x:f>U146/'Параметры'!$B$8</x:f>
        <x:v>0.00018761761263897642</x:v>
      </x:c>
      <x:c r="W146" s="8">
        <x:f>J146/'Когорты'!$U$10</x:f>
        <x:v>0.20772381509654764</x:v>
      </x:c>
      <x:c r="X146" s="8">
        <x:f>(K146+L146*P146)/'Когорты'!$U$10</x:f>
        <x:v>0.20799871269748388</x:v>
      </x:c>
      <x:c r="Y146" s="8">
        <x:f>M146/'Когорты'!$V$10</x:f>
        <x:v>0.12287887653598593</x:v>
      </x:c>
      <x:c r="Z146" s="8">
        <x:f>(N146+O146*P146)/'Когорты'!$V$10</x:f>
        <x:v>0.1243220889409011</x:v>
      </x:c>
      <x:c r="AA146" s="22">
        <x:f>G146/'Параметры'!$B$8</x:f>
        <x:v>0.14999999999999997</x:v>
      </x:c>
      <x:c r="AB146" s="22">
        <x:f>R146/'Параметры'!$B$8</x:f>
        <x:v>0.15018761761263894</x:v>
      </x:c>
      <x:c r="AC146" s="23">
        <x:f>IF(X146+0.000000000001&gt;=W146,1,0)</x:f>
        <x:v>1</x:v>
      </x:c>
      <x:c r="AD146" s="23">
        <x:f>IF(Z146+0.000000000001&gt;=Y146,1,0)</x:f>
        <x:v>1</x:v>
      </x:c>
      <x:c r="AE146" s="23">
        <x:f>IF(AB146+0.000000001&gt;=AA146,1,0)</x:f>
        <x:v>1</x:v>
      </x:c>
      <x:c r="AF146" s="8">
        <x:f>IF(B146=0,"n.a.",U146/B146)</x:f>
        <x:v>0.0012507840842598433</x:v>
      </x:c>
      <x:c r="AG146" s="12">
        <x:f>D146</x:f>
        <x:v>14675.866588648332</x:v>
      </x:c>
      <x:c r="AH146" s="12">
        <x:f>F146*P146</x:f>
        <x:v>8255.1749561146862</x:v>
      </x:c>
      <x:c r="AI146" s="12">
        <x:f>E146-B146</x:f>
        <x:v>0</x:v>
      </x:c>
    </x:row>
    <x:row r="147" ht="24" customHeight="1">
      <x:c r="A147" s="1" t="str">
        <x:v>H6.3</x:v>
      </x:c>
      <x:c r="B147" s="12">
        <x:f>SUM('Расчёт'!J117:J132)</x:f>
        <x:v>6599999.9999999981</x:v>
      </x:c>
      <x:c r="C147" s="12">
        <x:f>SUM('Расчёт'!Z117:Z132)</x:f>
        <x:v>1029600</x:v>
      </x:c>
      <x:c r="D147" s="12">
        <x:f>SUM('Расчёт'!O117:O132)</x:f>
        <x:v>14675.866588648332</x:v>
      </x:c>
      <x:c r="E147" s="12">
        <x:f>SUM('Расчёт'!Q117:Q132)</x:f>
        <x:v>6599999.9999999981</x:v>
      </x:c>
      <x:c r="F147" s="12">
        <x:f>SUM('Расчёт'!R117:R132)</x:f>
        <x:v>14675.866588648332</x:v>
      </x:c>
      <x:c r="G147" s="12">
        <x:f>SUM('Расчёт'!V117:V132)</x:f>
        <x:v>6599999.9999999981</x:v>
      </x:c>
      <x:c r="H147" s="12">
        <x:f>SUM('Расчёт'!W117:W132)</x:f>
        <x:v>6599999.9999999981</x:v>
      </x:c>
      <x:c r="I147" s="12">
        <x:f>SUM('Расчёт'!X117:X132)</x:f>
        <x:v>14675.866588648332</x:v>
      </x:c>
      <x:c r="J147" s="12">
        <x:f>SUM('Расчёт'!AA117:AA132)</x:f>
        <x:v>5940901.1117612626</x:v>
      </x:c>
      <x:c r="K147" s="12">
        <x:f>SUM('Расчёт'!AB117:AB132)</x:f>
        <x:v>5940901.1117612626</x:v>
      </x:c>
      <x:c r="L147" s="12">
        <x:f>SUM('Расчёт'!AC117:AC132)</x:f>
        <x:v>13977.015798712697</x:v>
      </x:c>
      <x:c r="M147" s="12">
        <x:f>SUM('Расчёт'!AD117:AD132)</x:f>
        <x:v>702867.17378583958</x:v>
      </x:c>
      <x:c r="N147" s="12">
        <x:f>SUM('Расчёт'!AE117:AE132)</x:f>
        <x:v>702867.17378583958</x:v>
      </x:c>
      <x:c r="O147" s="12">
        <x:f>SUM('Расчёт'!AF117:AF132)</x:f>
        <x:v>14675.866588648332</x:v>
      </x:c>
      <x:c r="P147" s="8">
        <x:f>(1-'Гипотезы'!D12)*(1-'Гипотезы'!E12)</x:f>
        <x:v>0.5625</x:v>
      </x:c>
      <x:c r="Q147" s="12">
        <x:f>E147+F147*P147</x:f>
        <x:v>6608255.1749561131</x:v>
      </x:c>
      <x:c r="R147" s="12">
        <x:f>H147+I147*P147</x:f>
        <x:v>6608255.1749561131</x:v>
      </x:c>
      <x:c r="S147" s="23">
        <x:f>IF(AND('Параметры'!B28=1,'Когорты'!X10=1,'Гипотезы'!I12=1,MIN('Воздействие'!K33:K36)=1,MIN(AG117:AG132)=1),1,0)</x:f>
        <x:v>1</x:v>
      </x:c>
      <x:c r="T147" s="8">
        <x:f>Q147/'Параметры'!$B$8</x:f>
        <x:v>0.15018761761263894</x:v>
      </x:c>
      <x:c r="U147" s="12">
        <x:f>Q147-B147</x:f>
        <x:v>8255.1749561149627</x:v>
      </x:c>
      <x:c r="V147" s="8">
        <x:f>U147/'Параметры'!$B$8</x:f>
        <x:v>0.00018761761263897642</x:v>
      </x:c>
      <x:c r="W147" s="8">
        <x:f>J147/'Когорты'!$U$10</x:f>
        <x:v>0.20772381509654764</x:v>
      </x:c>
      <x:c r="X147" s="8">
        <x:f>(K147+L147*P147)/'Когорты'!$U$10</x:f>
        <x:v>0.20799871269748388</x:v>
      </x:c>
      <x:c r="Y147" s="8">
        <x:f>M147/'Когорты'!$V$10</x:f>
        <x:v>0.12287887653598593</x:v>
      </x:c>
      <x:c r="Z147" s="8">
        <x:f>(N147+O147*P147)/'Когорты'!$V$10</x:f>
        <x:v>0.1243220889409011</x:v>
      </x:c>
      <x:c r="AA147" s="22">
        <x:f>G147/'Параметры'!$B$8</x:f>
        <x:v>0.14999999999999997</x:v>
      </x:c>
      <x:c r="AB147" s="22">
        <x:f>R147/'Параметры'!$B$8</x:f>
        <x:v>0.15018761761263894</x:v>
      </x:c>
      <x:c r="AC147" s="23">
        <x:f>IF(X147+0.000000000001&gt;=W147,1,0)</x:f>
        <x:v>1</x:v>
      </x:c>
      <x:c r="AD147" s="23">
        <x:f>IF(Z147+0.000000000001&gt;=Y147,1,0)</x:f>
        <x:v>1</x:v>
      </x:c>
      <x:c r="AE147" s="23">
        <x:f>IF(AB147+0.000000001&gt;=AA147,1,0)</x:f>
        <x:v>1</x:v>
      </x:c>
      <x:c r="AF147" s="8">
        <x:f>IF(B147=0,"n.a.",U147/B147)</x:f>
        <x:v>0.0012507840842598433</x:v>
      </x:c>
      <x:c r="AG147" s="12">
        <x:f>D147</x:f>
        <x:v>14675.866588648332</x:v>
      </x:c>
      <x:c r="AH147" s="12">
        <x:f>F147*P147</x:f>
        <x:v>8255.1749561146862</x:v>
      </x:c>
      <x:c r="AI147" s="12">
        <x:f>E147-B147</x:f>
        <x:v>0</x:v>
      </x:c>
    </x:row>
    <x:row r="148" ht="24" customHeight="1">
      <x:c r="A148" s="1"/>
      <x:c r="B148" s="1"/>
      <x:c r="C148" s="1"/>
      <x:c r="D148" s="1"/>
      <x:c r="E148" s="1"/>
      <x:c r="F148" s="1"/>
      <x:c r="G148" s="1"/>
      <x:c r="H148" s="1"/>
      <x:c r="I148" s="1"/>
      <x:c r="J148" s="1"/>
      <x:c r="K148" s="1"/>
      <x:c r="L148" s="1"/>
      <x:c r="M148" s="1"/>
      <x:c r="N148" s="1"/>
      <x:c r="O148" s="1"/>
      <x:c r="P148" s="1"/>
      <x:c r="Q148" s="1"/>
      <x:c r="R148" s="1"/>
      <x:c r="S148" s="1"/>
      <x:c r="T148" s="1"/>
      <x:c r="U148" s="1"/>
      <x:c r="V148" s="1"/>
      <x:c r="W148" s="1"/>
      <x:c r="X148" s="1"/>
      <x:c r="Y148" s="1"/>
      <x:c r="Z148" s="1"/>
      <x:c r="AA148" s="1"/>
      <x:c r="AB148" s="1"/>
      <x:c r="AC148" s="1"/>
      <x:c r="AD148" s="1"/>
      <x:c r="AE148" s="1"/>
      <x:c r="AF148" s="1"/>
      <x:c r="AG148" s="1"/>
      <x:c r="AH148" s="1"/>
      <x:c r="AI148" s="1"/>
    </x:row>
    <x:row r="149" ht="24" customHeight="1">
      <x:c r="A149" s="1"/>
      <x:c r="B149" s="1"/>
      <x:c r="C149" s="1"/>
      <x:c r="D149" s="1"/>
      <x:c r="E149" s="1"/>
      <x:c r="F149" s="1"/>
      <x:c r="G149" s="1"/>
      <x:c r="H149" s="1"/>
      <x:c r="I149" s="1"/>
      <x:c r="J149" s="1"/>
      <x:c r="K149" s="1"/>
      <x:c r="L149" s="1"/>
      <x:c r="M149" s="1"/>
      <x:c r="N149" s="1"/>
      <x:c r="O149" s="1"/>
      <x:c r="P149" s="1"/>
      <x:c r="Q149" s="1"/>
      <x:c r="R149" s="1"/>
      <x:c r="S149" s="1"/>
      <x:c r="T149" s="1"/>
      <x:c r="U149" s="1"/>
      <x:c r="V149" s="1"/>
      <x:c r="W149" s="1"/>
      <x:c r="X149" s="1"/>
      <x:c r="Y149" s="1"/>
      <x:c r="Z149" s="1"/>
      <x:c r="AA149" s="1"/>
      <x:c r="AB149" s="1"/>
      <x:c r="AC149" s="1"/>
      <x:c r="AD149" s="1"/>
      <x:c r="AE149" s="1"/>
      <x:c r="AF149" s="1"/>
      <x:c r="AG149" s="1"/>
      <x:c r="AH149" s="1"/>
      <x:c r="AI149" s="1"/>
    </x:row>
  </x:sheetData>
  <x:conditionalFormatting sqref="AG5:AG132">
    <x:cfRule type="cellIs" dxfId="4" priority="1" operator="equal">
      <x:formula>0</x:formula>
    </x:cfRule>
  </x:conditionalFormatting>
  <x:pageMargins left="0.7" right="0.7" top="0.75" bottom="0.75" header="0.3" footer="0.3"/>
</x:worksheet>
</file>

<file path=xl/worksheets/sheet8.xml><?xml version="1.0" encoding="utf-8"?>
<x:worksheet xmlns:x="http://schemas.openxmlformats.org/spreadsheetml/2006/main">
  <x:sheetPr>
    <x:tabColor rgb="FF3A5A8D"/>
  </x:sheetPr>
  <x:sheetViews>
    <x:sheetView showGridLines="0" workbookViewId="0">
      <x:pane xSplit="2" ySplit="4" topLeftCell="C5" activePane="bottomRight" state="frozen"/>
    </x:sheetView>
  </x:sheetViews>
  <x:sheetFormatPr defaultRowHeight="15"/>
  <x:cols>
    <x:col min="1" max="1" width="47" hidden="0" customWidth="1"/>
    <x:col min="2" max="2" width="52" hidden="0" customWidth="1"/>
    <x:col min="3" max="3" width="18" hidden="0" customWidth="1"/>
    <x:col min="4" max="4" width="18" hidden="0" customWidth="1"/>
    <x:col min="5" max="5" width="29" hidden="0" customWidth="1"/>
    <x:col min="6" max="6" width="18" hidden="0" customWidth="1"/>
    <x:col min="7" max="7" width="54" hidden="0" customWidth="1"/>
  </x:cols>
  <x:sheetData>
    <x:row r="1" ht="24" customHeight="1">
      <x:c r="A1" s="1"/>
      <x:c r="B1" s="1"/>
      <x:c r="C1" s="1"/>
      <x:c r="D1" s="1"/>
      <x:c r="E1" s="1"/>
      <x:c r="F1" s="1"/>
      <x:c r="G1" s="1"/>
    </x:row>
    <x:row r="2" ht="32" customHeight="1">
      <x:c r="A2" s="2" t="str">
        <x:v>Исходные</x:v>
      </x:c>
      <x:c r="B2" s="1"/>
      <x:c r="C2" s="1"/>
      <x:c r="D2" s="1"/>
      <x:c r="E2" s="1"/>
      <x:c r="F2" s="1"/>
      <x:c r="G2" s="1"/>
    </x:row>
    <x:row r="3" ht="24" customHeight="1">
      <x:c r="A3" s="1"/>
      <x:c r="B3" s="1"/>
      <x:c r="C3" s="1"/>
      <x:c r="D3" s="1"/>
      <x:c r="E3" s="1"/>
      <x:c r="F3" s="1"/>
      <x:c r="G3" s="1"/>
    </x:row>
    <x:row r="4" ht="50" customHeight="1">
      <x:c r="A4" s="7" t="str">
        <x:v>Показатель</x:v>
      </x:c>
      <x:c r="B4" s="7" t="str">
        <x:v>Значение</x:v>
      </x:c>
      <x:c r="C4" s="7" t="str">
        <x:v>Единица</x:v>
      </x:c>
      <x:c r="D4" s="7" t="str">
        <x:v>Тип</x:v>
      </x:c>
      <x:c r="E4" s="7" t="str">
        <x:v>Источник</x:v>
      </x:c>
      <x:c r="F4" s="7" t="str">
        <x:v>Страница / раздел</x:v>
      </x:c>
      <x:c r="G4" s="7" t="str">
        <x:v>Ограничение</x:v>
      </x:c>
    </x:row>
    <x:row r="5" ht="24" customHeight="1">
      <x:c r="A5" s="1" t="str">
        <x:v>DAU Корзины / DAU Ozon</x:v>
      </x:c>
      <x:c r="B5" s="8">
        <x:v>0.65000000000000002</x:v>
      </x:c>
      <x:c r="C5" s="1" t="str">
        <x:v>доля</x:v>
      </x:c>
      <x:c r="D5" s="1" t="str">
        <x:v>Факт</x:v>
      </x:c>
      <x:c r="E5" s="1" t="str">
        <x:v>Учебный PDF</x:v>
      </x:c>
      <x:c r="F5" s="1" t="n">
        <x:v>8</x:v>
      </x:c>
      <x:c r="G5" s="1" t="str">
        <x:v>Синтетические данные</x:v>
      </x:c>
    </x:row>
    <x:row r="6" ht="24" customHeight="1">
      <x:c r="A6" s="1" t="str">
        <x:v>DAU Избранного / DAU Ozon</x:v>
      </x:c>
      <x:c r="B6" s="8">
        <x:v>0.13</x:v>
      </x:c>
      <x:c r="C6" s="1" t="str">
        <x:v>доля</x:v>
      </x:c>
      <x:c r="D6" s="1" t="str">
        <x:v>Факт</x:v>
      </x:c>
      <x:c r="E6" s="1" t="str">
        <x:v>Учебный PDF</x:v>
      </x:c>
      <x:c r="F6" s="1" t="n">
        <x:v>8</x:v>
      </x:c>
      <x:c r="G6" s="1" t="str">
        <x:v>Не все готовы покупать</x:v>
      </x:c>
    </x:row>
    <x:row r="7" ht="24" customHeight="1">
      <x:c r="A7" s="1" t="str">
        <x:v>MAU Корзины / MAU Ozon</x:v>
      </x:c>
      <x:c r="B7" s="8">
        <x:v>0.91000000000000003</x:v>
      </x:c>
      <x:c r="C7" s="1" t="str">
        <x:v>доля</x:v>
      </x:c>
      <x:c r="D7" s="1" t="str">
        <x:v>Факт</x:v>
      </x:c>
      <x:c r="E7" s="1" t="str">
        <x:v>Учебный PDF</x:v>
      </x:c>
      <x:c r="F7" s="1" t="n">
        <x:v>8</x:v>
      </x:c>
      <x:c r="G7" s="1" t="str">
        <x:v>Другой знаменатель, чем DAU</x:v>
      </x:c>
    </x:row>
    <x:row r="8" ht="24" customHeight="1">
      <x:c r="A8" s="1" t="str">
        <x:v>MAU Избранного / MAU Ozon</x:v>
      </x:c>
      <x:c r="B8" s="8">
        <x:v>0.20000000000000001</x:v>
      </x:c>
      <x:c r="C8" s="1" t="str">
        <x:v>доля</x:v>
      </x:c>
      <x:c r="D8" s="1" t="str">
        <x:v>Факт</x:v>
      </x:c>
      <x:c r="E8" s="1" t="str">
        <x:v>Учебный PDF</x:v>
      </x:c>
      <x:c r="F8" s="1" t="n">
        <x:v>8</x:v>
      </x:c>
      <x:c r="G8" s="1" t="str">
        <x:v>Только месячный охват</x:v>
      </x:c>
    </x:row>
    <x:row r="9" ht="24" customHeight="1">
      <x:c r="A9" s="1" t="str">
        <x:v>Владельцы F среди посетителей C: мин.</x:v>
      </x:c>
      <x:c r="B9" s="8" t="n">
        <x:v>0.6</x:v>
      </x:c>
      <x:c r="C9" s="1" t="str">
        <x:v>доля</x:v>
      </x:c>
      <x:c r="D9" s="1" t="str">
        <x:v>Факт</x:v>
      </x:c>
      <x:c r="E9" s="1" t="str">
        <x:v>Учебный PDF</x:v>
      </x:c>
      <x:c r="F9" s="1" t="n">
        <x:v>8</x:v>
      </x:c>
      <x:c r="G9" s="1" t="str">
        <x:v>Не пересечение дневных визитов</x:v>
      </x:c>
    </x:row>
    <x:row r="10" ht="24" customHeight="1">
      <x:c r="A10" s="1" t="str">
        <x:v>Владельцы F среди посетителей C: макс.</x:v>
      </x:c>
      <x:c r="B10" s="8" t="n">
        <x:v>0.8</x:v>
      </x:c>
      <x:c r="C10" s="1" t="str">
        <x:v>доля</x:v>
      </x:c>
      <x:c r="D10" s="1" t="str">
        <x:v>Факт</x:v>
      </x:c>
      <x:c r="E10" s="1" t="str">
        <x:v>Учебный PDF</x:v>
      </x:c>
      <x:c r="F10" s="1" t="n">
        <x:v>8</x:v>
      </x:c>
      <x:c r="G10" s="1" t="str">
        <x:v>Диапазон по платформам</x:v>
      </x:c>
    </x:row>
    <x:row r="11" ht="24" customHeight="1">
      <x:c r="A11" s="1" t="str">
        <x:v>Среднее SKU в Корзине</x:v>
      </x:c>
      <x:c r="B11" s="1" t="n">
        <x:v>60</x:v>
      </x:c>
      <x:c r="C11" s="1" t="str">
        <x:v>SKU</x:v>
      </x:c>
      <x:c r="D11" s="1" t="str">
        <x:v>Факт</x:v>
      </x:c>
      <x:c r="E11" s="1" t="str">
        <x:v>Учебный PDF</x:v>
      </x:c>
      <x:c r="F11" s="1" t="n">
        <x:v>9</x:v>
      </x:c>
      <x:c r="G11" s="1" t="str">
        <x:v>Не даёт долю 40+</x:v>
      </x:c>
    </x:row>
    <x:row r="12" ht="24" customHeight="1">
      <x:c r="A12" s="1" t="str">
        <x:v>Медиана SKU в Корзине</x:v>
      </x:c>
      <x:c r="B12" s="1" t="n">
        <x:v>24</x:v>
      </x:c>
      <x:c r="C12" s="1" t="str">
        <x:v>SKU</x:v>
      </x:c>
      <x:c r="D12" s="1" t="str">
        <x:v>Факт</x:v>
      </x:c>
      <x:c r="E12" s="1" t="str">
        <x:v>Учебный PDF</x:v>
      </x:c>
      <x:c r="F12" s="1" t="n">
        <x:v>9</x:v>
      </x:c>
      <x:c r="G12" s="1" t="str">
        <x:v>Не задаёт пороги когорт</x:v>
      </x:c>
    </x:row>
    <x:row r="13" ht="24" customHeight="1">
      <x:c r="A13" s="1" t="str">
        <x:v>Максимум SKU в Корзине</x:v>
      </x:c>
      <x:c r="B13" s="1" t="n">
        <x:v>300</x:v>
      </x:c>
      <x:c r="C13" s="1" t="str">
        <x:v>SKU</x:v>
      </x:c>
      <x:c r="D13" s="1" t="str">
        <x:v>Факт</x:v>
      </x:c>
      <x:c r="E13" s="1" t="str">
        <x:v>Учебный PDF</x:v>
      </x:c>
      <x:c r="F13" s="1" t="n">
        <x:v>9</x:v>
      </x:c>
      <x:c r="G13" s="1" t="str">
        <x:v>Лимит</x:v>
      </x:c>
    </x:row>
    <x:row r="14" ht="24" customHeight="1">
      <x:c r="A14" s="1" t="str">
        <x:v>Среднее SKU в Избранном</x:v>
      </x:c>
      <x:c r="B14" s="1" t="n">
        <x:v>420</x:v>
      </x:c>
      <x:c r="C14" s="1" t="str">
        <x:v>SKU</x:v>
      </x:c>
      <x:c r="D14" s="1" t="str">
        <x:v>Факт</x:v>
      </x:c>
      <x:c r="E14" s="1" t="str">
        <x:v>Учебный PDF</x:v>
      </x:c>
      <x:c r="F14" s="1" t="n">
        <x:v>9</x:v>
      </x:c>
      <x:c r="G14" s="1" t="str">
        <x:v>Не размер аудитории H6</x:v>
      </x:c>
    </x:row>
    <x:row r="15" ht="24" customHeight="1">
      <x:c r="A15" s="1" t="str">
        <x:v>Медиана SKU в Избранном</x:v>
      </x:c>
      <x:c r="B15" s="1" t="n">
        <x:v>32</x:v>
      </x:c>
      <x:c r="C15" s="1" t="str">
        <x:v>SKU</x:v>
      </x:c>
      <x:c r="D15" s="1" t="str">
        <x:v>Факт</x:v>
      </x:c>
      <x:c r="E15" s="1" t="str">
        <x:v>Учебный PDF</x:v>
      </x:c>
      <x:c r="F15" s="1" t="n">
        <x:v>9</x:v>
      </x:c>
      <x:c r="G15" s="1" t="str">
        <x:v>Распределение неизвестно</x:v>
      </x:c>
    </x:row>
    <x:row r="16" ht="24" customHeight="1">
      <x:c r="A16" s="1" t="str">
        <x:v>Порог аудитории H1</x:v>
      </x:c>
      <x:c r="B16" s="1" t="n">
        <x:v>40</x:v>
      </x:c>
      <x:c r="C16" s="1" t="str">
        <x:v>SKU, 40+</x:v>
      </x:c>
      <x:c r="D16" s="1" t="str">
        <x:v>Факт</x:v>
      </x:c>
      <x:c r="E16" s="1" t="str">
        <x:v>Артефакты Кейсов.docx</x:v>
      </x:c>
      <x:c r="F16" s="1" t="str">
        <x:v>Этап 4, H1</x:v>
      </x:c>
      <x:c r="G16" s="1" t="str">
        <x:v>Не порог «большой» корзины</x:v>
      </x:c>
    </x:row>
    <x:row r="17" ht="24" customHeight="1">
      <x:c r="A17" s="1" t="str">
        <x:v>Разрыв CR БК/БИ от китов</x:v>
      </x:c>
      <x:c r="B17" s="1">
        <x:v>-9</x:v>
      </x:c>
      <x:c r="C17" s="1" t="str">
        <x:v>п.п.</x:v>
      </x:c>
      <x:c r="D17" s="1" t="str">
        <x:v>Факт</x:v>
      </x:c>
      <x:c r="E17" s="1" t="str">
        <x:v>Учебный PDF</x:v>
      </x:c>
      <x:c r="F17" s="1" t="n">
        <x:v>10</x:v>
      </x:c>
      <x:c r="G17" s="1" t="str">
        <x:v>Не относительные −9%</x:v>
      </x:c>
    </x:row>
    <x:row r="18" ht="24" customHeight="1">
      <x:c r="A18" s="1" t="str">
        <x:v>Разрыв CR БК/МИ от китов</x:v>
      </x:c>
      <x:c r="B18" s="1">
        <x:v>-18</x:v>
      </x:c>
      <x:c r="C18" s="1" t="str">
        <x:v>п.п.</x:v>
      </x:c>
      <x:c r="D18" s="1" t="str">
        <x:v>Факт</x:v>
      </x:c>
      <x:c r="E18" s="1" t="str">
        <x:v>Учебный PDF</x:v>
      </x:c>
      <x:c r="F18" s="1" t="n">
        <x:v>10</x:v>
      </x:c>
      <x:c r="G18" s="1" t="str">
        <x:v>Не доступный причинный uplift</x:v>
      </x:c>
    </x:row>
    <x:row r="19" ht="24" customHeight="1">
      <x:c r="A19" s="1" t="str">
        <x:v>Разрыв CR МК/МИ от китов</x:v>
      </x:c>
      <x:c r="B19" s="1">
        <x:v>-9</x:v>
      </x:c>
      <x:c r="C19" s="1" t="str">
        <x:v>п.п.</x:v>
      </x:c>
      <x:c r="D19" s="1" t="str">
        <x:v>Факт</x:v>
      </x:c>
      <x:c r="E19" s="1" t="str">
        <x:v>Учебный PDF</x:v>
      </x:c>
      <x:c r="F19" s="1" t="n">
        <x:v>10</x:v>
      </x:c>
      <x:c r="G19" s="1" t="str">
        <x:v>Абсолютная CR неизвестна</x:v>
      </x:c>
    </x:row>
    <x:row r="20" ht="24" customHeight="1">
      <x:c r="A20" s="1" t="str">
        <x:v>Срок почти нулевого выкупа товара</x:v>
      </x:c>
      <x:c r="B20" s="1" t="n">
        <x:v>6</x:v>
      </x:c>
      <x:c r="C20" s="1" t="str">
        <x:v>дней</x:v>
      </x:c>
      <x:c r="D20" s="1" t="str">
        <x:v>Факт</x:v>
      </x:c>
      <x:c r="E20" s="1" t="str">
        <x:v>Учебный PDF</x:v>
      </x:c>
      <x:c r="F20" s="1" t="n">
        <x:v>11</x:v>
      </x:c>
      <x:c r="G20" s="1" t="str">
        <x:v>Это товар, не вероятность заказа пользователя</x:v>
      </x:c>
    </x:row>
    <x:row r="21" ht="24" customHeight="1">
      <x:c r="A21" s="1" t="str">
        <x:v>Возраст скрываемых товаров в прошлом тесте</x:v>
      </x:c>
      <x:c r="B21" s="1" t="n">
        <x:v>30</x:v>
      </x:c>
      <x:c r="C21" s="1" t="str">
        <x:v>дней</x:v>
      </x:c>
      <x:c r="D21" s="1" t="str">
        <x:v>Факт</x:v>
      </x:c>
      <x:c r="E21" s="1" t="str">
        <x:v>Учебный PDF</x:v>
      </x:c>
      <x:c r="F21" s="1" t="n">
        <x:v>12</x:v>
      </x:c>
      <x:c r="G21" s="1" t="str">
        <x:v>CR Корзины не изменилась</x:v>
      </x:c>
    </x:row>
    <x:row r="22" ht="24" customHeight="1">
      <x:c r="A22" s="1" t="str">
        <x:v>Допустимое падение CR C</x:v>
      </x:c>
      <x:c r="B22" s="1" t="n">
        <x:v>0</x:v>
      </x:c>
      <x:c r="C22" s="1" t="str">
        <x:v>относительная доля</x:v>
      </x:c>
      <x:c r="D22" s="1" t="str">
        <x:v>Факт</x:v>
      </x:c>
      <x:c r="E22" s="1" t="str">
        <x:v>Учебный PDF</x:v>
      </x:c>
      <x:c r="F22" s="1" t="n">
        <x:v>4</x:v>
      </x:c>
      <x:c r="G22" s="1" t="str">
        <x:v>Не должна падать</x:v>
      </x:c>
    </x:row>
    <x:row r="23" ht="24" customHeight="1">
      <x:c r="A23" s="1" t="str">
        <x:v>Допустимое падение CR F</x:v>
      </x:c>
      <x:c r="B23" s="1" t="n">
        <x:v>0</x:v>
      </x:c>
      <x:c r="C23" s="1" t="str">
        <x:v>относительная доля</x:v>
      </x:c>
      <x:c r="D23" s="1" t="str">
        <x:v>Факт</x:v>
      </x:c>
      <x:c r="E23" s="1" t="str">
        <x:v>Учебный PDF</x:v>
      </x:c>
      <x:c r="F23" s="1" t="n">
        <x:v>4</x:v>
      </x:c>
      <x:c r="G23" s="1" t="str">
        <x:v>Не должна падать</x:v>
      </x:c>
    </x:row>
    <x:row r="24" ht="24" customHeight="1">
      <x:c r="A24" s="1" t="str">
        <x:v>Допустимое падение ARPU</x:v>
      </x:c>
      <x:c r="B24" s="1" t="n">
        <x:v>0</x:v>
      </x:c>
      <x:c r="C24" s="1" t="str">
        <x:v>относительная доля</x:v>
      </x:c>
      <x:c r="D24" s="1" t="str">
        <x:v>Факт</x:v>
      </x:c>
      <x:c r="E24" s="1" t="str">
        <x:v>Учебный PDF</x:v>
      </x:c>
      <x:c r="F24" s="1" t="n">
        <x:v>4</x:v>
      </x:c>
      <x:c r="G24" s="1" t="str">
        <x:v>Не должна падать</x:v>
      </x:c>
    </x:row>
    <x:row r="25" ht="24" customHeight="1">
      <x:c r="A25" s="1"/>
      <x:c r="B25" s="1"/>
      <x:c r="C25" s="1"/>
      <x:c r="D25" s="1"/>
      <x:c r="E25" s="1"/>
      <x:c r="F25" s="1"/>
      <x:c r="G25" s="1"/>
    </x:row>
    <x:row r="26" ht="24" customHeight="1">
      <x:c r="A26" s="1"/>
      <x:c r="B26" s="1"/>
      <x:c r="C26" s="1"/>
      <x:c r="D26" s="1"/>
      <x:c r="E26" s="1"/>
      <x:c r="F26" s="1"/>
      <x:c r="G26" s="1"/>
    </x:row>
    <x:row r="27" ht="50" customHeight="1">
      <x:c r="A27" s="7" t="str">
        <x:v>Наблюдение</x:v>
      </x:c>
      <x:c r="B27" s="7" t="str">
        <x:v>Результат</x:v>
      </x:c>
      <x:c r="C27" s="7" t="str">
        <x:v>Тип</x:v>
      </x:c>
      <x:c r="D27" s="7" t="str">
        <x:v>Источник</x:v>
      </x:c>
      <x:c r="E27" s="7" t="str">
        <x:v>Раздел</x:v>
      </x:c>
      <x:c r="F27" s="7" t="str">
        <x:v>Использование</x:v>
      </x:c>
      <x:c r="G27" s="7" t="str">
        <x:v>Статус величины</x:v>
      </x:c>
    </x:row>
    <x:row r="28" ht="24" customHeight="1">
      <x:c r="A28" s="1" t="str">
        <x:v>Скрытие лонгтейла</x:v>
      </x:c>
      <x:c r="B28" s="1" t="str">
        <x:v>CR C без изменений</x:v>
      </x:c>
      <x:c r="C28" s="1" t="str">
        <x:v>Факт</x:v>
      </x:c>
      <x:c r="D28" s="1" t="str">
        <x:v>Учебный PDF</x:v>
      </x:c>
      <x:c r="E28" s="1" t="n">
        <x:v>12</x:v>
      </x:c>
      <x:c r="F28" s="1" t="str">
        <x:v>Риск H3</x:v>
      </x:c>
      <x:c r="G28" s="1" t="str">
        <x:v>Нет численного эффекта</x:v>
      </x:c>
    </x:row>
    <x:row r="29" ht="24" customHeight="1">
      <x:c r="A29" s="1" t="str">
        <x:v>Скрытие лонгтейла</x:v>
      </x:c>
      <x:c r="B29" s="1" t="str">
        <x:v>SKU в заказе выросли, отмены снизились</x:v>
      </x:c>
      <x:c r="C29" s="1" t="str">
        <x:v>Факт</x:v>
      </x:c>
      <x:c r="D29" s="1" t="str">
        <x:v>Учебный PDF</x:v>
      </x:c>
      <x:c r="E29" s="1" t="n">
        <x:v>12</x:v>
      </x:c>
      <x:c r="F29" s="1" t="str">
        <x:v>Не равно росту уникальных покупателей</x:v>
      </x:c>
      <x:c r="G29" s="1" t="str">
        <x:v>Величины неизвестны</x:v>
      </x:c>
    </x:row>
    <x:row r="30" ht="24" customHeight="1">
      <x:c r="A30" s="1" t="str">
        <x:v>Cart &amp; Fav</x:v>
      </x:c>
      <x:c r="B30" s="1" t="str">
        <x:v>Оформление из C и доля F в заказах выросли</x:v>
      </x:c>
      <x:c r="C30" s="1" t="str">
        <x:v>Факт</x:v>
      </x:c>
      <x:c r="D30" s="1" t="str">
        <x:v>Учебный PDF</x:v>
      </x:c>
      <x:c r="E30" s="1" t="n">
        <x:v>12</x:v>
      </x:c>
      <x:c r="F30" s="1" t="str">
        <x:v>Риски H2/H4/H5</x:v>
      </x:c>
      <x:c r="G30" s="1" t="str">
        <x:v>Не равно росту глобальной CR</x:v>
      </x:c>
    </x:row>
    <x:row r="31" ht="24" customHeight="1">
      <x:c r="A31" s="1" t="str">
        <x:v>Cart &amp; Fav</x:v>
      </x:c>
      <x:c r="B31" s="1" t="str">
        <x:v>CR F, конверсия в клик и глубина снизились</x:v>
      </x:c>
      <x:c r="C31" s="1" t="str">
        <x:v>Факт</x:v>
      </x:c>
      <x:c r="D31" s="1" t="str">
        <x:v>Учебный PDF</x:v>
      </x:c>
      <x:c r="E31" s="1" t="n">
        <x:v>12</x:v>
      </x:c>
      <x:c r="F31" s="1" t="str">
        <x:v>Отдельные guardrails</x:v>
      </x:c>
      <x:c r="G31" s="1" t="str">
        <x:v>Величины неизвестны</x:v>
      </x:c>
    </x:row>
    <x:row r="32" ht="24" customHeight="1">
      <x:c r="A32" s="1" t="str">
        <x:v>Избранное</x:v>
      </x:c>
      <x:c r="B32" s="1" t="str">
        <x:v>Есть поиск, фильтры и подборки</x:v>
      </x:c>
      <x:c r="C32" s="1" t="str">
        <x:v>Факт</x:v>
      </x:c>
      <x:c r="D32" s="1" t="str">
        <x:v>Учебный PDF</x:v>
      </x:c>
      <x:c r="E32" s="1" t="n">
        <x:v>14</x:v>
      </x:c>
      <x:c r="F32" s="1" t="str">
        <x:v>H6.2 не должна дублировать их</x:v>
      </x:c>
      <x:c r="G32" s="1" t="str">
        <x:v>Качественное</x:v>
      </x:c>
    </x:row>
    <x:row r="33" ht="24" customHeight="1">
      <x:c r="A33" s="1" t="str">
        <x:v>Избранное</x:v>
      </x:c>
      <x:c r="B33" s="1" t="str">
        <x:v>Сохраняется модель, не выбранный SKU</x:v>
      </x:c>
      <x:c r="C33" s="1" t="str">
        <x:v>Факт</x:v>
      </x:c>
      <x:c r="D33" s="1" t="str">
        <x:v>Учебный PDF</x:v>
      </x:c>
      <x:c r="E33" s="1" t="n">
        <x:v>14</x:v>
      </x:c>
      <x:c r="F33" s="1" t="str">
        <x:v>Основание H2</x:v>
      </x:c>
      <x:c r="G33" s="1" t="str">
        <x:v>Качественное</x:v>
      </x:c>
    </x:row>
    <x:row r="34" ht="24" customHeight="1">
      <x:c r="A34" s="1" t="str">
        <x:v>Корзина</x:v>
      </x:c>
      <x:c r="B34" s="1" t="str">
        <x:v>Цена видна, доставка не видна</x:v>
      </x:c>
      <x:c r="C34" s="1" t="str">
        <x:v>Факт</x:v>
      </x:c>
      <x:c r="D34" s="1" t="str">
        <x:v>Учебный PDF</x:v>
      </x:c>
      <x:c r="E34" s="1" t="n">
        <x:v>13</x:v>
      </x:c>
      <x:c r="F34" s="1" t="str">
        <x:v>Риски актуальности условий</x:v>
      </x:c>
      <x:c r="G34" s="1" t="str">
        <x:v>По инсайтам кейса</x:v>
      </x:c>
    </x:row>
    <x:row r="35" ht="24" customHeight="1">
      <x:c r="A35" s="1" t="str">
        <x:v>Доступность разделов</x:v>
      </x:c>
      <x:c r="B35" s="1" t="str">
        <x:v>C под рукой, F сложнее найти</x:v>
      </x:c>
      <x:c r="C35" s="1" t="str">
        <x:v>Факт</x:v>
      </x:c>
      <x:c r="D35" s="1" t="str">
        <x:v>Учебный PDF</x:v>
      </x:c>
      <x:c r="E35" s="1" t="str">
        <x:v>13–14</x:v>
      </x:c>
      <x:c r="F35" s="1" t="str">
        <x:v>Охват F не равен охвату C</x:v>
      </x:c>
      <x:c r="G35" s="1" t="str">
        <x:v>Качественное</x:v>
      </x:c>
    </x:row>
    <x:row r="36" ht="24" customHeight="1">
      <x:c r="A36" s="1" t="str">
        <x:v>Большинство корзин</x:v>
      </x:c>
      <x:c r="B36" s="1" t="str">
        <x:v>Более 12 SKU</x:v>
      </x:c>
      <x:c r="C36" s="1" t="str">
        <x:v>Факт</x:v>
      </x:c>
      <x:c r="D36" s="1" t="str">
        <x:v>Учебный PDF</x:v>
      </x:c>
      <x:c r="E36" s="1" t="n">
        <x:v>9</x:v>
      </x:c>
      <x:c r="F36" s="1" t="str">
        <x:v>Не точная доля больших</x:v>
      </x:c>
      <x:c r="G36" s="1" t="str">
        <x:v>Качественное</x:v>
      </x:c>
    </x:row>
    <x:row r="37" ht="24" customHeight="1">
      <x:c r="A37" s="1" t="str">
        <x:v>Максимальная CR C</x:v>
      </x:c>
      <x:c r="B37" s="1" t="str">
        <x:v>У 1–3 SKU</x:v>
      </x:c>
      <x:c r="C37" s="1" t="str">
        <x:v>Факт</x:v>
      </x:c>
      <x:c r="D37" s="1" t="str">
        <x:v>Учебный PDF</x:v>
      </x:c>
      <x:c r="E37" s="1" t="n">
        <x:v>9</x:v>
      </x:c>
      <x:c r="F37" s="1" t="str">
        <x:v>Не абсолютная CR</x:v>
      </x:c>
      <x:c r="G37" s="1" t="str">
        <x:v>Ранг</x:v>
      </x:c>
    </x:row>
    <x:row r="38" ht="24" customHeight="1">
      <x:c r="A38" s="1" t="str">
        <x:v>Реализация</x:v>
      </x:c>
      <x:c r="B38" s="1" t="str">
        <x:v>Сверхдорогие LLM нежелательны</x:v>
      </x:c>
      <x:c r="C38" s="1" t="str">
        <x:v>Факт</x:v>
      </x:c>
      <x:c r="D38" s="1" t="str">
        <x:v>Учебный PDF</x:v>
      </x:c>
      <x:c r="E38" s="1" t="n">
        <x:v>4</x:v>
      </x:c>
      <x:c r="F38" s="1" t="str">
        <x:v>Ограничение H1–H6</x:v>
      </x:c>
      <x:c r="G38" s="1" t="str">
        <x:v>Качественное</x:v>
      </x:c>
    </x:row>
    <x:row r="39" ht="24" customHeight="1">
      <x:c r="A39" s="1" t="str">
        <x:v>Статус кейса</x:v>
      </x:c>
      <x:c r="B39" s="1" t="str">
        <x:v>Все числа синтетические</x:v>
      </x:c>
      <x:c r="C39" s="1" t="str">
        <x:v>Факт</x:v>
      </x:c>
      <x:c r="D39" s="1" t="str">
        <x:v>Учебный PDF</x:v>
      </x:c>
      <x:c r="E39" s="1" t="n">
        <x:v>6</x:v>
      </x:c>
      <x:c r="F39" s="1" t="str">
        <x:v>Не переносить на реальный Ozon</x:v>
      </x:c>
      <x:c r="G39" s="1" t="str">
        <x:v>Первичный источник</x:v>
      </x:c>
    </x:row>
    <x:row r="40" ht="24" customHeight="1">
      <x:c r="A40" s="1"/>
      <x:c r="B40" s="1"/>
      <x:c r="C40" s="1"/>
      <x:c r="D40" s="1"/>
      <x:c r="E40" s="1"/>
      <x:c r="F40" s="1"/>
      <x:c r="G40" s="1"/>
    </x:row>
    <x:row r="41" ht="24" customHeight="1">
      <x:c r="A41" s="1"/>
      <x:c r="B41" s="1"/>
      <x:c r="C41" s="1"/>
      <x:c r="D41" s="1"/>
      <x:c r="E41" s="1"/>
      <x:c r="F41" s="1"/>
      <x:c r="G41" s="1"/>
    </x:row>
    <x:row r="42" ht="50" customHeight="1">
      <x:c r="A42" s="7" t="str">
        <x:v>Платформенный срез</x:v>
      </x:c>
      <x:c r="B42" s="7" t="str">
        <x:v>Web</x:v>
      </x:c>
      <x:c r="C42" s="7" t="str">
        <x:v>Мобильный сайт</x:v>
      </x:c>
      <x:c r="D42" s="7" t="str">
        <x:v>iOS</x:v>
      </x:c>
      <x:c r="E42" s="7" t="str">
        <x:v>Android</x:v>
      </x:c>
      <x:c r="F42" s="7" t="str">
        <x:v>Тип</x:v>
      </x:c>
      <x:c r="G42" s="7" t="str">
        <x:v>Источник / ограничение</x:v>
      </x:c>
    </x:row>
    <x:row r="43" ht="24" customHeight="1">
      <x:c r="A43" s="1" t="str">
        <x:v>Просмотр F при малой C</x:v>
      </x:c>
      <x:c r="B43" s="8" t="n">
        <x:v>0.38</x:v>
      </x:c>
      <x:c r="C43" s="8" t="n">
        <x:v>0.29</x:v>
      </x:c>
      <x:c r="D43" s="8" t="n">
        <x:v>0.23</x:v>
      </x:c>
      <x:c r="E43" s="8" t="n">
        <x:v>0.19</x:v>
      </x:c>
      <x:c r="F43" s="1" t="str">
        <x:v>Факт</x:v>
      </x:c>
      <x:c r="G43" s="1" t="str">
        <x:v>PDF, с. 10; приблизительные срезы</x:v>
      </x:c>
    </x:row>
    <x:row r="44" ht="24" customHeight="1">
      <x:c r="A44" s="1" t="str">
        <x:v>Просмотр F на плато</x:v>
      </x:c>
      <x:c r="B44" s="8" t="n">
        <x:v>0.19</x:v>
      </x:c>
      <x:c r="C44" s="8" t="n">
        <x:v>0.16</x:v>
      </x:c>
      <x:c r="D44" s="8" t="n">
        <x:v>0.12</x:v>
      </x:c>
      <x:c r="E44" s="8" t="n">
        <x:v>0.1</x:v>
      </x:c>
      <x:c r="F44" s="1" t="str">
        <x:v>Факт</x:v>
      </x:c>
      <x:c r="G44" s="1" t="str">
        <x:v>Не P(дневной визит F | визит C)</x:v>
      </x:c>
    </x:row>
    <x:row r="45" ht="24" customHeight="1">
      <x:c r="A45" s="1" t="str">
        <x:v>Просмотр F при C 250+</x:v>
      </x:c>
      <x:c r="B45" s="8" t="n">
        <x:v>0.31</x:v>
      </x:c>
      <x:c r="C45" s="8"/>
      <x:c r="D45" s="8"/>
      <x:c r="E45" s="8"/>
      <x:c r="F45" s="1" t="str">
        <x:v>Факт</x:v>
      </x:c>
      <x:c r="G45" s="1" t="str">
        <x:v>Для остальных нет отдельных значений</x:v>
      </x:c>
    </x:row>
    <x:row r="46" ht="24" customHeight="1">
      <x:c r="A46" s="1" t="str">
        <x:v>Добавление F из C при 5–15 SKU</x:v>
      </x:c>
      <x:c r="B46" s="8" t="n">
        <x:v>0.09</x:v>
      </x:c>
      <x:c r="C46" s="8" t="n">
        <x:v>0.07</x:v>
      </x:c>
      <x:c r="D46" s="8" t="n">
        <x:v>0.06</x:v>
      </x:c>
      <x:c r="E46" s="8" t="n">
        <x:v>0.05</x:v>
      </x:c>
      <x:c r="F46" s="1" t="str">
        <x:v>Факт</x:v>
      </x:c>
      <x:c r="G46" s="1" t="str">
        <x:v>Не охват H2</x:v>
      </x:c>
    </x:row>
    <x:row r="47" ht="24" customHeight="1">
      <x:c r="A47" s="1" t="str">
        <x:v>Добавление F из C при 100+</x:v>
      </x:c>
      <x:c r="B47" s="8"/>
      <x:c r="C47" s="8"/>
      <x:c r="D47" s="8"/>
      <x:c r="E47" s="8"/>
      <x:c r="F47" s="1" t="str">
        <x:v>Факт</x:v>
      </x:c>
      <x:c r="G47" s="1" t="str">
        <x:v>Общий диапазон 1,5–2%, без разбиения</x:v>
      </x:c>
    </x:row>
    <x:row r="48" ht="24" customHeight="1">
      <x:c r="A48" s="1" t="str">
        <x:v>Добавление F из C при 200+</x:v>
      </x:c>
      <x:c r="B48" s="8" t="n">
        <x:v>0.06</x:v>
      </x:c>
      <x:c r="C48" s="8" t="n">
        <x:v>0.045</x:v>
      </x:c>
      <x:c r="D48" s="8"/>
      <x:c r="E48" s="8"/>
      <x:c r="F48" s="1" t="str">
        <x:v>Факт</x:v>
      </x:c>
      <x:c r="G48" s="1" t="str">
        <x:v>Приложения 2,5–3%, без разделения</x:v>
      </x:c>
    </x:row>
    <x:row r="49" ht="24" customHeight="1">
      <x:c r="A49" s="1"/>
      <x:c r="B49" s="1"/>
      <x:c r="C49" s="1"/>
      <x:c r="D49" s="1"/>
      <x:c r="E49" s="1"/>
      <x:c r="F49" s="1"/>
      <x:c r="G49" s="1"/>
    </x:row>
    <x:row r="50" ht="24" customHeight="1">
      <x:c r="A50" s="1"/>
      <x:c r="B50" s="1"/>
      <x:c r="C50" s="1"/>
      <x:c r="D50" s="1"/>
      <x:c r="E50" s="1"/>
      <x:c r="F50" s="1"/>
      <x:c r="G50" s="1"/>
    </x:row>
    <x:row r="51" ht="24" customHeight="1">
      <x:c r="A51" s="1" t="str">
        <x:v>Источник сводки: второе приложенное сообщение ChatGPT. Числа выше сверены с PDF и UX-документом.</x:v>
      </x:c>
      <x:c r="B51" s="1"/>
      <x:c r="C51" s="1"/>
      <x:c r="D51" s="1"/>
      <x:c r="E51" s="1"/>
      <x:c r="F51" s="1"/>
      <x:c r="G51" s="1"/>
    </x:row>
    <x:row r="52" ht="24" customHeight="1">
      <x:c r="A52" s="1" t="str">
        <x:v>Пороговые SKU четырёх когорт неизвестны. По среднему, медиане и максимуму размеры когорт не восстанавливаются.</x:v>
      </x:c>
      <x:c r="B52" s="1"/>
      <x:c r="C52" s="1"/>
      <x:c r="D52" s="1"/>
      <x:c r="E52" s="1"/>
      <x:c r="F52" s="1"/>
      <x:c r="G52" s="1"/>
    </x:row>
    <x:row r="53" ht="24" customHeight="1">
      <x:c r="A53" s="1"/>
      <x:c r="B53" s="1"/>
      <x:c r="C53" s="1"/>
      <x:c r="D53" s="1"/>
      <x:c r="E53" s="1"/>
      <x:c r="F53" s="1"/>
      <x:c r="G53" s="1"/>
    </x:row>
    <x:row r="54" ht="24" customHeight="1">
      <x:c r="A54" s="1"/>
      <x:c r="B54" s="1"/>
      <x:c r="C54" s="1"/>
      <x:c r="D54" s="1"/>
      <x:c r="E54" s="1"/>
      <x:c r="F54" s="1"/>
      <x:c r="G54" s="1"/>
    </x:row>
    <x:row r="55" ht="24" customHeight="1">
      <x:c r="A55" s="1"/>
      <x:c r="B55" s="1"/>
      <x:c r="C55" s="1"/>
      <x:c r="D55" s="1"/>
      <x:c r="E55" s="1"/>
      <x:c r="F55" s="1"/>
      <x:c r="G55" s="1"/>
    </x:row>
    <x:row r="56" ht="24" customHeight="1">
      <x:c r="A56" s="1"/>
      <x:c r="B56" s="1"/>
      <x:c r="C56" s="1"/>
      <x:c r="D56" s="1"/>
      <x:c r="E56" s="1"/>
      <x:c r="F56" s="1"/>
      <x:c r="G56" s="1"/>
    </x:row>
    <x:row r="57" ht="24" customHeight="1">
      <x:c r="A57" s="1"/>
      <x:c r="B57" s="1"/>
      <x:c r="C57" s="1"/>
      <x:c r="D57" s="1"/>
      <x:c r="E57" s="1"/>
      <x:c r="F57" s="1"/>
      <x:c r="G57" s="1"/>
    </x:row>
    <x:row r="58" ht="24" customHeight="1">
      <x:c r="A58" s="1"/>
      <x:c r="B58" s="1"/>
      <x:c r="C58" s="1"/>
      <x:c r="D58" s="1"/>
      <x:c r="E58" s="1"/>
      <x:c r="F58" s="1"/>
      <x:c r="G58" s="1"/>
    </x:row>
    <x:row r="59" ht="24" customHeight="1">
      <x:c r="A59" s="1"/>
      <x:c r="B59" s="1"/>
      <x:c r="C59" s="1"/>
      <x:c r="D59" s="1"/>
      <x:c r="E59" s="1"/>
      <x:c r="F59" s="1"/>
      <x:c r="G59" s="1"/>
    </x:row>
    <x:row r="60" ht="24" customHeight="1">
      <x:c r="A60" s="1"/>
      <x:c r="B60" s="1"/>
      <x:c r="C60" s="1"/>
      <x:c r="D60" s="1"/>
      <x:c r="E60" s="1"/>
      <x:c r="F60" s="1"/>
      <x:c r="G60" s="1"/>
    </x:row>
    <x:row r="61" ht="24" customHeight="1">
      <x:c r="A61" s="1"/>
      <x:c r="B61" s="1"/>
      <x:c r="C61" s="1"/>
      <x:c r="D61" s="1"/>
      <x:c r="E61" s="1"/>
      <x:c r="F61" s="1"/>
      <x:c r="G61" s="1"/>
    </x:row>
    <x:row r="62" ht="24" customHeight="1">
      <x:c r="A62" s="1"/>
      <x:c r="B62" s="1"/>
      <x:c r="C62" s="1"/>
      <x:c r="D62" s="1"/>
      <x:c r="E62" s="1"/>
      <x:c r="F62" s="1"/>
      <x:c r="G62" s="1"/>
    </x:row>
    <x:row r="63" ht="24" customHeight="1">
      <x:c r="A63" s="1"/>
      <x:c r="B63" s="1"/>
      <x:c r="C63" s="1"/>
      <x:c r="D63" s="1"/>
      <x:c r="E63" s="1"/>
      <x:c r="F63" s="1"/>
      <x:c r="G63" s="1"/>
    </x:row>
    <x:row r="64" ht="24" customHeight="1">
      <x:c r="A64" s="1"/>
      <x:c r="B64" s="1"/>
      <x:c r="C64" s="1"/>
      <x:c r="D64" s="1"/>
      <x:c r="E64" s="1"/>
      <x:c r="F64" s="1"/>
      <x:c r="G64" s="1"/>
    </x:row>
  </x:sheetData>
  <x:pageMargins left="0.7" right="0.7" top="0.75" bottom="0.75" header="0.3" footer="0.3"/>
</x:worksheet>
</file>

<file path=xl/worksheets/sheet9.xml><?xml version="1.0" encoding="utf-8"?>
<x:worksheet xmlns:x="http://schemas.openxmlformats.org/spreadsheetml/2006/main">
  <x:sheetPr>
    <x:tabColor rgb="FF3A5A8D"/>
  </x:sheetPr>
  <x:sheetViews>
    <x:sheetView showGridLines="0" workbookViewId="0">
      <x:pane xSplit="2" ySplit="4" topLeftCell="C5" activePane="bottomRight" state="frozen"/>
    </x:sheetView>
  </x:sheetViews>
  <x:sheetFormatPr defaultRowHeight="15"/>
  <x:cols>
    <x:col min="1" max="1" width="39" hidden="0" customWidth="1"/>
    <x:col min="2" max="2" width="18" hidden="0" customWidth="1"/>
    <x:col min="3" max="3" width="36" hidden="0" customWidth="1"/>
    <x:col min="4" max="4" width="28" hidden="0" customWidth="1"/>
    <x:col min="5" max="5" width="28" hidden="0" customWidth="1"/>
    <x:col min="6" max="6" width="65" hidden="0" customWidth="1"/>
    <x:col min="7" max="7" width="50" hidden="0" customWidth="1"/>
  </x:cols>
  <x:sheetData>
    <x:row r="1" ht="24" customHeight="1">
      <x:c r="A1" s="1"/>
      <x:c r="B1" s="1"/>
      <x:c r="C1" s="1"/>
      <x:c r="D1" s="1"/>
      <x:c r="E1" s="1"/>
      <x:c r="F1" s="1"/>
      <x:c r="G1" s="1"/>
    </x:row>
    <x:row r="2" ht="32" customHeight="1">
      <x:c r="A2" s="2" t="str">
        <x:v>Внешние</x:v>
      </x:c>
      <x:c r="B2" s="1"/>
      <x:c r="C2" s="1"/>
      <x:c r="D2" s="1"/>
      <x:c r="E2" s="1"/>
      <x:c r="F2" s="1"/>
      <x:c r="G2" s="1"/>
    </x:row>
    <x:row r="3" ht="24" customHeight="1">
      <x:c r="A3" s="1"/>
      <x:c r="B3" s="1"/>
      <x:c r="C3" s="1"/>
      <x:c r="D3" s="1"/>
      <x:c r="E3" s="1"/>
      <x:c r="F3" s="1"/>
      <x:c r="G3" s="1"/>
    </x:row>
    <x:row r="4" ht="50" customHeight="1">
      <x:c r="A4" s="7" t="str">
        <x:v>Показатель</x:v>
      </x:c>
      <x:c r="B4" s="7" t="str">
        <x:v>Значение</x:v>
      </x:c>
      <x:c r="C4" s="7" t="str">
        <x:v>Единица / период</x:v>
      </x:c>
      <x:c r="D4" s="7" t="str">
        <x:v>Тип</x:v>
      </x:c>
      <x:c r="E4" s="7" t="str">
        <x:v>Источник</x:v>
      </x:c>
      <x:c r="F4" s="7" t="str">
        <x:v>Ссылка</x:v>
      </x:c>
      <x:c r="G4" s="7" t="str">
        <x:v>Применение</x:v>
      </x:c>
    </x:row>
    <x:row r="5" ht="48" customHeight="1">
      <x:c r="A5" s="1" t="str">
        <x:v>Активные покупатели Ozon</x:v>
      </x:c>
      <x:c r="B5" s="21" t="n">
        <x:v>73500000</x:v>
      </x:c>
      <x:c r="C5" s="1" t="str">
        <x:v>чел., на 30.09.2026</x:v>
      </x:c>
      <x:c r="D5" s="1" t="str">
        <x:v>Внешний источник</x:v>
      </x:c>
      <x:c r="E5" s="1" t="str">
        <x:v>Ozon IR, III кв. 2026</x:v>
      </x:c>
      <x:c r="F5" s="26" t="str">
        <x:v>https://ir.ozon.com/ru/sth/ozon-obyavlyaet-finansovye-rezultaty-za-tretiy-kvartal-2026-goda-918a6d93</x:v>
      </x:c>
      <x:c r="G5" s="1" t="str">
        <x:v>Точное старое значение отдельно не перепроверено; не DAU и не вход модели</x:v>
      </x:c>
    </x:row>
    <x:row r="6" ht="48" customHeight="1">
      <x:c r="A6" s="1" t="str">
        <x:v>Заказы Ozon</x:v>
      </x:c>
      <x:c r="B6" s="21" t="n">
        <x:v>1175500000</x:v>
      </x:c>
      <x:c r="C6" s="1" t="str">
        <x:v>заказов, III кв. 2026</x:v>
      </x:c>
      <x:c r="D6" s="1" t="str">
        <x:v>Внешний источник</x:v>
      </x:c>
      <x:c r="E6" s="1" t="str">
        <x:v>Ozon IR, III кв. 2026</x:v>
      </x:c>
      <x:c r="F6" s="26" t="str">
        <x:v>https://ir.ozon.com/ru/sth/ozon-obyavlyaet-finansovye-rezultaty-za-tretiy-kvartal-2026-goda-918a6d93</x:v>
      </x:c>
      <x:c r="G6" s="1" t="str">
        <x:v>Точное старое значение отдельно не перепроверено; подтверждено округлённое 1,2 млрд</x:v>
      </x:c>
    </x:row>
    <x:row r="7" ht="48" customHeight="1">
      <x:c r="A7" s="1" t="str">
        <x:v>Активные покупатели Ozon</x:v>
      </x:c>
      <x:c r="B7" s="21" t="n">
        <x:v>65100000</x:v>
      </x:c>
      <x:c r="C7" s="1" t="str">
        <x:v>чел., на 31.12.2025</x:v>
      </x:c>
      <x:c r="D7" s="1" t="str">
        <x:v>Внешний источник</x:v>
      </x:c>
      <x:c r="E7" s="1" t="str">
        <x:v>Ozon IR, IV кв. 2025</x:v>
      </x:c>
      <x:c r="F7" s="26" t="str">
        <x:v>https://ir.ozon.com/ru/sth/ozon-obyavlyaet-finansovye-rezultaty-za-chetvertyy-kvartal-2025-goda-i-2025-god-18833bbf</x:v>
      </x:c>
      <x:c r="G7" s="1" t="str">
        <x:v>Исторический ориентир, не DAU</x:v>
      </x:c>
    </x:row>
    <x:row r="8" ht="48" customHeight="1">
      <x:c r="A8" s="1" t="str">
        <x:v>Заказы Ozon</x:v>
      </x:c>
      <x:c r="B8" s="21" t="n">
        <x:v>832900000</x:v>
      </x:c>
      <x:c r="C8" s="1" t="str">
        <x:v>заказов, IV кв. 2025</x:v>
      </x:c>
      <x:c r="D8" s="1" t="str">
        <x:v>Внешний источник</x:v>
      </x:c>
      <x:c r="E8" s="1" t="str">
        <x:v>Ozon IR, IV кв. 2025</x:v>
      </x:c>
      <x:c r="F8" s="26" t="str">
        <x:v>https://ir.ozon.com/ru/sth/ozon-obyavlyaet-finansovye-rezultaty-za-chetvertyy-kvartal-2025-goda-i-2025-god-18833bbf</x:v>
      </x:c>
      <x:c r="G8" s="1" t="str">
        <x:v>Не смешивать периоды</x:v>
      </x:c>
    </x:row>
    <x:row r="9" ht="48" customHeight="1">
      <x:c r="A9" s="1" t="str">
        <x:v>Рассылки: рост CR в покупку</x:v>
      </x:c>
      <x:c r="B9" s="8" t="n">
        <x:v>0.12</x:v>
      </x:c>
      <x:c r="C9" s="1" t="str">
        <x:v>относит., публикация 22.06.2026</x:v>
      </x:c>
      <x:c r="D9" s="1" t="str">
        <x:v>Внешний источник</x:v>
      </x:c>
      <x:c r="E9" s="1" t="str">
        <x:v>Ozon Seller</x:v>
      </x:c>
      <x:c r="F9" s="26" t="str">
        <x:v>https://seller.ozon.ru/media/boost/rassylki-iz-lichnogo-kabineta-na-ozon/</x:v>
      </x:c>
      <x:c r="G9" s="1" t="str">
        <x:v>Заявленный рост; не раскрыты контроль/атрибуция и единица прироста; в формулы не входит</x:v>
      </x:c>
    </x:row>
    <x:row r="10" ht="48" customHeight="1">
      <x:c r="A10" s="1" t="str">
        <x:v>Пользователи Taobao UserBehavior</x:v>
      </x:c>
      <x:c r="B10" s="21" t="n">
        <x:v>987994</x:v>
      </x:c>
      <x:c r="C10" s="1" t="str">
        <x:v>чел., 25.11–03.12.2017</x:v>
      </x:c>
      <x:c r="D10" s="1" t="str">
        <x:v>Внешний источник</x:v>
      </x:c>
      <x:c r="E10" s="1" t="str">
        <x:v>Alibaba Cloud DataWorks</x:v>
      </x:c>
      <x:c r="F10" s="26" t="str">
        <x:v>https://www.alibabacloud.com/help/en/dataworks/user-guide/getting-started-with-dataanalysis</x:v>
      </x:c>
      <x:c r="G10" s="1" t="str">
        <x:v>Другой рынок и период</x:v>
      </x:c>
    </x:row>
    <x:row r="11" ht="48" customHeight="1">
      <x:c r="A11" s="1" t="str">
        <x:v>События Taobao</x:v>
      </x:c>
      <x:c r="B11" s="21" t="n">
        <x:v>100150807</x:v>
      </x:c>
      <x:c r="C11" s="1" t="str">
        <x:v>событий, 25.11–03.12.2017</x:v>
      </x:c>
      <x:c r="D11" s="1" t="str">
        <x:v>Внешний источник</x:v>
      </x:c>
      <x:c r="E11" s="1" t="str">
        <x:v>Alibaba Cloud DataWorks</x:v>
      </x:c>
      <x:c r="F11" s="26" t="str">
        <x:v>https://www.alibabacloud.com/help/en/dataworks/user-guide/getting-started-with-dataanalysis</x:v>
      </x:c>
      <x:c r="G11" s="1" t="str">
        <x:v>События не остатки SKU в списках</x:v>
      </x:c>
    </x:row>
    <x:row r="12" ht="48" customHeight="1">
      <x:c r="A12" s="1" t="str">
        <x:v>Уникальные товары Taobao</x:v>
      </x:c>
      <x:c r="B12" s="21" t="n">
        <x:v>4162024</x:v>
      </x:c>
      <x:c r="C12" s="1" t="str">
        <x:v>товаров, 2017</x:v>
      </x:c>
      <x:c r="D12" s="1" t="str">
        <x:v>Внешний источник</x:v>
      </x:c>
      <x:c r="E12" s="1" t="str">
        <x:v>Alibaba Cloud DataWorks</x:v>
      </x:c>
      <x:c r="F12" s="26" t="str">
        <x:v>https://www.alibabacloud.com/help/en/dataworks/user-guide/getting-started-with-dataanalysis</x:v>
      </x:c>
      <x:c r="G12" s="1" t="str">
        <x:v>Не размер корзины пользователя</x:v>
      </x:c>
    </x:row>
    <x:row r="13" ht="48" customHeight="1">
      <x:c r="A13" s="1" t="str">
        <x:v>Типы событий Taobao</x:v>
      </x:c>
      <x:c r="B13" s="1" t="str">
        <x:v>pv, fav, cart, buy</x:v>
      </x:c>
      <x:c r="C13" s="1" t="str">
        <x:v>категории</x:v>
      </x:c>
      <x:c r="D13" s="1" t="str">
        <x:v>Внешний источник</x:v>
      </x:c>
      <x:c r="E13" s="1" t="str">
        <x:v>Alibaba Cloud / Tianchi</x:v>
      </x:c>
      <x:c r="F13" s="26" t="str">
        <x:v>https://tianchi.aliyun.com/dataset/649</x:v>
      </x:c>
      <x:c r="G13" s="1" t="str">
        <x:v>Только ориентир метода анализа поведения</x:v>
      </x:c>
    </x:row>
    <x:row r="14" ht="24" customHeight="1">
      <x:c r="A14" s="1"/>
      <x:c r="B14" s="1"/>
      <x:c r="C14" s="1"/>
      <x:c r="D14" s="1"/>
      <x:c r="E14" s="1"/>
      <x:c r="F14" s="1"/>
      <x:c r="G14" s="1"/>
    </x:row>
    <x:row r="15" ht="24" customHeight="1">
      <x:c r="A15" s="1"/>
      <x:c r="B15" s="1"/>
      <x:c r="C15" s="1"/>
      <x:c r="D15" s="1"/>
      <x:c r="E15" s="1"/>
      <x:c r="F15" s="1"/>
      <x:c r="G15" s="1"/>
    </x:row>
    <x:row r="16" ht="24" customHeight="1">
      <x:c r="A16" s="1" t="str">
        <x:v>Актуальные статусы и ограничения: лист «Источники». Старые внешние величины сохранены как исторический контекст.</x:v>
      </x:c>
      <x:c r="B16" s="1"/>
      <x:c r="C16" s="1"/>
      <x:c r="D16" s="1"/>
      <x:c r="E16" s="1"/>
      <x:c r="F16" s="1"/>
      <x:c r="G16" s="1"/>
    </x:row>
    <x:row r="17" ht="24" customHeight="1">
      <x:c r="A17" s="1" t="str">
        <x:v>Taobao содержит действия, не остатки списков. Долю «китов» и совместное распределение размеров из этих сводок не получить.</x:v>
      </x:c>
      <x:c r="B17" s="1"/>
      <x:c r="C17" s="1"/>
      <x:c r="D17" s="1"/>
      <x:c r="E17" s="1"/>
      <x:c r="F17" s="1"/>
      <x:c r="G17" s="1"/>
    </x:row>
    <x:row r="18" ht="24" customHeight="1">
      <x:c r="A18" s="1"/>
      <x:c r="B18" s="1"/>
      <x:c r="C18" s="1"/>
      <x:c r="D18" s="1"/>
      <x:c r="E18" s="1"/>
      <x:c r="F18" s="1"/>
      <x:c r="G18" s="1"/>
    </x:row>
  </x:sheetData>
  <x:pageMargins left="0.7" right="0.7" top="0.75" bottom="0.75" header="0.3" footer="0.3"/>
</x:worksheet>
</file>

<file path=xl/worksheets/sheet10.xml><?xml version="1.0" encoding="utf-8"?>
<x:worksheet xmlns:x="http://schemas.openxmlformats.org/spreadsheetml/2006/main">
  <x:sheetPr>
    <x:tabColor rgb="FF3A5A8D"/>
  </x:sheetPr>
  <x:sheetViews>
    <x:sheetView showGridLines="0" workbookViewId="0"/>
  </x:sheetViews>
  <x:sheetFormatPr defaultRowHeight="15"/>
  <x:cols>
    <x:col min="1" max="1" width="31" hidden="0" customWidth="1"/>
    <x:col min="2" max="2" width="118" hidden="0" customWidth="1"/>
  </x:cols>
  <x:sheetData>
    <x:row r="1" ht="24" customHeight="1">
      <x:c r="A1" s="1" t="str">
        <x:v>Сценарий</x:v>
      </x:c>
      <x:c r="B1" s="1" t="str">
        <x:f>'Итоги'!B3</x:f>
        <x:v>Корзины 40+: 30%</x:v>
      </x:c>
    </x:row>
    <x:row r="2" ht="32" customHeight="1">
      <x:c r="A2" s="2" t="str">
        <x:v>Методика</x:v>
      </x:c>
      <x:c r="B2" s="1"/>
    </x:row>
    <x:row r="3" ht="24" customHeight="1">
      <x:c r="A3" s="1"/>
      <x:c r="B3" s="1"/>
    </x:row>
    <x:row r="4" ht="52" customHeight="1">
      <x:c r="A4" s="27" t="str">
        <x:v>Назначение</x:v>
      </x:c>
      <x:c r="B4" s="26" t="str">
        <x:v>Сравнить H1–H6 при одинаковом условном +10% относительного uplift. Это мысленный эксперимент с редактируемыми допущениями, не оценка реального эффекта.</x:v>
      </x:c>
    </x:row>
    <x:row r="5" ht="52" customHeight="1">
      <x:c r="A5" s="27" t="str">
        <x:v>Метки значений</x:v>
      </x:c>
      <x:c r="B5" s="26" t="str">
        <x:v>Факт — синтетический учебный PDF/UX. Внешний источник — отдельно проверенный ориентир. Жёлтый ввод — допущение. Зависимые значения — расчёт.</x:v>
      </x:c>
    </x:row>
    <x:row r="6" ht="52" customHeight="1">
      <x:c r="A6" s="27" t="str">
        <x:v>Первичные материалы</x:v>
      </x:c>
      <x:c r="B6" s="26" t="str">
        <x:v>Учебный PDF «Корзина не копилка…», с. 4,6,8–14; «Артефакты Кейсов.docx», этап 4; приложенный текст H6 и сводная таблица ChatGPT.</x:v>
      </x:c>
    </x:row>
    <x:row r="7" ht="52" customHeight="1">
      <x:c r="A7" s="27" t="str">
        <x:v>Четыре когорты</x:v>
      </x:c>
      <x:c r="B7" s="26" t="str">
        <x:v>S1 киты, S2 большая/большое, S3 большая/маленькое, S4 маленькая/маленькое. Это наполненность списков; пороги неизвестны, малый включает ноль.</x:v>
      </x:c>
    </x:row>
    <x:row r="8" ht="52" customHeight="1">
      <x:c r="A8" s="27" t="str">
        <x:v>Размеры когорт</x:v>
      </x:c>
      <x:c r="B8" s="26" t="str">
        <x:v>Сценарные доли относятся ко всему нормированному DAU. Они неизвестны и суммируются до 100%. Среднее SKU и медиана не задают эти доли.</x:v>
      </x:c>
    </x:row>
    <x:row r="9" ht="52" customHeight="1">
      <x:c r="A9" s="27" t="str">
        <x:v>Абсолютная CR</x:v>
      </x:c>
      <x:c r="B9" s="26" t="str">
        <x:v>Якорь 1 задаёт CR китов, глобальная CR — взвешенное среднее. Якорь 2 задаёт глобальную CR, CR китов = глобальная CR + взвешенный разрыв.</x:v>
      </x:c>
    </x:row>
    <x:row r="10" ht="52" customHeight="1">
      <x:c r="A10" s="27" t="str">
        <x:v>Разрывы CR</x:v>
      </x:c>
      <x:c r="B10" s="26" t="str">
        <x:v>−9/−18/−9 п.п. вычитаются как 0,09/0,18/0,09. Рабочий знаменатель — уникальные активные пользователи когорты за день. Точная атрибуция PDF не раскрыта.</x:v>
      </x:c>
    </x:row>
    <x:row r="11" ht="52" customHeight="1">
      <x:c r="A11" s="27" t="str">
        <x:v>Посещение</x:v>
      </x:c>
      <x:c r="B11" s="26" t="str">
        <x:v>P(C), P(F) и P(C|F) задаются по каждой когорте отдельно. Их размеры не следуют из списков. Суммарно проверяются 65% / 13% DAU.</x:v>
      </x:c>
    </x:row>
    <x:row r="12" ht="52" customHeight="1">
      <x:c r="A12" s="27" t="str">
        <x:v>Владение Избранным</x:v>
      </x:c>
      <x:c r="B12" s="26" t="str">
        <x:v>Доля владельцев F в малом F — сценарный ввод; в большом F = 100%. Проверяется наличие товаров у 60–80% посетителей C. Это не дневное пересечение визитов.</x:v>
      </x:c>
    </x:row>
    <x:row r="13" ht="52" customHeight="1">
      <x:c r="A13" s="27" t="str">
        <x:v>Разбиение пользователей</x:v>
      </x:c>
      <x:c r="B13" s="26" t="str">
        <x:v>В каждой когорте только C, только F, оба, ни один. Их сумма = размер когорты. Уникальный заказчик считается один раз в день независимо от числа SKU и заказов.</x:v>
      </x:c>
    </x:row>
    <x:row r="14" ht="52" customHeight="1">
      <x:c r="A14" s="27" t="str">
        <x:v>CR внутри когорты</x:v>
      </x:c>
      <x:c r="B14" s="26" t="str">
        <x:v>Четыре веса склонности к заказу нормируются по долям состояний посещения. Взвешенная CR точно равна CR когорты. Веса — допущения, не наблюдения.</x:v>
      </x:c>
    </x:row>
    <x:row r="15" ht="52" customHeight="1">
      <x:c r="A15" s="27" t="str">
        <x:v>Целевой охват</x:v>
      </x:c>
      <x:c r="B15" s="26" t="str">
        <x:v>Для обоих входов цель = eC+eF−eCF. Для одного входа — его доля. Условная доля цели входа считается одинаковой для состояний «только» и «оба»: допущение.</x:v>
      </x:c>
    </x:row>
    <x:row r="16" ht="52" customHeight="1">
      <x:c r="A16" s="27" t="str">
        <x:v>Базовый эффект</x:v>
      </x:c>
      <x:c r="B16" s="26" t="str">
        <x:v>Прирост до штрафов = покупатели0 × 10% × доля цели. Это вероятность дополнительных уникальных заказчиков, не дополнительные SKU в уже существующем заказе.</x:v>
      </x:c>
    </x:row>
    <x:row r="17" ht="52" customHeight="1">
      <x:c r="A17" s="27" t="str">
        <x:v>Два независимых штрафа</x:v>
      </x:c>
      <x:c r="B17" s="26" t="str">
        <x:v>Остаток полезного uplift = (1−поведенческий) × (1−продуктовый). 25%/25% оставляет 56,25% эффекта: +5,625% CR цели вместо +10%.</x:v>
      </x:c>
    </x:row>
    <x:row r="18" ht="52" customHeight="1">
      <x:c r="A18" s="27" t="str">
        <x:v>Потери базового CR</x:v>
      </x:c>
      <x:c r="B18" s="26" t="str">
        <x:v>Отдельные поля матрицы уменьшают весь базовый CR посетителей C/F. По умолчанию 0 как допущение. Штрафы 0/25/50% сами не доказывают падение защитных метрик.</x:v>
      </x:c>
    </x:row>
    <x:row r="19" ht="52" customHeight="1">
      <x:c r="A19" s="27" t="str">
        <x:v>Формула покупки</x:v>
      </x:c>
      <x:c r="B19" s="26" t="str">
        <x:v>CR1 = CR0 × (1+10%×цель×остаток uplift) × (1−потеря C) × (1−потеря F). Если даже полный uplift даёт CR&gt;100%, ввод отклоняется, а не обрезается молча.</x:v>
      </x:c>
    </x:row>
    <x:row r="20" ht="52" customHeight="1">
      <x:c r="A20" s="27" t="str">
        <x:v>Девять комбинаций</x:v>
      </x:c>
      <x:c r="B20" s="26" t="str">
        <x:v>Лист «Штрафы» использует базу после потерь и коэффициент прироста из одного расчёта: Δ покупателей = база после потерь − база0 + коэффициент × остаток uplift.</x:v>
      </x:c>
    </x:row>
    <x:row r="21" ht="52" customHeight="1">
      <x:c r="A21" s="27" t="str">
        <x:v>Защитные метрики</x:v>
      </x:c>
      <x:c r="B21" s="26" t="str">
        <x:v>CR C = заказчики среди посетителей C / посетители C. CR F аналогично. ARPU = дневная выручка / DAU платформы. Порог всех трёх — отсутствие падения.</x:v>
      </x:c>
    </x:row>
    <x:row r="22" ht="52" customHeight="1">
      <x:c r="A22" s="27" t="str">
        <x:v>Модель выручки</x:v>
      </x:c>
      <x:c r="B22" s="26" t="str">
        <x:v>Выручка = уникальные заказчики × доход на заказчика за день. Этот доход включает все его заказы. Изменение дохода применяется пропорционально целевой доле. Это не AOV.</x:v>
      </x:c>
    </x:row>
    <x:row r="23" ht="52" customHeight="1">
      <x:c r="A23" s="27" t="str">
        <x:v>Воздействие F на C</x:v>
      </x:c>
      <x:c r="B23" s="26" t="str">
        <x:v>Новый охват C не добавляется. У уже посетивших оба раздела дополнительный заказ отражается в обоих условных CR, но глобальный заказчик остаётся один.</x:v>
      </x:c>
    </x:row>
    <x:row r="24" ht="52" customHeight="1">
      <x:c r="A24" s="27" t="str">
        <x:v>DAU и MAU</x:v>
      </x:c>
      <x:c r="B24" s="26" t="str">
        <x:v>MAU нужен только для месячного охвата. В дневную CR он не входит. Дневных уникальных нельзя умножать на 30 и получать месячных; месячный эффект здесь не рассчитывается.</x:v>
      </x:c>
    </x:row>
    <x:row r="25" ht="52" customHeight="1">
      <x:c r="A25" s="27" t="str">
        <x:v>H6 и пересечения H</x:v>
      </x:c>
      <x:c r="B25" s="26" t="str">
        <x:v>H6 — выбранная альтернатива H6.1/2/3. Все строки являются отдельными тестами против одной базы. Портфельный итог отсутствует: пересечения разных H неизвестны.</x:v>
      </x:c>
    </x:row>
    <x:row r="26" ht="52" customHeight="1">
      <x:c r="A26" s="27" t="str">
        <x:v>Чтение результатов</x:v>
      </x:c>
      <x:c r="B26" s="26" t="str">
        <x:v>«Проходит условно» значит положительный сценарный эффект без падения guardrails при введённых допущениях. Это не доказанная эффективность и не результат A/B-теста.</x:v>
      </x:c>
    </x:row>
    <x:row r="27" ht="52" customHeight="1">
      <x:c r="A27" s="27" t="str">
        <x:v>Как менять</x:v>
      </x:c>
      <x:c r="B27" s="26" t="str">
        <x:v>Выбрать сценарий и якорь на «Параметрах». Изменить жёлтые поля «Когорт», «Гипотез» и «Воздействия». Проверить базу и допустимость. Нули разрешены, пропуски не скрываются.</x:v>
      </x:c>
    </x:row>
    <x:row r="28" ht="52" customHeight="1">
      <x:c r="A28" s="27" t="str">
        <x:v>Что не учтено</x:v>
      </x:c>
      <x:c r="B28" s="26" t="str">
        <x:v>Нет причинной миграции между когортами/разделами, отдельной платформенной модели, стоимости внедрения, статистической мощности и долгосрочного удержания. Платформенные данные сохранены как контекст.</x:v>
      </x:c>
    </x:row>
    <x:row r="29" ht="52" customHeight="1">
      <x:c r="A29" s="27" t="str">
        <x:v>Внешние ориентиры</x:v>
      </x:c>
      <x:c r="B29" s="26" t="str">
        <x:v>Ozon IR/Seller и Alibaba описывают другие базы, периоды и механики. Они не калибруют размеры когорт, абсолютную CR, охват H и штрафы учебного кейса.</x:v>
      </x:c>
    </x:row>
    <x:row r="30" ht="100" customHeight="1">
      <x:c r="A30" s="1" t="str">
        <x:v>Обновление 2026-10-29</x:v>
      </x:c>
      <x:c r="B30" s="26" t="str">
        <x:v>Исходные 45 проверок сохранены. Сценарии размеров Корзины; Taobao — отдельные добавления за окно; масштаб DAU/MAU из Ozon IR. Сравнение сохраняет срезы и предупреждает об изменении входов. ARPU — условный индекс. +10% остаётся общим стрессом.</x:v>
      </x:c>
    </x:row>
  </x:sheetData>
  <x:pageMargins left="0.7" right="0.7" top="0.75" bottom="0.75" header="0.3" footer="0.3"/>
</x:worksheet>
</file>

<file path=xl/worksheets/sheet11.xml><?xml version="1.0" encoding="utf-8"?>
<x:worksheet xmlns:x="http://schemas.openxmlformats.org/spreadsheetml/2006/main">
  <x:sheetPr>
    <x:tabColor rgb="FF477A68"/>
  </x:sheetPr>
  <x:sheetViews>
    <x:sheetView showGridLines="0" workbookViewId="0">
      <x:pane xSplit="2" ySplit="5" topLeftCell="C6" activePane="bottomRight" state="frozen"/>
    </x:sheetView>
  </x:sheetViews>
  <x:sheetFormatPr defaultRowHeight="15"/>
  <x:cols>
    <x:col min="1" max="1" width="16" hidden="0" customWidth="1"/>
    <x:col min="2" max="2" width="40" hidden="0" customWidth="1"/>
    <x:col min="3" max="3" width="17"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 min="11" max="11" width="16" hidden="0" customWidth="1"/>
    <x:col min="12" max="12" width="16" hidden="0" customWidth="1"/>
    <x:col min="13" max="13" width="16" hidden="0" customWidth="1"/>
    <x:col min="14" max="14" width="16" hidden="0" customWidth="1"/>
    <x:col min="15" max="15" width="16" hidden="0" customWidth="1"/>
    <x:col min="16" max="16" width="16" hidden="0" customWidth="1"/>
    <x:col min="17" max="17" width="16" hidden="0" customWidth="1"/>
    <x:col min="18" max="18" width="16" hidden="0" customWidth="1"/>
    <x:col min="19" max="19" width="16" hidden="0" customWidth="1"/>
    <x:col min="20" max="20" width="16" hidden="0" customWidth="1"/>
    <x:col min="21" max="21" width="16" hidden="0" customWidth="1"/>
    <x:col min="22" max="22" width="16" hidden="0" customWidth="1"/>
    <x:col min="23" max="23" width="16" hidden="0" customWidth="1"/>
    <x:col min="24" max="24" width="16" hidden="0" customWidth="1"/>
    <x:col min="25" max="25" width="16" hidden="0" customWidth="1"/>
    <x:col min="26" max="26" width="16" hidden="0" customWidth="1"/>
    <x:col min="27" max="27" width="16" hidden="0" customWidth="1"/>
    <x:col min="28" max="28" width="16" hidden="0" customWidth="1"/>
    <x:col min="29" max="29" width="16" hidden="0" customWidth="1"/>
  </x:cols>
  <x:sheetData>
    <x:row r="1" ht="26" customHeight="1">
      <x:c r="A1" s="1"/>
      <x:c r="B1" s="1"/>
      <x:c r="C1" s="1"/>
      <x:c r="D1" s="1"/>
      <x:c r="E1" s="1"/>
      <x:c r="F1" s="1"/>
      <x:c r="G1" s="1"/>
      <x:c r="H1" s="1"/>
      <x:c r="I1" s="1"/>
      <x:c r="J1" s="1"/>
      <x:c r="K1" s="1"/>
      <x:c r="L1" s="1"/>
      <x:c r="M1" s="1"/>
      <x:c r="N1" s="1"/>
      <x:c r="O1" s="1"/>
      <x:c r="P1" s="1"/>
      <x:c r="Q1" s="1"/>
      <x:c r="R1" s="1"/>
      <x:c r="S1" s="1"/>
      <x:c r="T1" s="1"/>
      <x:c r="U1" s="1"/>
      <x:c r="V1" s="1"/>
      <x:c r="W1" s="1"/>
      <x:c r="X1" s="1"/>
      <x:c r="Y1" s="1"/>
      <x:c r="Z1" s="1"/>
      <x:c r="AA1" s="1"/>
      <x:c r="AB1" s="1"/>
      <x:c r="AC1" s="1"/>
    </x:row>
    <x:row r="2" ht="36" customHeight="1">
      <x:c r="A2" s="28" t="str">
        <x:v>Сценарии · исходные три сохранены; выбран базовый сценарий размеров Корзины</x:v>
      </x:c>
      <x:c r="B2" s="1"/>
      <x:c r="C2" s="1"/>
      <x:c r="D2" s="1"/>
      <x:c r="E2" s="1"/>
      <x:c r="F2" s="1"/>
      <x:c r="G2" s="1"/>
      <x:c r="H2" s="1"/>
      <x:c r="I2" s="1"/>
      <x:c r="J2" s="1"/>
      <x:c r="K2" s="1"/>
      <x:c r="L2" s="1"/>
      <x:c r="M2" s="1"/>
      <x:c r="N2" s="1"/>
      <x:c r="O2" s="1"/>
      <x:c r="P2" s="1"/>
      <x:c r="Q2" s="1"/>
      <x:c r="R2" s="1"/>
      <x:c r="S2" s="1"/>
      <x:c r="T2" s="1"/>
      <x:c r="U2" s="1"/>
      <x:c r="V2" s="1"/>
      <x:c r="W2" s="1"/>
      <x:c r="X2" s="1"/>
      <x:c r="Y2" s="1"/>
      <x:c r="Z2" s="1"/>
      <x:c r="AA2" s="1"/>
      <x:c r="AB2" s="1"/>
      <x:c r="AC2" s="1"/>
    </x:row>
    <x:row r="3" ht="26" customHeight="1">
      <x:c r="A3" s="1" t="str">
        <x:v>Активный</x:v>
      </x:c>
      <x:c r="B3" s="1" t="str">
        <x:f>CHOOSE('Параметры'!$B$3,B6,B7,B8,B9,B10,B11,B12,B13,B14,B15,B16,B17,B18,B19,B20,B21,B22,B23,B24,B25,B26,B27,B28,B29,B30,B31,B32,B33,B34,B35,B36,B37,B38,B39,B40)</x:f>
        <x:v>Корзины 40+: 30%</x:v>
      </x:c>
      <x:c r="C3" s="1" t="str">
        <x:f>CHOOSE('Параметры'!$B$3,C6,C7,C8,C9,C10,C11,C12,C13,C14,C15,C16,C17,C18,C19,C20,C21,C22,C23,C24,C25,C26,C27,C28,C29,C30,C31,C32,C33,C34,C35,C36,C37,C38,C39,C40)</x:f>
        <x:v>stock</x:v>
      </x:c>
      <x:c r="D3" s="21">
        <x:f>CHOOSE('Параметры'!$B$3,D6,D7,D8,D9,D10,D11,D12,D13,D14,D15,D16,D17,D18,D19,D20,D21,D22,D23,D24,D25,D26,D27,D28,D29,D30,D31,D32,D33,D34,D35,D36,D37,D38,D39,D40)</x:f>
        <x:v>44000000</x:v>
      </x:c>
      <x:c r="E3" s="21">
        <x:f>CHOOSE('Параметры'!$B$3,E6,E7,E8,E9,E10,E11,E12,E13,E14,E15,E16,E17,E18,E19,E20,E21,E22,E23,E24,E25,E26,E27,E28,E29,E30,E31,E32,E33,E34,E35,E36,E37,E38,E39,E40)</x:f>
        <x:v>84000000</x:v>
      </x:c>
      <x:c r="F3" s="8">
        <x:f>CHOOSE('Параметры'!$B$3,F6,F7,F8,F9,F10,F11,F12,F13,F14,F15,F16,F17,F18,F19,F20,F21,F22,F23,F24,F25,F26,F27,F28,F29,F30,F31,F32,F33,F34,F35,F36,F37,F38,F39,F40)</x:f>
        <x:v>0.27999999999999997</x:v>
      </x:c>
      <x:c r="G3" s="8">
        <x:f>CHOOSE('Параметры'!$B$3,G6,G7,G8,G9,G10,G11,G12,G13,G14,G15,G16,G17,G18,G19,G20,G21,G22,G23,G24,G25,G26,G27,G28,G29,G30,G31,G32,G33,G34,G35,G36,G37,G38,G39,G40)</x:f>
        <x:v>0.12</x:v>
      </x:c>
      <x:c r="H3" s="8">
        <x:f>CHOOSE('Параметры'!$B$3,H6,H7,H8,H9,H10,H11,H12,H13,H14,H15,H16,H17,H18,H19,H20,H21,H22,H23,H24,H25,H26,H27,H28,H29,H30,H31,H32,H33,H34,H35,H36,H37,H38,H39,H40)</x:f>
        <x:v>0.17999999999999999</x:v>
      </x:c>
      <x:c r="I3" s="8">
        <x:f>CHOOSE('Параметры'!$B$3,I6,I7,I8,I9,I10,I11,I12,I13,I14,I15,I16,I17,I18,I19,I20,I21,I22,I23,I24,I25,I26,I27,I28,I29,I30,I31,I32,I33,I34,I35,I36,I37,I38,I39,I40)</x:f>
        <x:v>0.41999999999999998</x:v>
      </x:c>
      <x:c r="J3" s="8">
        <x:f>CHOOSE('Параметры'!$B$3,J6,J7,J8,J9,J10,J11,J12,J13,J14,J15,J16,J17,J18,J19,J20,J21,J22,J23,J24,J25,J26,J27,J28,J29,J30,J31,J32,J33,J34,J35,J36,J37,J38,J39,J40)</x:f>
        <x:v>0.14999999999999999</x:v>
      </x:c>
      <x:c r="K3" s="8">
        <x:f>CHOOSE('Параметры'!$B$3,K6,K7,K8,K9,K10,K11,K12,K13,K14,K15,K16,K17,K18,K19,K20,K21,K22,K23,K24,K25,K26,K27,K28,K29,K30,K31,K32,K33,K34,K35,K36,K37,K38,K39,K40)</x:f>
        <x:v>0.23099999999999998</x:v>
      </x:c>
      <x:c r="L3" s="1">
        <x:f>CHOOSE('Параметры'!$B$3,L6,L7,L8,L9,L10,L11,L12,L13,L14,L15,L16,L17,L18,L19,L20,L21,L22,L23,L24,L25,L26,L27,L28,L29,L30,L31,L32,L33,L34,L35,L36,L37,L38,L39,L40)</x:f>
        <x:v>2</x:v>
      </x:c>
      <x:c r="M3" s="8">
        <x:f>CHOOSE('Параметры'!$B$3,M6,M7,M8,M9,M10,M11,M12,M13,M14,M15,M16,M17,M18,M19,M20,M21,M22,M23,M24,M25,M26,M27,M28,M29,M30,M31,M32,M33,M34,M35,M36,M37,M38,M39,M40)</x:f>
        <x:v>0.5</x:v>
      </x:c>
      <x:c r="N3" s="8">
        <x:f>CHOOSE('Параметры'!$B$3,N6,N7,N8,N9,N10,N11,N12,N13,N14,N15,N16,N17,N18,N19,N20,N21,N22,N23,N24,N25,N26,N27,N28,N29,N30,N31,N32,N33,N34,N35,N36,N37,N38,N39,N40)</x:f>
        <x:v>0.80000000000000004</x:v>
      </x:c>
      <x:c r="O3" s="1">
        <x:f>CHOOSE('Параметры'!$B$3,O6,O7,O8,O9,O10,O11,O12,O13,O14,O15,O16,O17,O18,O19,O20,O21,O22,O23,O24,O25,O26,O27,O28,O29,O30,O31,O32,O33,O34,O35,O36,O37,O38,O39,O40)</x:f>
        <x:v>1</x:v>
      </x:c>
      <x:c r="P3" s="8">
        <x:f>CHOOSE('Параметры'!$B$3,P6,P7,P8,P9,P10,P11,P12,P13,P14,P15,P16,P17,P18,P19,P20,P21,P22,P23,P24,P25,P26,P27,P28,P29,P30,P31,P32,P33,P34,P35,P36,P37,P38,P39,P40)</x:f>
        <x:v>0.25</x:v>
      </x:c>
      <x:c r="Q3" s="8">
        <x:f>CHOOSE('Параметры'!$B$3,Q6,Q7,Q8,Q9,Q10,Q11,Q12,Q13,Q14,Q15,Q16,Q17,Q18,Q19,Q20,Q21,Q22,Q23,Q24,Q25,Q26,Q27,Q28,Q29,Q30,Q31,Q32,Q33,Q34,Q35,Q36,Q37,Q38,Q39,Q40)</x:f>
        <x:v>0.25</x:v>
      </x:c>
      <x:c r="R3" s="8">
        <x:f>CHOOSE('Параметры'!$B$3,R6,R7,R8,R9,R10,R11,R12,R13,R14,R15,R16,R17,R18,R19,R20,R21,R22,R23,R24,R25,R26,R27,R28,R29,R30,R31,R32,R33,R34,R35,R36,R37,R38,R39,R40)</x:f>
        <x:v>0</x:v>
      </x:c>
      <x:c r="S3" s="8">
        <x:f>CHOOSE('Параметры'!$B$3,S6,S7,S8,S9,S10,S11,S12,S13,S14,S15,S16,S17,S18,S19,S20,S21,S22,S23,S24,S25,S26,S27,S28,S29,S30,S31,S32,S33,S34,S35,S36,S37,S38,S39,S40)</x:f>
        <x:v>0</x:v>
      </x:c>
      <x:c r="T3" s="8">
        <x:f>CHOOSE('Параметры'!$B$3,T6,T7,T8,T9,T10,T11,T12,T13,T14,T15,T16,T17,T18,T19,T20,T21,T22,T23,T24,T25,T26,T27,T28,T29,T30,T31,T32,T33,T34,T35,T36,T37,T38,T39,T40)</x:f>
        <x:v>0</x:v>
      </x:c>
      <x:c r="U3" s="1">
        <x:f>CHOOSE('Параметры'!$B$3,U6,U7,U8,U9,U10,U11,U12,U13,U14,U15,U16,U17,U18,U19,U20,U21,U22,U23,U24,U25,U26,U27,U28,U29,U30,U31,U32,U33,U34,U35,U36,U37,U38,U39,U40)</x:f>
        <x:v>1</x:v>
      </x:c>
      <x:c r="V3" s="1">
        <x:f>CHOOSE('Параметры'!$B$3,V6,V7,V8,V9,V10,V11,V12,V13,V14,V15,V16,V17,V18,V19,V20,V21,V22,V23,V24,V25,V26,V27,V28,V29,V30,V31,V32,V33,V34,V35,V36,V37,V38,V39,V40)</x:f>
        <x:v>1</x:v>
      </x:c>
      <x:c r="W3" s="1" t="str">
        <x:f>CHOOSE('Параметры'!$B$3,W6,W7,W8,W9,W10,W11,W12,W13,W14,W15,W16,W17,W18,W19,W20,W21,W22,W23,W24,W25,W26,W27,W28,W29,W30,W31,W32,W33,W34,W35,W36,W37,W38,W39,W40)</x:f>
        <x:v>40+ SKU; F threshold unknown</x:v>
      </x:c>
      <x:c r="X3" s="1">
        <x:f>CHOOSE('Параметры'!$B$3,X6,X7,X8,X9,X10,X11,X12,X13,X14,X15,X16,X17,X18,X19,X20,X21,X22,X23,X24,X25,X26,X27,X28,X29,X30,X31,X32,X33,X34,X35,X36,X37,X38,X39,X40)</x:f>
        <x:v>1.5</x:v>
      </x:c>
      <x:c r="Y3" s="1">
        <x:f>CHOOSE('Параметры'!$B$3,Y6,Y7,Y8,Y9,Y10,Y11,Y12,Y13,Y14,Y15,Y16,Y17,Y18,Y19,Y20,Y21,Y22,Y23,Y24,Y25,Y26,Y27,Y28,Y29,Y30,Y31,Y32,Y33,Y34,Y35,Y36,Y37,Y38,Y39,Y40)</x:f>
        <x:v>0.20000000000000001</x:v>
      </x:c>
      <x:c r="Z3" s="1">
        <x:f>CHOOSE('Параметры'!$B$3,Z6,Z7,Z8,Z9,Z10,Z11,Z12,Z13,Z14,Z15,Z16,Z17,Z18,Z19,Z20,Z21,Z22,Z23,Z24,Z25,Z26,Z27,Z28,Z29,Z30,Z31,Z32,Z33,Z34,Z35,Z36,Z37,Z38,Z39,Z40)</x:f>
        <x:v>1</x:v>
      </x:c>
      <x:c r="AA3" s="1">
        <x:f>CHOOSE('Параметры'!$B$3,AA6,AA7,AA8,AA9,AA10,AA11,AA12,AA13,AA14,AA15,AA16,AA17,AA18,AA19,AA20,AA21,AA22,AA23,AA24,AA25,AA26,AA27,AA28,AA29,AA30,AA31,AA32,AA33,AA34,AA35,AA36,AA37,AA38,AA39,AA40)</x:f>
        <x:v>0.29999999999999999</x:v>
      </x:c>
      <x:c r="AB3" s="1">
        <x:f>CHOOSE('Параметры'!$B$3,AB6,AB7,AB8,AB9,AB10,AB11,AB12,AB13,AB14,AB15,AB16,AB17,AB18,AB19,AB20,AB21,AB22,AB23,AB24,AB25,AB26,AB27,AB28,AB29,AB30,AB31,AB32,AB33,AB34,AB35,AB36,AB37,AB38,AB39,AB40)</x:f>
        <x:v>0.40000000000000002</x:v>
      </x:c>
      <x:c r="AC3" s="1">
        <x:f>CHOOSE('Параметры'!$B$3,AC6,AC7,AC8,AC9,AC10,AC11,AC12,AC13,AC14,AC15,AC16,AC17,AC18,AC19,AC20,AC21,AC22,AC23,AC24,AC25,AC26,AC27,AC28,AC29,AC30,AC31,AC32,AC33,AC34,AC35,AC36,AC37,AC38,AC39,AC40)</x:f>
        <x:v>1</x:v>
      </x:c>
    </x:row>
    <x:row r="4" ht="26" customHeight="1">
      <x:c r="A4" s="1"/>
      <x:c r="B4" s="1"/>
      <x:c r="C4" s="1"/>
      <x:c r="D4" s="1"/>
      <x:c r="E4" s="1"/>
      <x:c r="F4" s="1"/>
      <x:c r="G4" s="1"/>
      <x:c r="H4" s="1"/>
      <x:c r="I4" s="1"/>
      <x:c r="J4" s="1"/>
      <x:c r="K4" s="1"/>
      <x:c r="L4" s="1"/>
      <x:c r="M4" s="1"/>
      <x:c r="N4" s="1"/>
      <x:c r="O4" s="1"/>
      <x:c r="P4" s="1"/>
      <x:c r="Q4" s="1"/>
      <x:c r="R4" s="1"/>
      <x:c r="S4" s="1"/>
      <x:c r="T4" s="1"/>
      <x:c r="U4" s="1"/>
      <x:c r="V4" s="1"/>
      <x:c r="W4" s="1"/>
      <x:c r="X4" s="1"/>
      <x:c r="Y4" s="1"/>
      <x:c r="Z4" s="1"/>
      <x:c r="AA4" s="1"/>
      <x:c r="AB4" s="1"/>
      <x:c r="AC4" s="1"/>
    </x:row>
    <x:row r="5" ht="62" customHeight="1">
      <x:c r="A5" s="52" t="str">
        <x:v>№</x:v>
      </x:c>
      <x:c r="B5" s="52" t="str">
        <x:v>Сценарий</x:v>
      </x:c>
      <x:c r="C5" s="52" t="str">
        <x:v>Тип</x:v>
      </x:c>
      <x:c r="D5" s="52" t="str">
        <x:v>DAU</x:v>
      </x:c>
      <x:c r="E5" s="52" t="str">
        <x:v>MAU</x:v>
      </x:c>
      <x:c r="F5" s="52" t="str">
        <x:v>S1</x:v>
      </x:c>
      <x:c r="G5" s="52" t="str">
        <x:v>S2</x:v>
      </x:c>
      <x:c r="H5" s="52" t="str">
        <x:v>S3</x:v>
      </x:c>
      <x:c r="I5" s="52" t="str">
        <x:v>S4</x:v>
      </x:c>
      <x:c r="J5" s="52" t="str">
        <x:v>Global CR: ввод</x:v>
      </x:c>
      <x:c r="K5" s="52" t="str">
        <x:v>CR китов</x:v>
      </x:c>
      <x:c r="L5" s="52" t="str">
        <x:v>Якорь 1/2</x:v>
      </x:c>
      <x:c r="M5" s="52" t="str">
        <x:v>Владельцы F в малом F</x:v>
      </x:c>
      <x:c r="N5" s="52" t="str">
        <x:v>P(C | F-визит)</x:v>
      </x:c>
      <x:c r="O5" s="52" t="str">
        <x:v>Множитель охвата</x:v>
      </x:c>
      <x:c r="P5" s="52" t="str">
        <x:v>Штраф поведения</x:v>
      </x:c>
      <x:c r="Q5" s="52" t="str">
        <x:v>Штраф продукта</x:v>
      </x:c>
      <x:c r="R5" s="52" t="str">
        <x:v>Потеря CR C</x:v>
      </x:c>
      <x:c r="S5" s="52" t="str">
        <x:v>Потеря CR F</x:v>
      </x:c>
      <x:c r="T5" s="52" t="str">
        <x:v>Δ дохода / покупателя</x:v>
      </x:c>
      <x:c r="U5" s="52" t="str">
        <x:v>Доход / покупателя, у.е.</x:v>
      </x:c>
      <x:c r="V5" s="52" t="str">
        <x:v>Условия Ozon 1/0</x:v>
      </x:c>
      <x:c r="W5" s="52" t="str">
        <x:v>Порог размеров Корзины</x:v>
      </x:c>
      <x:c r="X5" s="52" t="inlineStr">
        <x:is>
          <x:t>Справочно: вес C S1</x:t>
        </x:is>
      </x:c>
      <x:c r="Y5" s="52" t="inlineStr">
        <x:is>
          <x:t>Справочно: вес F S1</x:t>
        </x:is>
      </x:c>
      <x:c r="Z5" s="52" t="inlineStr">
        <x:is>
          <x:t>Справочно: вес оба S1</x:t>
        </x:is>
      </x:c>
      <x:c r="AA5" s="52" t="inlineStr">
        <x:is>
          <x:t>Справочно: вес вне S1</x:t>
        </x:is>
      </x:c>
      <x:c r="AB5" s="52" t="str">
        <x:v>Потребность H1 среди 40+</x:v>
      </x:c>
      <x:c r="AC5" s="52" t="str">
        <x:v>Множитель охвата H4</x:v>
      </x:c>
    </x:row>
    <x:row r="6" ht="26" customHeight="1">
      <x:c r="A6" s="1">
        <x:v>1</x:v>
      </x:c>
      <x:c r="B6" s="1" t="inlineStr">
        <x:is>
          <x:t>Мало китов</x:t>
        </x:is>
      </x:c>
      <x:c r="C6" s="1" t="inlineStr">
        <x:is>
          <x:t>control</x:t>
        </x:is>
      </x:c>
      <x:c r="D6" s="21">
        <x:v>100000</x:v>
      </x:c>
      <x:c r="E6" s="21">
        <x:v>400000</x:v>
      </x:c>
      <x:c r="F6" s="53">
        <x:f>'Параметры'!C15</x:f>
        <x:v>0.10000000000000001</x:v>
      </x:c>
      <x:c r="G6" s="53">
        <x:f>'Параметры'!C16</x:f>
        <x:v>0.14999999999999999</x:v>
      </x:c>
      <x:c r="H6" s="53">
        <x:f>'Параметры'!C17</x:f>
        <x:v>0.34999999999999998</x:v>
      </x:c>
      <x:c r="I6" s="53">
        <x:f>'Параметры'!C18</x:f>
        <x:v>0.40000000000000002</x:v>
      </x:c>
      <x:c r="J6" s="53">
        <x:f>'Параметры'!C20</x:f>
        <x:v>0.12</x:v>
      </x:c>
      <x:c r="K6" s="53">
        <x:f>'Параметры'!C19</x:f>
        <x:v>0.25</x:v>
      </x:c>
      <x:c r="L6" s="54">
        <x:v>1</x:v>
      </x:c>
      <x:c r="M6" s="53">
        <x:f>'Параметры'!C21</x:f>
        <x:v>0.59999999999999998</x:v>
      </x:c>
      <x:c r="N6" s="53">
        <x:v>0.80000000000000004</x:v>
      </x:c>
      <x:c r="O6" s="54">
        <x:v>1</x:v>
      </x:c>
      <x:c r="P6" s="53">
        <x:v>0.25</x:v>
      </x:c>
      <x:c r="Q6" s="53">
        <x:v>0.25</x:v>
      </x:c>
      <x:c r="R6" s="53">
        <x:v>0</x:v>
      </x:c>
      <x:c r="S6" s="53">
        <x:v>0</x:v>
      </x:c>
      <x:c r="T6" s="53">
        <x:v>0</x:v>
      </x:c>
      <x:c r="U6" s="54">
        <x:v>1000</x:v>
      </x:c>
      <x:c r="V6" s="1">
        <x:v>1</x:v>
      </x:c>
      <x:c r="W6" s="1" t="inlineStr">
        <x:is>
          <x:t>Legacy undefined cohort thresholds</x:t>
        </x:is>
      </x:c>
      <x:c r="X6" s="1">
        <x:f>'Входы H'!N5</x:f>
        <x:v>1.5</x:v>
      </x:c>
      <x:c r="Y6" s="1">
        <x:f>'Входы H'!O5</x:f>
        <x:v>0.20000000000000001</x:v>
      </x:c>
      <x:c r="Z6" s="1">
        <x:f>'Входы H'!P5</x:f>
        <x:v>1</x:v>
      </x:c>
      <x:c r="AA6" s="1">
        <x:f>'Входы H'!Q5</x:f>
        <x:v>0.29999999999999999</x:v>
      </x:c>
      <x:c r="AB6" s="1">
        <x:v>0.40000000000000002</x:v>
      </x:c>
      <x:c r="AC6" s="1">
        <x:v>1</x:v>
      </x:c>
    </x:row>
    <x:row r="7" ht="26" customHeight="1">
      <x:c r="A7" s="1">
        <x:v>2</x:v>
      </x:c>
      <x:c r="B7" s="1" t="inlineStr">
        <x:is>
          <x:t>Исходный контроль</x:t>
        </x:is>
      </x:c>
      <x:c r="C7" s="1" t="inlineStr">
        <x:is>
          <x:t>control</x:t>
        </x:is>
      </x:c>
      <x:c r="D7" s="21">
        <x:v>100000</x:v>
      </x:c>
      <x:c r="E7" s="21">
        <x:v>400000</x:v>
      </x:c>
      <x:c r="F7" s="53">
        <x:f>'Параметры'!D15</x:f>
        <x:v>0.20000000000000001</x:v>
      </x:c>
      <x:c r="G7" s="53">
        <x:f>'Параметры'!D16</x:f>
        <x:v>0.20000000000000001</x:v>
      </x:c>
      <x:c r="H7" s="53">
        <x:f>'Параметры'!D17</x:f>
        <x:v>0.29999999999999999</x:v>
      </x:c>
      <x:c r="I7" s="53">
        <x:f>'Параметры'!D18</x:f>
        <x:v>0.29999999999999999</x:v>
      </x:c>
      <x:c r="J7" s="53">
        <x:f>'Параметры'!D20</x:f>
        <x:v>0.17999999999999999</x:v>
      </x:c>
      <x:c r="K7" s="53">
        <x:f>'Параметры'!D19</x:f>
        <x:v>0.29999999999999999</x:v>
      </x:c>
      <x:c r="L7" s="54">
        <x:v>1</x:v>
      </x:c>
      <x:c r="M7" s="53">
        <x:f>'Параметры'!D21</x:f>
        <x:v>0.5</x:v>
      </x:c>
      <x:c r="N7" s="53">
        <x:v>0.80000000000000004</x:v>
      </x:c>
      <x:c r="O7" s="54">
        <x:v>1</x:v>
      </x:c>
      <x:c r="P7" s="53">
        <x:v>0.25</x:v>
      </x:c>
      <x:c r="Q7" s="53">
        <x:v>0.25</x:v>
      </x:c>
      <x:c r="R7" s="53">
        <x:v>0</x:v>
      </x:c>
      <x:c r="S7" s="53">
        <x:v>0</x:v>
      </x:c>
      <x:c r="T7" s="53">
        <x:v>0</x:v>
      </x:c>
      <x:c r="U7" s="54">
        <x:v>1000</x:v>
      </x:c>
      <x:c r="V7" s="1">
        <x:v>1</x:v>
      </x:c>
      <x:c r="W7" s="1" t="inlineStr">
        <x:is>
          <x:t>Legacy undefined cohort thresholds</x:t>
        </x:is>
      </x:c>
      <x:c r="X7" s="1">
        <x:f>'Входы H'!N9</x:f>
        <x:v>1.5</x:v>
      </x:c>
      <x:c r="Y7" s="1">
        <x:f>'Входы H'!O9</x:f>
        <x:v>0.20000000000000001</x:v>
      </x:c>
      <x:c r="Z7" s="1">
        <x:f>'Входы H'!P9</x:f>
        <x:v>1</x:v>
      </x:c>
      <x:c r="AA7" s="1">
        <x:f>'Входы H'!Q9</x:f>
        <x:v>0.29999999999999999</x:v>
      </x:c>
      <x:c r="AB7" s="1">
        <x:v>0.40000000000000002</x:v>
      </x:c>
      <x:c r="AC7" s="1">
        <x:v>1</x:v>
      </x:c>
    </x:row>
    <x:row r="8" ht="26" customHeight="1">
      <x:c r="A8" s="1">
        <x:v>3</x:v>
      </x:c>
      <x:c r="B8" s="1" t="inlineStr">
        <x:is>
          <x:t>Много китов</x:t>
        </x:is>
      </x:c>
      <x:c r="C8" s="1" t="inlineStr">
        <x:is>
          <x:t>control</x:t>
        </x:is>
      </x:c>
      <x:c r="D8" s="21">
        <x:v>100000</x:v>
      </x:c>
      <x:c r="E8" s="21">
        <x:v>400000</x:v>
      </x:c>
      <x:c r="F8" s="53">
        <x:f>'Параметры'!E15</x:f>
        <x:v>0.29999999999999999</x:v>
      </x:c>
      <x:c r="G8" s="53">
        <x:f>'Параметры'!E16</x:f>
        <x:v>0.25</x:v>
      </x:c>
      <x:c r="H8" s="53">
        <x:f>'Параметры'!E17</x:f>
        <x:v>0.25</x:v>
      </x:c>
      <x:c r="I8" s="53">
        <x:f>'Параметры'!E18</x:f>
        <x:v>0.20000000000000001</x:v>
      </x:c>
      <x:c r="J8" s="53">
        <x:f>'Параметры'!E20</x:f>
        <x:v>0.25</x:v>
      </x:c>
      <x:c r="K8" s="53">
        <x:f>'Параметры'!E19</x:f>
        <x:v>0.40000000000000002</x:v>
      </x:c>
      <x:c r="L8" s="54">
        <x:v>1</x:v>
      </x:c>
      <x:c r="M8" s="53">
        <x:f>'Параметры'!E21</x:f>
        <x:v>0.40000000000000002</x:v>
      </x:c>
      <x:c r="N8" s="53">
        <x:v>0.80000000000000004</x:v>
      </x:c>
      <x:c r="O8" s="54">
        <x:v>1</x:v>
      </x:c>
      <x:c r="P8" s="53">
        <x:v>0.25</x:v>
      </x:c>
      <x:c r="Q8" s="53">
        <x:v>0.25</x:v>
      </x:c>
      <x:c r="R8" s="53">
        <x:v>0</x:v>
      </x:c>
      <x:c r="S8" s="53">
        <x:v>0</x:v>
      </x:c>
      <x:c r="T8" s="53">
        <x:v>0</x:v>
      </x:c>
      <x:c r="U8" s="54">
        <x:v>1000</x:v>
      </x:c>
      <x:c r="V8" s="1">
        <x:v>1</x:v>
      </x:c>
      <x:c r="W8" s="1" t="inlineStr">
        <x:is>
          <x:t>Legacy undefined cohort thresholds</x:t>
        </x:is>
      </x:c>
      <x:c r="X8" s="1">
        <x:f>'Входы H'!N13</x:f>
        <x:v>1.5</x:v>
      </x:c>
      <x:c r="Y8" s="1">
        <x:f>'Входы H'!O13</x:f>
        <x:v>0.20000000000000001</x:v>
      </x:c>
      <x:c r="Z8" s="1">
        <x:f>'Входы H'!P13</x:f>
        <x:v>1</x:v>
      </x:c>
      <x:c r="AA8" s="1">
        <x:f>'Входы H'!Q13</x:f>
        <x:v>0.29999999999999999</x:v>
      </x:c>
      <x:c r="AB8" s="1">
        <x:v>0.40000000000000002</x:v>
      </x:c>
      <x:c r="AC8" s="1">
        <x:v>1</x:v>
      </x:c>
    </x:row>
    <x:row r="9" ht="26" customHeight="1">
      <x:c r="A9" s="1">
        <x:v>4</x:v>
      </x:c>
      <x:c r="B9" s="1" t="inlineStr">
        <x:is>
          <x:t>Корзины 40+: 11%</x:t>
        </x:is>
      </x:c>
      <x:c r="C9" s="1" t="inlineStr">
        <x:is>
          <x:t>stock</x:t>
        </x:is>
      </x:c>
      <x:c r="D9" s="21">
        <x:v>44000000</x:v>
      </x:c>
      <x:c r="E9" s="21">
        <x:v>84000000</x:v>
      </x:c>
      <x:c r="F9" s="53">
        <x:v>0.35600000000000004</x:v>
      </x:c>
      <x:c r="G9" s="53">
        <x:v>0.044000000000000004</x:v>
      </x:c>
      <x:c r="H9" s="53">
        <x:v>0.066000000000000003</x:v>
      </x:c>
      <x:c r="I9" s="53">
        <x:v>0.53400000000000003</x:v>
      </x:c>
      <x:c r="J9" s="53">
        <x:v>0.14999999999999999</x:v>
      </x:c>
      <x:c r="K9" s="53">
        <x:v>0.21389999999999998</x:v>
      </x:c>
      <x:c r="L9" s="54">
        <x:v>2</x:v>
      </x:c>
      <x:c r="M9" s="53">
        <x:v>0.49999999999999983</x:v>
      </x:c>
      <x:c r="N9" s="53">
        <x:v>0.80000000000000004</x:v>
      </x:c>
      <x:c r="O9" s="54">
        <x:v>1</x:v>
      </x:c>
      <x:c r="P9" s="53">
        <x:v>0.25</x:v>
      </x:c>
      <x:c r="Q9" s="53">
        <x:v>0.25</x:v>
      </x:c>
      <x:c r="R9" s="53">
        <x:v>0</x:v>
      </x:c>
      <x:c r="S9" s="53">
        <x:v>0</x:v>
      </x:c>
      <x:c r="T9" s="53">
        <x:v>0</x:v>
      </x:c>
      <x:c r="U9" s="54">
        <x:v>1</x:v>
      </x:c>
      <x:c r="V9" s="1">
        <x:v>1</x:v>
      </x:c>
      <x:c r="W9" s="1" t="inlineStr">
        <x:is>
          <x:t>40+ SKU; F threshold unknown</x:t>
        </x:is>
      </x:c>
      <x:c r="X9" s="1">
        <x:f>'Входы H'!N17</x:f>
        <x:v>1.5</x:v>
      </x:c>
      <x:c r="Y9" s="1">
        <x:f>'Входы H'!O17</x:f>
        <x:v>0.20000000000000001</x:v>
      </x:c>
      <x:c r="Z9" s="1">
        <x:f>'Входы H'!P17</x:f>
        <x:v>1</x:v>
      </x:c>
      <x:c r="AA9" s="1">
        <x:f>'Входы H'!Q17</x:f>
        <x:v>0.29999999999999999</x:v>
      </x:c>
      <x:c r="AB9" s="1">
        <x:v>0.40000000000000002</x:v>
      </x:c>
      <x:c r="AC9" s="1">
        <x:v>1</x:v>
      </x:c>
    </x:row>
    <x:row r="10" ht="26" customHeight="1">
      <x:c r="A10" s="1">
        <x:v>5</x:v>
      </x:c>
      <x:c r="B10" s="1" t="inlineStr">
        <x:is>
          <x:t>Корзины 40+: 20%</x:t>
        </x:is>
      </x:c>
      <x:c r="C10" s="1" t="inlineStr">
        <x:is>
          <x:t>stock</x:t>
        </x:is>
      </x:c>
      <x:c r="D10" s="21">
        <x:v>44000000</x:v>
      </x:c>
      <x:c r="E10" s="21">
        <x:v>84000000</x:v>
      </x:c>
      <x:c r="F10" s="53">
        <x:v>0.32000000000000006</x:v>
      </x:c>
      <x:c r="G10" s="53">
        <x:v>0.080000000000000016</x:v>
      </x:c>
      <x:c r="H10" s="53">
        <x:v>0.12</x:v>
      </x:c>
      <x:c r="I10" s="53">
        <x:v>0.47999999999999998</x:v>
      </x:c>
      <x:c r="J10" s="53">
        <x:v>0.14999999999999999</x:v>
      </x:c>
      <x:c r="K10" s="53">
        <x:v>0.22199999999999998</x:v>
      </x:c>
      <x:c r="L10" s="54">
        <x:v>2</x:v>
      </x:c>
      <x:c r="M10" s="53">
        <x:v>0.49999999999999983</x:v>
      </x:c>
      <x:c r="N10" s="53">
        <x:v>0.80000000000000004</x:v>
      </x:c>
      <x:c r="O10" s="54">
        <x:v>1</x:v>
      </x:c>
      <x:c r="P10" s="53">
        <x:v>0.25</x:v>
      </x:c>
      <x:c r="Q10" s="53">
        <x:v>0.25</x:v>
      </x:c>
      <x:c r="R10" s="53">
        <x:v>0</x:v>
      </x:c>
      <x:c r="S10" s="53">
        <x:v>0</x:v>
      </x:c>
      <x:c r="T10" s="53">
        <x:v>0</x:v>
      </x:c>
      <x:c r="U10" s="54">
        <x:v>1</x:v>
      </x:c>
      <x:c r="V10" s="1">
        <x:v>1</x:v>
      </x:c>
      <x:c r="W10" s="1" t="inlineStr">
        <x:is>
          <x:t>40+ SKU; F threshold unknown</x:t>
        </x:is>
      </x:c>
      <x:c r="X10" s="1">
        <x:f>'Входы H'!N21</x:f>
        <x:v>1.5</x:v>
      </x:c>
      <x:c r="Y10" s="1">
        <x:f>'Входы H'!O21</x:f>
        <x:v>0.20000000000000001</x:v>
      </x:c>
      <x:c r="Z10" s="1">
        <x:f>'Входы H'!P21</x:f>
        <x:v>1</x:v>
      </x:c>
      <x:c r="AA10" s="1">
        <x:f>'Входы H'!Q21</x:f>
        <x:v>0.29999999999999999</x:v>
      </x:c>
      <x:c r="AB10" s="1">
        <x:v>0.40000000000000002</x:v>
      </x:c>
      <x:c r="AC10" s="1">
        <x:v>1</x:v>
      </x:c>
    </x:row>
    <x:row r="11" ht="26" customHeight="1">
      <x:c r="A11" s="1">
        <x:v>6</x:v>
      </x:c>
      <x:c r="B11" s="1" t="inlineStr">
        <x:is>
          <x:t>Корзины 40+: 30%</x:t>
        </x:is>
      </x:c>
      <x:c r="C11" s="1" t="inlineStr">
        <x:is>
          <x:t>stock</x:t>
        </x:is>
      </x:c>
      <x:c r="D11" s="21">
        <x:v>44000000</x:v>
      </x:c>
      <x:c r="E11" s="21">
        <x:v>84000000</x:v>
      </x:c>
      <x:c r="F11" s="53">
        <x:v>0.27999999999999997</x:v>
      </x:c>
      <x:c r="G11" s="53">
        <x:v>0.12</x:v>
      </x:c>
      <x:c r="H11" s="53">
        <x:v>0.17999999999999999</x:v>
      </x:c>
      <x:c r="I11" s="53">
        <x:v>0.41999999999999998</x:v>
      </x:c>
      <x:c r="J11" s="53">
        <x:v>0.14999999999999999</x:v>
      </x:c>
      <x:c r="K11" s="53">
        <x:v>0.23099999999999998</x:v>
      </x:c>
      <x:c r="L11" s="54">
        <x:v>2</x:v>
      </x:c>
      <x:c r="M11" s="53">
        <x:v>0.5</x:v>
      </x:c>
      <x:c r="N11" s="53">
        <x:v>0.80000000000000004</x:v>
      </x:c>
      <x:c r="O11" s="54">
        <x:v>1</x:v>
      </x:c>
      <x:c r="P11" s="53">
        <x:v>0.25</x:v>
      </x:c>
      <x:c r="Q11" s="53">
        <x:v>0.25</x:v>
      </x:c>
      <x:c r="R11" s="53">
        <x:v>0</x:v>
      </x:c>
      <x:c r="S11" s="53">
        <x:v>0</x:v>
      </x:c>
      <x:c r="T11" s="53">
        <x:v>0</x:v>
      </x:c>
      <x:c r="U11" s="54">
        <x:v>1</x:v>
      </x:c>
      <x:c r="V11" s="1">
        <x:v>1</x:v>
      </x:c>
      <x:c r="W11" s="1" t="inlineStr">
        <x:is>
          <x:t>40+ SKU; F threshold unknown</x:t>
        </x:is>
      </x:c>
      <x:c r="X11" s="1">
        <x:f>'Входы H'!N25</x:f>
        <x:v>1.5</x:v>
      </x:c>
      <x:c r="Y11" s="1">
        <x:f>'Входы H'!O25</x:f>
        <x:v>0.20000000000000001</x:v>
      </x:c>
      <x:c r="Z11" s="1">
        <x:f>'Входы H'!P25</x:f>
        <x:v>1</x:v>
      </x:c>
      <x:c r="AA11" s="1">
        <x:f>'Входы H'!Q25</x:f>
        <x:v>0.29999999999999999</x:v>
      </x:c>
      <x:c r="AB11" s="1">
        <x:v>0.40000000000000002</x:v>
      </x:c>
      <x:c r="AC11" s="1">
        <x:v>1</x:v>
      </x:c>
    </x:row>
    <x:row r="12" ht="26" customHeight="1">
      <x:c r="A12" s="1">
        <x:v>7</x:v>
      </x:c>
      <x:c r="B12" s="1" t="inlineStr">
        <x:is>
          <x:t>Корзины 40+: 40%</x:t>
        </x:is>
      </x:c>
      <x:c r="C12" s="1" t="inlineStr">
        <x:is>
          <x:t>stock</x:t>
        </x:is>
      </x:c>
      <x:c r="D12" s="21">
        <x:v>44000000</x:v>
      </x:c>
      <x:c r="E12" s="21">
        <x:v>84000000</x:v>
      </x:c>
      <x:c r="F12" s="53">
        <x:v>0.23999999999999999</x:v>
      </x:c>
      <x:c r="G12" s="53">
        <x:v>0.16000000000000003</x:v>
      </x:c>
      <x:c r="H12" s="53">
        <x:v>0.23999999999999999</x:v>
      </x:c>
      <x:c r="I12" s="53">
        <x:v>0.35999999999999999</x:v>
      </x:c>
      <x:c r="J12" s="53">
        <x:v>0.14999999999999999</x:v>
      </x:c>
      <x:c r="K12" s="53">
        <x:v>0.23999999999999999</x:v>
      </x:c>
      <x:c r="L12" s="54">
        <x:v>2</x:v>
      </x:c>
      <x:c r="M12" s="53">
        <x:v>0.49999999999999989</x:v>
      </x:c>
      <x:c r="N12" s="53">
        <x:v>0.80000000000000004</x:v>
      </x:c>
      <x:c r="O12" s="54">
        <x:v>1</x:v>
      </x:c>
      <x:c r="P12" s="53">
        <x:v>0.25</x:v>
      </x:c>
      <x:c r="Q12" s="53">
        <x:v>0.25</x:v>
      </x:c>
      <x:c r="R12" s="53">
        <x:v>0</x:v>
      </x:c>
      <x:c r="S12" s="53">
        <x:v>0</x:v>
      </x:c>
      <x:c r="T12" s="53">
        <x:v>0</x:v>
      </x:c>
      <x:c r="U12" s="54">
        <x:v>1</x:v>
      </x:c>
      <x:c r="V12" s="1">
        <x:v>1</x:v>
      </x:c>
      <x:c r="W12" s="1" t="inlineStr">
        <x:is>
          <x:t>40+ SKU; F threshold unknown</x:t>
        </x:is>
      </x:c>
      <x:c r="X12" s="1">
        <x:f>'Входы H'!N29</x:f>
        <x:v>1.5</x:v>
      </x:c>
      <x:c r="Y12" s="1">
        <x:f>'Входы H'!O29</x:f>
        <x:v>0.20000000000000001</x:v>
      </x:c>
      <x:c r="Z12" s="1">
        <x:f>'Входы H'!P29</x:f>
        <x:v>1</x:v>
      </x:c>
      <x:c r="AA12" s="1">
        <x:f>'Входы H'!Q29</x:f>
        <x:v>0.29999999999999999</x:v>
      </x:c>
      <x:c r="AB12" s="1">
        <x:v>0.40000000000000002</x:v>
      </x:c>
      <x:c r="AC12" s="1">
        <x:v>1</x:v>
      </x:c>
    </x:row>
    <x:row r="13" ht="26" customHeight="1">
      <x:c r="A13" s="1">
        <x:v>8</x:v>
      </x:c>
      <x:c r="B13" s="1" t="inlineStr">
        <x:is>
          <x:t>Корзины 40+: 49%</x:t>
        </x:is>
      </x:c>
      <x:c r="C13" s="1" t="inlineStr">
        <x:is>
          <x:t>stock</x:t>
        </x:is>
      </x:c>
      <x:c r="D13" s="21">
        <x:v>44000000</x:v>
      </x:c>
      <x:c r="E13" s="21">
        <x:v>84000000</x:v>
      </x:c>
      <x:c r="F13" s="53">
        <x:v>0.20400000000000001</x:v>
      </x:c>
      <x:c r="G13" s="53">
        <x:v>0.19600000000000001</x:v>
      </x:c>
      <x:c r="H13" s="53">
        <x:v>0.29399999999999998</x:v>
      </x:c>
      <x:c r="I13" s="53">
        <x:v>0.30599999999999999</x:v>
      </x:c>
      <x:c r="J13" s="53">
        <x:v>0.14999999999999999</x:v>
      </x:c>
      <x:c r="K13" s="53">
        <x:v>0.24809999999999999</x:v>
      </x:c>
      <x:c r="L13" s="54">
        <x:v>2</x:v>
      </x:c>
      <x:c r="M13" s="53">
        <x:v>0.49999999999999989</x:v>
      </x:c>
      <x:c r="N13" s="53">
        <x:v>0.80000000000000004</x:v>
      </x:c>
      <x:c r="O13" s="54">
        <x:v>1</x:v>
      </x:c>
      <x:c r="P13" s="53">
        <x:v>0.25</x:v>
      </x:c>
      <x:c r="Q13" s="53">
        <x:v>0.25</x:v>
      </x:c>
      <x:c r="R13" s="53">
        <x:v>0</x:v>
      </x:c>
      <x:c r="S13" s="53">
        <x:v>0</x:v>
      </x:c>
      <x:c r="T13" s="53">
        <x:v>0</x:v>
      </x:c>
      <x:c r="U13" s="54">
        <x:v>1</x:v>
      </x:c>
      <x:c r="V13" s="1">
        <x:v>1</x:v>
      </x:c>
      <x:c r="W13" s="1" t="inlineStr">
        <x:is>
          <x:t>40+ SKU; F threshold unknown</x:t>
        </x:is>
      </x:c>
      <x:c r="X13" s="1">
        <x:f>'Входы H'!N33</x:f>
        <x:v>1.5</x:v>
      </x:c>
      <x:c r="Y13" s="1">
        <x:f>'Входы H'!O33</x:f>
        <x:v>0.20000000000000001</x:v>
      </x:c>
      <x:c r="Z13" s="1">
        <x:f>'Входы H'!P33</x:f>
        <x:v>1</x:v>
      </x:c>
      <x:c r="AA13" s="1">
        <x:f>'Входы H'!Q33</x:f>
        <x:v>0.29999999999999999</x:v>
      </x:c>
      <x:c r="AB13" s="1">
        <x:v>0.40000000000000002</x:v>
      </x:c>
      <x:c r="AC13" s="1">
        <x:v>1</x:v>
      </x:c>
    </x:row>
    <x:row r="14" ht="26" customHeight="1">
      <x:c r="A14" s="1">
        <x:v>9</x:v>
      </x:c>
      <x:c r="B14" s="1" t="inlineStr">
        <x:is>
          <x:t>Осторожный</x:t>
        </x:is>
      </x:c>
      <x:c r="C14" s="1" t="inlineStr">
        <x:is>
          <x:t>cautious</x:t>
        </x:is>
      </x:c>
      <x:c r="D14" s="21">
        <x:v>44000000</x:v>
      </x:c>
      <x:c r="E14" s="21">
        <x:v>84000000</x:v>
      </x:c>
      <x:c r="F14" s="53">
        <x:v>0.27999999999999997</x:v>
      </x:c>
      <x:c r="G14" s="53">
        <x:v>0.12</x:v>
      </x:c>
      <x:c r="H14" s="53">
        <x:v>0.17999999999999999</x:v>
      </x:c>
      <x:c r="I14" s="53">
        <x:v>0.41999999999999998</x:v>
      </x:c>
      <x:c r="J14" s="53">
        <x:v>0.12</x:v>
      </x:c>
      <x:c r="K14" s="53">
        <x:v>0.20100000000000001</x:v>
      </x:c>
      <x:c r="L14" s="54">
        <x:v>2</x:v>
      </x:c>
      <x:c r="M14" s="53">
        <x:v>0.5</x:v>
      </x:c>
      <x:c r="N14" s="53">
        <x:v>0.80000000000000004</x:v>
      </x:c>
      <x:c r="O14" s="54">
        <x:v>0.59999999999999998</x:v>
      </x:c>
      <x:c r="P14" s="53">
        <x:v>0.5</x:v>
      </x:c>
      <x:c r="Q14" s="53">
        <x:v>0.5</x:v>
      </x:c>
      <x:c r="R14" s="53">
        <x:v>0.001</x:v>
      </x:c>
      <x:c r="S14" s="53">
        <x:v>0.002</x:v>
      </x:c>
      <x:c r="T14" s="53">
        <x:v>-0.0050000000000000001</x:v>
      </x:c>
      <x:c r="U14" s="54">
        <x:v>1</x:v>
      </x:c>
      <x:c r="V14" s="1">
        <x:v>1</x:v>
      </x:c>
      <x:c r="W14" s="1" t="inlineStr">
        <x:is>
          <x:t>40+ SKU; F threshold unknown</x:t>
        </x:is>
      </x:c>
      <x:c r="X14" s="1">
        <x:f>'Входы H'!N37</x:f>
        <x:v>1.5</x:v>
      </x:c>
      <x:c r="Y14" s="1">
        <x:f>'Входы H'!O37</x:f>
        <x:v>0.20000000000000001</x:v>
      </x:c>
      <x:c r="Z14" s="1">
        <x:f>'Входы H'!P37</x:f>
        <x:v>1</x:v>
      </x:c>
      <x:c r="AA14" s="1">
        <x:f>'Входы H'!Q37</x:f>
        <x:v>0.29999999999999999</x:v>
      </x:c>
      <x:c r="AB14" s="1">
        <x:v>0.40000000000000002</x:v>
      </x:c>
      <x:c r="AC14" s="1">
        <x:v>1</x:v>
      </x:c>
    </x:row>
    <x:row r="15" ht="26" customHeight="1">
      <x:c r="A15" s="1">
        <x:v>10</x:v>
      </x:c>
      <x:c r="B15" s="1" t="inlineStr">
        <x:is>
          <x:t>Благоприятный</x:t>
        </x:is>
      </x:c>
      <x:c r="C15" s="1" t="inlineStr">
        <x:is>
          <x:t>favorable</x:t>
        </x:is>
      </x:c>
      <x:c r="D15" s="21">
        <x:v>44000000</x:v>
      </x:c>
      <x:c r="E15" s="21">
        <x:v>84000000</x:v>
      </x:c>
      <x:c r="F15" s="53">
        <x:v>0.27999999999999997</x:v>
      </x:c>
      <x:c r="G15" s="53">
        <x:v>0.12</x:v>
      </x:c>
      <x:c r="H15" s="53">
        <x:v>0.17999999999999999</x:v>
      </x:c>
      <x:c r="I15" s="53">
        <x:v>0.41999999999999998</x:v>
      </x:c>
      <x:c r="J15" s="53">
        <x:v>0.17999999999999999</x:v>
      </x:c>
      <x:c r="K15" s="53">
        <x:v>0.26100000000000001</x:v>
      </x:c>
      <x:c r="L15" s="54">
        <x:v>2</x:v>
      </x:c>
      <x:c r="M15" s="53">
        <x:v>0.5</x:v>
      </x:c>
      <x:c r="N15" s="53">
        <x:v>0.80000000000000004</x:v>
      </x:c>
      <x:c r="O15" s="54">
        <x:v>1.25</x:v>
      </x:c>
      <x:c r="P15" s="53">
        <x:v>0</x:v>
      </x:c>
      <x:c r="Q15" s="53">
        <x:v>0</x:v>
      </x:c>
      <x:c r="R15" s="53">
        <x:v>0</x:v>
      </x:c>
      <x:c r="S15" s="53">
        <x:v>0</x:v>
      </x:c>
      <x:c r="T15" s="53">
        <x:v>0</x:v>
      </x:c>
      <x:c r="U15" s="54">
        <x:v>1</x:v>
      </x:c>
      <x:c r="V15" s="1">
        <x:v>1</x:v>
      </x:c>
      <x:c r="W15" s="1" t="inlineStr">
        <x:is>
          <x:t>40+ SKU; F threshold unknown</x:t>
        </x:is>
      </x:c>
      <x:c r="X15" s="1">
        <x:f>'Входы H'!N41</x:f>
        <x:v>1.5</x:v>
      </x:c>
      <x:c r="Y15" s="1">
        <x:f>'Входы H'!O41</x:f>
        <x:v>0.20000000000000001</x:v>
      </x:c>
      <x:c r="Z15" s="1">
        <x:f>'Входы H'!P41</x:f>
        <x:v>1</x:v>
      </x:c>
      <x:c r="AA15" s="1">
        <x:f>'Входы H'!Q41</x:f>
        <x:v>0.29999999999999999</x:v>
      </x:c>
      <x:c r="AB15" s="1">
        <x:v>0.40000000000000002</x:v>
      </x:c>
      <x:c r="AC15" s="1">
        <x:v>1</x:v>
      </x:c>
    </x:row>
    <x:row r="16" ht="26" customHeight="1">
      <x:c r="A16" s="1">
        <x:v>11</x:v>
      </x:c>
      <x:c r="B16" s="1" t="inlineStr">
        <x:is>
          <x:t>Нулевая польза</x:t>
        </x:is>
      </x:c>
      <x:c r="C16" s="1" t="inlineStr">
        <x:is>
          <x:t>zero</x:t>
        </x:is>
      </x:c>
      <x:c r="D16" s="21">
        <x:v>44000000</x:v>
      </x:c>
      <x:c r="E16" s="21">
        <x:v>84000000</x:v>
      </x:c>
      <x:c r="F16" s="53">
        <x:v>0.27999999999999997</x:v>
      </x:c>
      <x:c r="G16" s="53">
        <x:v>0.12</x:v>
      </x:c>
      <x:c r="H16" s="53">
        <x:v>0.17999999999999999</x:v>
      </x:c>
      <x:c r="I16" s="53">
        <x:v>0.41999999999999998</x:v>
      </x:c>
      <x:c r="J16" s="53">
        <x:v>0.14999999999999999</x:v>
      </x:c>
      <x:c r="K16" s="53">
        <x:v>0.23099999999999998</x:v>
      </x:c>
      <x:c r="L16" s="54">
        <x:v>2</x:v>
      </x:c>
      <x:c r="M16" s="53">
        <x:v>0.5</x:v>
      </x:c>
      <x:c r="N16" s="53">
        <x:v>0.80000000000000004</x:v>
      </x:c>
      <x:c r="O16" s="54">
        <x:v>1</x:v>
      </x:c>
      <x:c r="P16" s="53">
        <x:v>1</x:v>
      </x:c>
      <x:c r="Q16" s="53">
        <x:v>0.25</x:v>
      </x:c>
      <x:c r="R16" s="53">
        <x:v>0</x:v>
      </x:c>
      <x:c r="S16" s="53">
        <x:v>0</x:v>
      </x:c>
      <x:c r="T16" s="53">
        <x:v>0</x:v>
      </x:c>
      <x:c r="U16" s="54">
        <x:v>1</x:v>
      </x:c>
      <x:c r="V16" s="1">
        <x:v>1</x:v>
      </x:c>
      <x:c r="W16" s="1" t="inlineStr">
        <x:is>
          <x:t>40+ SKU; F threshold unknown</x:t>
        </x:is>
      </x:c>
      <x:c r="X16" s="1">
        <x:f>'Входы H'!N45</x:f>
        <x:v>1.5</x:v>
      </x:c>
      <x:c r="Y16" s="1">
        <x:f>'Входы H'!O45</x:f>
        <x:v>0.20000000000000001</x:v>
      </x:c>
      <x:c r="Z16" s="1">
        <x:f>'Входы H'!P45</x:f>
        <x:v>1</x:v>
      </x:c>
      <x:c r="AA16" s="1">
        <x:f>'Входы H'!Q45</x:f>
        <x:v>0.29999999999999999</x:v>
      </x:c>
      <x:c r="AB16" s="1">
        <x:v>0.40000000000000002</x:v>
      </x:c>
      <x:c r="AC16" s="1">
        <x:v>1</x:v>
      </x:c>
    </x:row>
    <x:row r="17" ht="26" customHeight="1">
      <x:c r="A17" s="1">
        <x:v>12</x:v>
      </x:c>
      <x:c r="B17" s="1" t="inlineStr">
        <x:is>
          <x:t>Ущерб CR Корзины 0,5%</x:t>
        </x:is>
      </x:c>
      <x:c r="C17" s="1" t="inlineStr">
        <x:is>
          <x:t>negative</x:t>
        </x:is>
      </x:c>
      <x:c r="D17" s="21">
        <x:v>44000000</x:v>
      </x:c>
      <x:c r="E17" s="21">
        <x:v>84000000</x:v>
      </x:c>
      <x:c r="F17" s="53">
        <x:v>0.27999999999999997</x:v>
      </x:c>
      <x:c r="G17" s="53">
        <x:v>0.12</x:v>
      </x:c>
      <x:c r="H17" s="53">
        <x:v>0.17999999999999999</x:v>
      </x:c>
      <x:c r="I17" s="53">
        <x:v>0.41999999999999998</x:v>
      </x:c>
      <x:c r="J17" s="53">
        <x:v>0.14999999999999999</x:v>
      </x:c>
      <x:c r="K17" s="53">
        <x:v>0.23099999999999998</x:v>
      </x:c>
      <x:c r="L17" s="54">
        <x:v>2</x:v>
      </x:c>
      <x:c r="M17" s="53">
        <x:v>0.5</x:v>
      </x:c>
      <x:c r="N17" s="53">
        <x:v>0.80000000000000004</x:v>
      </x:c>
      <x:c r="O17" s="54">
        <x:v>1</x:v>
      </x:c>
      <x:c r="P17" s="53">
        <x:v>0.25</x:v>
      </x:c>
      <x:c r="Q17" s="53">
        <x:v>0.25</x:v>
      </x:c>
      <x:c r="R17" s="53">
        <x:v>0.0050000000000000001</x:v>
      </x:c>
      <x:c r="S17" s="53">
        <x:v>0</x:v>
      </x:c>
      <x:c r="T17" s="53">
        <x:v>0</x:v>
      </x:c>
      <x:c r="U17" s="54">
        <x:v>1</x:v>
      </x:c>
      <x:c r="V17" s="1">
        <x:v>1</x:v>
      </x:c>
      <x:c r="W17" s="1" t="inlineStr">
        <x:is>
          <x:t>40+ SKU; F threshold unknown</x:t>
        </x:is>
      </x:c>
      <x:c r="X17" s="1">
        <x:f>'Входы H'!N49</x:f>
        <x:v>1.5</x:v>
      </x:c>
      <x:c r="Y17" s="1">
        <x:f>'Входы H'!O49</x:f>
        <x:v>0.20000000000000001</x:v>
      </x:c>
      <x:c r="Z17" s="1">
        <x:f>'Входы H'!P49</x:f>
        <x:v>1</x:v>
      </x:c>
      <x:c r="AA17" s="1">
        <x:f>'Входы H'!Q49</x:f>
        <x:v>0.29999999999999999</x:v>
      </x:c>
      <x:c r="AB17" s="1">
        <x:v>0.40000000000000002</x:v>
      </x:c>
      <x:c r="AC17" s="1">
        <x:v>1</x:v>
      </x:c>
    </x:row>
    <x:row r="18" ht="26" customHeight="1">
      <x:c r="A18" s="1">
        <x:v>13</x:v>
      </x:c>
      <x:c r="B18" s="1" t="inlineStr">
        <x:is>
          <x:t>Ущерб CR Избранного 3%</x:t>
        </x:is>
      </x:c>
      <x:c r="C18" s="1" t="inlineStr">
        <x:is>
          <x:t>negative</x:t>
        </x:is>
      </x:c>
      <x:c r="D18" s="21">
        <x:v>44000000</x:v>
      </x:c>
      <x:c r="E18" s="21">
        <x:v>84000000</x:v>
      </x:c>
      <x:c r="F18" s="53">
        <x:v>0.27999999999999997</x:v>
      </x:c>
      <x:c r="G18" s="53">
        <x:v>0.12</x:v>
      </x:c>
      <x:c r="H18" s="53">
        <x:v>0.17999999999999999</x:v>
      </x:c>
      <x:c r="I18" s="53">
        <x:v>0.41999999999999998</x:v>
      </x:c>
      <x:c r="J18" s="53">
        <x:v>0.14999999999999999</x:v>
      </x:c>
      <x:c r="K18" s="53">
        <x:v>0.23099999999999998</x:v>
      </x:c>
      <x:c r="L18" s="54">
        <x:v>2</x:v>
      </x:c>
      <x:c r="M18" s="53">
        <x:v>0.5</x:v>
      </x:c>
      <x:c r="N18" s="53">
        <x:v>0.80000000000000004</x:v>
      </x:c>
      <x:c r="O18" s="54">
        <x:v>1</x:v>
      </x:c>
      <x:c r="P18" s="53">
        <x:v>0.25</x:v>
      </x:c>
      <x:c r="Q18" s="53">
        <x:v>0.25</x:v>
      </x:c>
      <x:c r="R18" s="53">
        <x:v>0</x:v>
      </x:c>
      <x:c r="S18" s="53">
        <x:v>0.029999999999999999</x:v>
      </x:c>
      <x:c r="T18" s="53">
        <x:v>0</x:v>
      </x:c>
      <x:c r="U18" s="54">
        <x:v>1</x:v>
      </x:c>
      <x:c r="V18" s="1">
        <x:v>1</x:v>
      </x:c>
      <x:c r="W18" s="1" t="inlineStr">
        <x:is>
          <x:t>40+ SKU; F threshold unknown</x:t>
        </x:is>
      </x:c>
      <x:c r="X18" s="1">
        <x:f>'Входы H'!N53</x:f>
        <x:v>1.5</x:v>
      </x:c>
      <x:c r="Y18" s="1">
        <x:f>'Входы H'!O53</x:f>
        <x:v>0.20000000000000001</x:v>
      </x:c>
      <x:c r="Z18" s="1">
        <x:f>'Входы H'!P53</x:f>
        <x:v>1</x:v>
      </x:c>
      <x:c r="AA18" s="1">
        <x:f>'Входы H'!Q53</x:f>
        <x:v>0.29999999999999999</x:v>
      </x:c>
      <x:c r="AB18" s="1">
        <x:v>0.40000000000000002</x:v>
      </x:c>
      <x:c r="AC18" s="1">
        <x:v>1</x:v>
      </x:c>
    </x:row>
    <x:row r="19" ht="26" customHeight="1">
      <x:c r="A19" s="1">
        <x:v>14</x:v>
      </x:c>
      <x:c r="B19" s="1" t="inlineStr">
        <x:is>
          <x:t>Ущерб доходу покупателя 10%</x:t>
        </x:is>
      </x:c>
      <x:c r="C19" s="1" t="inlineStr">
        <x:is>
          <x:t>negative</x:t>
        </x:is>
      </x:c>
      <x:c r="D19" s="21">
        <x:v>44000000</x:v>
      </x:c>
      <x:c r="E19" s="21">
        <x:v>84000000</x:v>
      </x:c>
      <x:c r="F19" s="53">
        <x:v>0.27999999999999997</x:v>
      </x:c>
      <x:c r="G19" s="53">
        <x:v>0.12</x:v>
      </x:c>
      <x:c r="H19" s="53">
        <x:v>0.17999999999999999</x:v>
      </x:c>
      <x:c r="I19" s="53">
        <x:v>0.41999999999999998</x:v>
      </x:c>
      <x:c r="J19" s="53">
        <x:v>0.14999999999999999</x:v>
      </x:c>
      <x:c r="K19" s="53">
        <x:v>0.23099999999999998</x:v>
      </x:c>
      <x:c r="L19" s="54">
        <x:v>2</x:v>
      </x:c>
      <x:c r="M19" s="53">
        <x:v>0.5</x:v>
      </x:c>
      <x:c r="N19" s="53">
        <x:v>0.80000000000000004</x:v>
      </x:c>
      <x:c r="O19" s="54">
        <x:v>1</x:v>
      </x:c>
      <x:c r="P19" s="53">
        <x:v>0.25</x:v>
      </x:c>
      <x:c r="Q19" s="53">
        <x:v>0.25</x:v>
      </x:c>
      <x:c r="R19" s="53">
        <x:v>0</x:v>
      </x:c>
      <x:c r="S19" s="53">
        <x:v>0</x:v>
      </x:c>
      <x:c r="T19" s="53">
        <x:v>-0.10000000000000001</x:v>
      </x:c>
      <x:c r="U19" s="54">
        <x:v>1</x:v>
      </x:c>
      <x:c r="V19" s="1">
        <x:v>1</x:v>
      </x:c>
      <x:c r="W19" s="1" t="inlineStr">
        <x:is>
          <x:t>40+ SKU; F threshold unknown</x:t>
        </x:is>
      </x:c>
      <x:c r="X19" s="1">
        <x:f>'Входы H'!N57</x:f>
        <x:v>1.5</x:v>
      </x:c>
      <x:c r="Y19" s="1">
        <x:f>'Входы H'!O57</x:f>
        <x:v>0.20000000000000001</x:v>
      </x:c>
      <x:c r="Z19" s="1">
        <x:f>'Входы H'!P57</x:f>
        <x:v>1</x:v>
      </x:c>
      <x:c r="AA19" s="1">
        <x:f>'Входы H'!Q57</x:f>
        <x:v>0.29999999999999999</x:v>
      </x:c>
      <x:c r="AB19" s="1">
        <x:v>0.40000000000000002</x:v>
      </x:c>
      <x:c r="AC19" s="1">
        <x:v>1</x:v>
      </x:c>
    </x:row>
    <x:row r="20" ht="26" customHeight="1">
      <x:c r="A20" s="1">
        <x:v>15</x:v>
      </x:c>
      <x:c r="B20" s="1" t="inlineStr">
        <x:is>
          <x:t>Совместный негативный</x:t>
        </x:is>
      </x:c>
      <x:c r="C20" s="1" t="inlineStr">
        <x:is>
          <x:t>negative</x:t>
        </x:is>
      </x:c>
      <x:c r="D20" s="21">
        <x:v>44000000</x:v>
      </x:c>
      <x:c r="E20" s="21">
        <x:v>84000000</x:v>
      </x:c>
      <x:c r="F20" s="53">
        <x:v>0.27999999999999997</x:v>
      </x:c>
      <x:c r="G20" s="53">
        <x:v>0.12</x:v>
      </x:c>
      <x:c r="H20" s="53">
        <x:v>0.17999999999999999</x:v>
      </x:c>
      <x:c r="I20" s="53">
        <x:v>0.41999999999999998</x:v>
      </x:c>
      <x:c r="J20" s="53">
        <x:v>0.14999999999999999</x:v>
      </x:c>
      <x:c r="K20" s="53">
        <x:v>0.23099999999999998</x:v>
      </x:c>
      <x:c r="L20" s="54">
        <x:v>2</x:v>
      </x:c>
      <x:c r="M20" s="53">
        <x:v>0.5</x:v>
      </x:c>
      <x:c r="N20" s="53">
        <x:v>0.80000000000000004</x:v>
      </x:c>
      <x:c r="O20" s="54">
        <x:v>1</x:v>
      </x:c>
      <x:c r="P20" s="53">
        <x:v>0.25</x:v>
      </x:c>
      <x:c r="Q20" s="53">
        <x:v>0.25</x:v>
      </x:c>
      <x:c r="R20" s="53">
        <x:v>0.0050000000000000001</x:v>
      </x:c>
      <x:c r="S20" s="53">
        <x:v>0.01</x:v>
      </x:c>
      <x:c r="T20" s="53">
        <x:v>-0.02</x:v>
      </x:c>
      <x:c r="U20" s="54">
        <x:v>1</x:v>
      </x:c>
      <x:c r="V20" s="1">
        <x:v>1</x:v>
      </x:c>
      <x:c r="W20" s="1" t="inlineStr">
        <x:is>
          <x:t>40+ SKU; F threshold unknown</x:t>
        </x:is>
      </x:c>
      <x:c r="X20" s="1">
        <x:f>'Входы H'!N61</x:f>
        <x:v>1.5</x:v>
      </x:c>
      <x:c r="Y20" s="1">
        <x:f>'Входы H'!O61</x:f>
        <x:v>0.20000000000000001</x:v>
      </x:c>
      <x:c r="Z20" s="1">
        <x:f>'Входы H'!P61</x:f>
        <x:v>1</x:v>
      </x:c>
      <x:c r="AA20" s="1">
        <x:f>'Входы H'!Q61</x:f>
        <x:v>0.29999999999999999</x:v>
      </x:c>
      <x:c r="AB20" s="1">
        <x:v>0.40000000000000002</x:v>
      </x:c>
      <x:c r="AC20" s="1">
        <x:v>1</x:v>
      </x:c>
    </x:row>
    <x:row r="21" ht="26" customHeight="1">
      <x:c r="A21" s="1">
        <x:v>16</x:v>
      </x:c>
      <x:c r="B21" s="1" t="inlineStr">
        <x:is>
          <x:t>Чувствительность CR 10.0%</x:t>
        </x:is>
      </x:c>
      <x:c r="C21" s="1" t="inlineStr">
        <x:is>
          <x:t>cr</x:t>
        </x:is>
      </x:c>
      <x:c r="D21" s="21">
        <x:v>44000000</x:v>
      </x:c>
      <x:c r="E21" s="21">
        <x:v>84000000</x:v>
      </x:c>
      <x:c r="F21" s="53">
        <x:v>0.27999999999999997</x:v>
      </x:c>
      <x:c r="G21" s="53">
        <x:v>0.12</x:v>
      </x:c>
      <x:c r="H21" s="53">
        <x:v>0.17999999999999999</x:v>
      </x:c>
      <x:c r="I21" s="53">
        <x:v>0.41999999999999998</x:v>
      </x:c>
      <x:c r="J21" s="53">
        <x:v>0.10000000000000001</x:v>
      </x:c>
      <x:c r="K21" s="53">
        <x:v>0.18099999999999999</x:v>
      </x:c>
      <x:c r="L21" s="54">
        <x:v>2</x:v>
      </x:c>
      <x:c r="M21" s="53">
        <x:v>0.5</x:v>
      </x:c>
      <x:c r="N21" s="53">
        <x:v>0.80000000000000004</x:v>
      </x:c>
      <x:c r="O21" s="54">
        <x:v>1</x:v>
      </x:c>
      <x:c r="P21" s="53">
        <x:v>0.25</x:v>
      </x:c>
      <x:c r="Q21" s="53">
        <x:v>0.25</x:v>
      </x:c>
      <x:c r="R21" s="53">
        <x:v>0</x:v>
      </x:c>
      <x:c r="S21" s="53">
        <x:v>0</x:v>
      </x:c>
      <x:c r="T21" s="53">
        <x:v>0</x:v>
      </x:c>
      <x:c r="U21" s="54">
        <x:v>1</x:v>
      </x:c>
      <x:c r="V21" s="1">
        <x:v>1</x:v>
      </x:c>
      <x:c r="W21" s="1" t="inlineStr">
        <x:is>
          <x:t>40+ SKU; F threshold unknown</x:t>
        </x:is>
      </x:c>
      <x:c r="X21" s="1">
        <x:f>'Входы H'!N65</x:f>
        <x:v>1.5</x:v>
      </x:c>
      <x:c r="Y21" s="1">
        <x:f>'Входы H'!O65</x:f>
        <x:v>0.20000000000000001</x:v>
      </x:c>
      <x:c r="Z21" s="1">
        <x:f>'Входы H'!P65</x:f>
        <x:v>1</x:v>
      </x:c>
      <x:c r="AA21" s="1">
        <x:f>'Входы H'!Q65</x:f>
        <x:v>0.29999999999999999</x:v>
      </x:c>
      <x:c r="AB21" s="1">
        <x:v>0.40000000000000002</x:v>
      </x:c>
      <x:c r="AC21" s="1">
        <x:v>1</x:v>
      </x:c>
    </x:row>
    <x:row r="22" ht="26" customHeight="1">
      <x:c r="A22" s="1">
        <x:v>17</x:v>
      </x:c>
      <x:c r="B22" s="1" t="inlineStr">
        <x:is>
          <x:t>Чувствительность CR 12.0%</x:t>
        </x:is>
      </x:c>
      <x:c r="C22" s="1" t="inlineStr">
        <x:is>
          <x:t>cr</x:t>
        </x:is>
      </x:c>
      <x:c r="D22" s="21">
        <x:v>44000000</x:v>
      </x:c>
      <x:c r="E22" s="21">
        <x:v>84000000</x:v>
      </x:c>
      <x:c r="F22" s="53">
        <x:v>0.27999999999999997</x:v>
      </x:c>
      <x:c r="G22" s="53">
        <x:v>0.12</x:v>
      </x:c>
      <x:c r="H22" s="53">
        <x:v>0.17999999999999999</x:v>
      </x:c>
      <x:c r="I22" s="53">
        <x:v>0.41999999999999998</x:v>
      </x:c>
      <x:c r="J22" s="53">
        <x:v>0.12</x:v>
      </x:c>
      <x:c r="K22" s="53">
        <x:v>0.20100000000000001</x:v>
      </x:c>
      <x:c r="L22" s="54">
        <x:v>2</x:v>
      </x:c>
      <x:c r="M22" s="53">
        <x:v>0.5</x:v>
      </x:c>
      <x:c r="N22" s="53">
        <x:v>0.80000000000000004</x:v>
      </x:c>
      <x:c r="O22" s="54">
        <x:v>1</x:v>
      </x:c>
      <x:c r="P22" s="53">
        <x:v>0.25</x:v>
      </x:c>
      <x:c r="Q22" s="53">
        <x:v>0.25</x:v>
      </x:c>
      <x:c r="R22" s="53">
        <x:v>0</x:v>
      </x:c>
      <x:c r="S22" s="53">
        <x:v>0</x:v>
      </x:c>
      <x:c r="T22" s="53">
        <x:v>0</x:v>
      </x:c>
      <x:c r="U22" s="54">
        <x:v>1</x:v>
      </x:c>
      <x:c r="V22" s="1">
        <x:v>1</x:v>
      </x:c>
      <x:c r="W22" s="1" t="inlineStr">
        <x:is>
          <x:t>40+ SKU; F threshold unknown</x:t>
        </x:is>
      </x:c>
      <x:c r="X22" s="1">
        <x:f>'Входы H'!N69</x:f>
        <x:v>1.5</x:v>
      </x:c>
      <x:c r="Y22" s="1">
        <x:f>'Входы H'!O69</x:f>
        <x:v>0.20000000000000001</x:v>
      </x:c>
      <x:c r="Z22" s="1">
        <x:f>'Входы H'!P69</x:f>
        <x:v>1</x:v>
      </x:c>
      <x:c r="AA22" s="1">
        <x:f>'Входы H'!Q69</x:f>
        <x:v>0.29999999999999999</x:v>
      </x:c>
      <x:c r="AB22" s="1">
        <x:v>0.40000000000000002</x:v>
      </x:c>
      <x:c r="AC22" s="1">
        <x:v>1</x:v>
      </x:c>
    </x:row>
    <x:row r="23" ht="26" customHeight="1">
      <x:c r="A23" s="1">
        <x:v>18</x:v>
      </x:c>
      <x:c r="B23" s="1" t="inlineStr">
        <x:is>
          <x:t>Чувствительность CR 18.0%</x:t>
        </x:is>
      </x:c>
      <x:c r="C23" s="1" t="inlineStr">
        <x:is>
          <x:t>cr</x:t>
        </x:is>
      </x:c>
      <x:c r="D23" s="21">
        <x:v>44000000</x:v>
      </x:c>
      <x:c r="E23" s="21">
        <x:v>84000000</x:v>
      </x:c>
      <x:c r="F23" s="53">
        <x:v>0.27999999999999997</x:v>
      </x:c>
      <x:c r="G23" s="53">
        <x:v>0.12</x:v>
      </x:c>
      <x:c r="H23" s="53">
        <x:v>0.17999999999999999</x:v>
      </x:c>
      <x:c r="I23" s="53">
        <x:v>0.41999999999999998</x:v>
      </x:c>
      <x:c r="J23" s="53">
        <x:v>0.17999999999999999</x:v>
      </x:c>
      <x:c r="K23" s="53">
        <x:v>0.26100000000000001</x:v>
      </x:c>
      <x:c r="L23" s="54">
        <x:v>2</x:v>
      </x:c>
      <x:c r="M23" s="53">
        <x:v>0.5</x:v>
      </x:c>
      <x:c r="N23" s="53">
        <x:v>0.80000000000000004</x:v>
      </x:c>
      <x:c r="O23" s="54">
        <x:v>1</x:v>
      </x:c>
      <x:c r="P23" s="53">
        <x:v>0.25</x:v>
      </x:c>
      <x:c r="Q23" s="53">
        <x:v>0.25</x:v>
      </x:c>
      <x:c r="R23" s="53">
        <x:v>0</x:v>
      </x:c>
      <x:c r="S23" s="53">
        <x:v>0</x:v>
      </x:c>
      <x:c r="T23" s="53">
        <x:v>0</x:v>
      </x:c>
      <x:c r="U23" s="54">
        <x:v>1</x:v>
      </x:c>
      <x:c r="V23" s="1">
        <x:v>1</x:v>
      </x:c>
      <x:c r="W23" s="1" t="inlineStr">
        <x:is>
          <x:t>40+ SKU; F threshold unknown</x:t>
        </x:is>
      </x:c>
      <x:c r="X23" s="1">
        <x:f>'Входы H'!N73</x:f>
        <x:v>1.5</x:v>
      </x:c>
      <x:c r="Y23" s="1">
        <x:f>'Входы H'!O73</x:f>
        <x:v>0.20000000000000001</x:v>
      </x:c>
      <x:c r="Z23" s="1">
        <x:f>'Входы H'!P73</x:f>
        <x:v>1</x:v>
      </x:c>
      <x:c r="AA23" s="1">
        <x:f>'Входы H'!Q73</x:f>
        <x:v>0.29999999999999999</x:v>
      </x:c>
      <x:c r="AB23" s="1">
        <x:v>0.40000000000000002</x:v>
      </x:c>
      <x:c r="AC23" s="1">
        <x:v>1</x:v>
      </x:c>
    </x:row>
    <x:row r="24" ht="26" customHeight="1">
      <x:c r="A24" s="1">
        <x:v>19</x:v>
      </x:c>
      <x:c r="B24" s="1" t="inlineStr">
        <x:is>
          <x:t>Чувствительность CR 20.1%</x:t>
        </x:is>
      </x:c>
      <x:c r="C24" s="1" t="inlineStr">
        <x:is>
          <x:t>cr</x:t>
        </x:is>
      </x:c>
      <x:c r="D24" s="21">
        <x:v>44000000</x:v>
      </x:c>
      <x:c r="E24" s="21">
        <x:v>84000000</x:v>
      </x:c>
      <x:c r="F24" s="53">
        <x:v>0.27999999999999997</x:v>
      </x:c>
      <x:c r="G24" s="53">
        <x:v>0.12</x:v>
      </x:c>
      <x:c r="H24" s="53">
        <x:v>0.17999999999999999</x:v>
      </x:c>
      <x:c r="I24" s="53">
        <x:v>0.41999999999999998</x:v>
      </x:c>
      <x:c r="J24" s="53">
        <x:v>0.20100000000000001</x:v>
      </x:c>
      <x:c r="K24" s="53">
        <x:v>0.28200000000000003</x:v>
      </x:c>
      <x:c r="L24" s="54">
        <x:v>2</x:v>
      </x:c>
      <x:c r="M24" s="53">
        <x:v>0.5</x:v>
      </x:c>
      <x:c r="N24" s="53">
        <x:v>0.80000000000000004</x:v>
      </x:c>
      <x:c r="O24" s="54">
        <x:v>1</x:v>
      </x:c>
      <x:c r="P24" s="53">
        <x:v>0.25</x:v>
      </x:c>
      <x:c r="Q24" s="53">
        <x:v>0.25</x:v>
      </x:c>
      <x:c r="R24" s="53">
        <x:v>0</x:v>
      </x:c>
      <x:c r="S24" s="53">
        <x:v>0</x:v>
      </x:c>
      <x:c r="T24" s="53">
        <x:v>0</x:v>
      </x:c>
      <x:c r="U24" s="54">
        <x:v>1</x:v>
      </x:c>
      <x:c r="V24" s="1">
        <x:v>1</x:v>
      </x:c>
      <x:c r="W24" s="1" t="inlineStr">
        <x:is>
          <x:t>40+ SKU; F threshold unknown</x:t>
        </x:is>
      </x:c>
      <x:c r="X24" s="1">
        <x:f>'Входы H'!N77</x:f>
        <x:v>1.5</x:v>
      </x:c>
      <x:c r="Y24" s="1">
        <x:f>'Входы H'!O77</x:f>
        <x:v>0.20000000000000001</x:v>
      </x:c>
      <x:c r="Z24" s="1">
        <x:f>'Входы H'!P77</x:f>
        <x:v>1</x:v>
      </x:c>
      <x:c r="AA24" s="1">
        <x:f>'Входы H'!Q77</x:f>
        <x:v>0.29999999999999999</x:v>
      </x:c>
      <x:c r="AB24" s="1">
        <x:v>0.40000000000000002</x:v>
      </x:c>
      <x:c r="AC24" s="1">
        <x:v>1</x:v>
      </x:c>
    </x:row>
    <x:row r="25" ht="26" customHeight="1">
      <x:c r="A25" s="1">
        <x:v>20</x:v>
      </x:c>
      <x:c r="B25" s="1" t="inlineStr">
        <x:is>
          <x:t>Пересечение визитов 0%</x:t>
        </x:is>
      </x:c>
      <x:c r="C25" s="1" t="inlineStr">
        <x:is>
          <x:t>overlap</x:t>
        </x:is>
      </x:c>
      <x:c r="D25" s="21">
        <x:v>44000000</x:v>
      </x:c>
      <x:c r="E25" s="21">
        <x:v>84000000</x:v>
      </x:c>
      <x:c r="F25" s="53">
        <x:v>0.27999999999999997</x:v>
      </x:c>
      <x:c r="G25" s="53">
        <x:v>0.12</x:v>
      </x:c>
      <x:c r="H25" s="53">
        <x:v>0.17999999999999999</x:v>
      </x:c>
      <x:c r="I25" s="53">
        <x:v>0.41999999999999998</x:v>
      </x:c>
      <x:c r="J25" s="53">
        <x:v>0.14999999999999999</x:v>
      </x:c>
      <x:c r="K25" s="53">
        <x:v>0.23099999999999998</x:v>
      </x:c>
      <x:c r="L25" s="54">
        <x:v>2</x:v>
      </x:c>
      <x:c r="M25" s="53">
        <x:v>0.5</x:v>
      </x:c>
      <x:c r="N25" s="53">
        <x:v>0</x:v>
      </x:c>
      <x:c r="O25" s="54">
        <x:v>1</x:v>
      </x:c>
      <x:c r="P25" s="53">
        <x:v>0.25</x:v>
      </x:c>
      <x:c r="Q25" s="53">
        <x:v>0.25</x:v>
      </x:c>
      <x:c r="R25" s="53">
        <x:v>0</x:v>
      </x:c>
      <x:c r="S25" s="53">
        <x:v>0</x:v>
      </x:c>
      <x:c r="T25" s="53">
        <x:v>0</x:v>
      </x:c>
      <x:c r="U25" s="54">
        <x:v>1</x:v>
      </x:c>
      <x:c r="V25" s="1">
        <x:v>1</x:v>
      </x:c>
      <x:c r="W25" s="1" t="inlineStr">
        <x:is>
          <x:t>40+ SKU; F threshold unknown</x:t>
        </x:is>
      </x:c>
      <x:c r="X25" s="1">
        <x:f>'Входы H'!N81</x:f>
        <x:v>1.5</x:v>
      </x:c>
      <x:c r="Y25" s="1">
        <x:f>'Входы H'!O81</x:f>
        <x:v>0.20000000000000001</x:v>
      </x:c>
      <x:c r="Z25" s="1">
        <x:f>'Входы H'!P81</x:f>
        <x:v>1</x:v>
      </x:c>
      <x:c r="AA25" s="1">
        <x:f>'Входы H'!Q81</x:f>
        <x:v>0.29999999999999999</x:v>
      </x:c>
      <x:c r="AB25" s="1">
        <x:v>0.40000000000000002</x:v>
      </x:c>
      <x:c r="AC25" s="1">
        <x:v>1</x:v>
      </x:c>
    </x:row>
    <x:row r="26" ht="26" customHeight="1">
      <x:c r="A26" s="1">
        <x:v>21</x:v>
      </x:c>
      <x:c r="B26" s="1" t="inlineStr">
        <x:is>
          <x:t>Пересечение визитов 50%</x:t>
        </x:is>
      </x:c>
      <x:c r="C26" s="1" t="inlineStr">
        <x:is>
          <x:t>overlap</x:t>
        </x:is>
      </x:c>
      <x:c r="D26" s="21">
        <x:v>44000000</x:v>
      </x:c>
      <x:c r="E26" s="21">
        <x:v>84000000</x:v>
      </x:c>
      <x:c r="F26" s="53">
        <x:v>0.27999999999999997</x:v>
      </x:c>
      <x:c r="G26" s="53">
        <x:v>0.12</x:v>
      </x:c>
      <x:c r="H26" s="53">
        <x:v>0.17999999999999999</x:v>
      </x:c>
      <x:c r="I26" s="53">
        <x:v>0.41999999999999998</x:v>
      </x:c>
      <x:c r="J26" s="53">
        <x:v>0.14999999999999999</x:v>
      </x:c>
      <x:c r="K26" s="53">
        <x:v>0.23099999999999998</x:v>
      </x:c>
      <x:c r="L26" s="54">
        <x:v>2</x:v>
      </x:c>
      <x:c r="M26" s="53">
        <x:v>0.5</x:v>
      </x:c>
      <x:c r="N26" s="53">
        <x:v>0.5</x:v>
      </x:c>
      <x:c r="O26" s="54">
        <x:v>1</x:v>
      </x:c>
      <x:c r="P26" s="53">
        <x:v>0.25</x:v>
      </x:c>
      <x:c r="Q26" s="53">
        <x:v>0.25</x:v>
      </x:c>
      <x:c r="R26" s="53">
        <x:v>0</x:v>
      </x:c>
      <x:c r="S26" s="53">
        <x:v>0</x:v>
      </x:c>
      <x:c r="T26" s="53">
        <x:v>0</x:v>
      </x:c>
      <x:c r="U26" s="54">
        <x:v>1</x:v>
      </x:c>
      <x:c r="V26" s="1">
        <x:v>1</x:v>
      </x:c>
      <x:c r="W26" s="1" t="inlineStr">
        <x:is>
          <x:t>40+ SKU; F threshold unknown</x:t>
        </x:is>
      </x:c>
      <x:c r="X26" s="1">
        <x:f>'Входы H'!N85</x:f>
        <x:v>1.5</x:v>
      </x:c>
      <x:c r="Y26" s="1">
        <x:f>'Входы H'!O85</x:f>
        <x:v>0.20000000000000001</x:v>
      </x:c>
      <x:c r="Z26" s="1">
        <x:f>'Входы H'!P85</x:f>
        <x:v>1</x:v>
      </x:c>
      <x:c r="AA26" s="1">
        <x:f>'Входы H'!Q85</x:f>
        <x:v>0.29999999999999999</x:v>
      </x:c>
      <x:c r="AB26" s="1">
        <x:v>0.40000000000000002</x:v>
      </x:c>
      <x:c r="AC26" s="1">
        <x:v>1</x:v>
      </x:c>
    </x:row>
    <x:row r="27" ht="26" customHeight="1">
      <x:c r="A27" s="1">
        <x:v>22</x:v>
      </x:c>
      <x:c r="B27" s="1" t="inlineStr">
        <x:is>
          <x:t>Пересечение визитов 100%</x:t>
        </x:is>
      </x:c>
      <x:c r="C27" s="1" t="inlineStr">
        <x:is>
          <x:t>overlap</x:t>
        </x:is>
      </x:c>
      <x:c r="D27" s="21">
        <x:v>44000000</x:v>
      </x:c>
      <x:c r="E27" s="21">
        <x:v>84000000</x:v>
      </x:c>
      <x:c r="F27" s="53">
        <x:v>0.27999999999999997</x:v>
      </x:c>
      <x:c r="G27" s="53">
        <x:v>0.12</x:v>
      </x:c>
      <x:c r="H27" s="53">
        <x:v>0.17999999999999999</x:v>
      </x:c>
      <x:c r="I27" s="53">
        <x:v>0.41999999999999998</x:v>
      </x:c>
      <x:c r="J27" s="53">
        <x:v>0.14999999999999999</x:v>
      </x:c>
      <x:c r="K27" s="53">
        <x:v>0.23099999999999998</x:v>
      </x:c>
      <x:c r="L27" s="54">
        <x:v>2</x:v>
      </x:c>
      <x:c r="M27" s="53">
        <x:v>0.5</x:v>
      </x:c>
      <x:c r="N27" s="53">
        <x:v>1</x:v>
      </x:c>
      <x:c r="O27" s="54">
        <x:v>1</x:v>
      </x:c>
      <x:c r="P27" s="53">
        <x:v>0.25</x:v>
      </x:c>
      <x:c r="Q27" s="53">
        <x:v>0.25</x:v>
      </x:c>
      <x:c r="R27" s="53">
        <x:v>0</x:v>
      </x:c>
      <x:c r="S27" s="53">
        <x:v>0</x:v>
      </x:c>
      <x:c r="T27" s="53">
        <x:v>0</x:v>
      </x:c>
      <x:c r="U27" s="54">
        <x:v>1</x:v>
      </x:c>
      <x:c r="V27" s="1">
        <x:v>1</x:v>
      </x:c>
      <x:c r="W27" s="1" t="inlineStr">
        <x:is>
          <x:t>40+ SKU; F threshold unknown</x:t>
        </x:is>
      </x:c>
      <x:c r="X27" s="1">
        <x:f>'Входы H'!N89</x:f>
        <x:v>1.5</x:v>
      </x:c>
      <x:c r="Y27" s="1">
        <x:f>'Входы H'!O89</x:f>
        <x:v>0.20000000000000001</x:v>
      </x:c>
      <x:c r="Z27" s="1">
        <x:f>'Входы H'!P89</x:f>
        <x:v>1</x:v>
      </x:c>
      <x:c r="AA27" s="1">
        <x:f>'Входы H'!Q89</x:f>
        <x:v>0.29999999999999999</x:v>
      </x:c>
      <x:c r="AB27" s="1">
        <x:v>0.40000000000000002</x:v>
      </x:c>
      <x:c r="AC27" s="1">
        <x:v>1</x:v>
      </x:c>
    </x:row>
    <x:row r="28" ht="26" customHeight="1">
      <x:c r="A28" s="1">
        <x:v>23</x:v>
      </x:c>
      <x:c r="B28" s="1" t="inlineStr">
        <x:is>
          <x:t>Охват ×0.5</x:t>
        </x:is>
      </x:c>
      <x:c r="C28" s="1" t="inlineStr">
        <x:is>
          <x:t>reach</x:t>
        </x:is>
      </x:c>
      <x:c r="D28" s="21">
        <x:v>44000000</x:v>
      </x:c>
      <x:c r="E28" s="21">
        <x:v>84000000</x:v>
      </x:c>
      <x:c r="F28" s="53">
        <x:v>0.27999999999999997</x:v>
      </x:c>
      <x:c r="G28" s="53">
        <x:v>0.12</x:v>
      </x:c>
      <x:c r="H28" s="53">
        <x:v>0.17999999999999999</x:v>
      </x:c>
      <x:c r="I28" s="53">
        <x:v>0.41999999999999998</x:v>
      </x:c>
      <x:c r="J28" s="53">
        <x:v>0.14999999999999999</x:v>
      </x:c>
      <x:c r="K28" s="53">
        <x:v>0.23099999999999998</x:v>
      </x:c>
      <x:c r="L28" s="54">
        <x:v>2</x:v>
      </x:c>
      <x:c r="M28" s="53">
        <x:v>0.5</x:v>
      </x:c>
      <x:c r="N28" s="53">
        <x:v>0.80000000000000004</x:v>
      </x:c>
      <x:c r="O28" s="54">
        <x:v>0.5</x:v>
      </x:c>
      <x:c r="P28" s="53">
        <x:v>0.25</x:v>
      </x:c>
      <x:c r="Q28" s="53">
        <x:v>0.25</x:v>
      </x:c>
      <x:c r="R28" s="53">
        <x:v>0</x:v>
      </x:c>
      <x:c r="S28" s="53">
        <x:v>0</x:v>
      </x:c>
      <x:c r="T28" s="53">
        <x:v>0</x:v>
      </x:c>
      <x:c r="U28" s="54">
        <x:v>1</x:v>
      </x:c>
      <x:c r="V28" s="1">
        <x:v>1</x:v>
      </x:c>
      <x:c r="W28" s="1" t="inlineStr">
        <x:is>
          <x:t>40+ SKU; F threshold unknown</x:t>
        </x:is>
      </x:c>
      <x:c r="X28" s="1">
        <x:f>'Входы H'!N93</x:f>
        <x:v>1.5</x:v>
      </x:c>
      <x:c r="Y28" s="1">
        <x:f>'Входы H'!O93</x:f>
        <x:v>0.20000000000000001</x:v>
      </x:c>
      <x:c r="Z28" s="1">
        <x:f>'Входы H'!P93</x:f>
        <x:v>1</x:v>
      </x:c>
      <x:c r="AA28" s="1">
        <x:f>'Входы H'!Q93</x:f>
        <x:v>0.29999999999999999</x:v>
      </x:c>
      <x:c r="AB28" s="1">
        <x:v>0.40000000000000002</x:v>
      </x:c>
      <x:c r="AC28" s="1">
        <x:v>1</x:v>
      </x:c>
    </x:row>
    <x:row r="29" ht="26" customHeight="1">
      <x:c r="A29" s="1">
        <x:v>24</x:v>
      </x:c>
      <x:c r="B29" s="1" t="inlineStr">
        <x:is>
          <x:t>Охват ×1.5</x:t>
        </x:is>
      </x:c>
      <x:c r="C29" s="1" t="inlineStr">
        <x:is>
          <x:t>reach</x:t>
        </x:is>
      </x:c>
      <x:c r="D29" s="21">
        <x:v>44000000</x:v>
      </x:c>
      <x:c r="E29" s="21">
        <x:v>84000000</x:v>
      </x:c>
      <x:c r="F29" s="53">
        <x:v>0.27999999999999997</x:v>
      </x:c>
      <x:c r="G29" s="53">
        <x:v>0.12</x:v>
      </x:c>
      <x:c r="H29" s="53">
        <x:v>0.17999999999999999</x:v>
      </x:c>
      <x:c r="I29" s="53">
        <x:v>0.41999999999999998</x:v>
      </x:c>
      <x:c r="J29" s="53">
        <x:v>0.14999999999999999</x:v>
      </x:c>
      <x:c r="K29" s="53">
        <x:v>0.23099999999999998</x:v>
      </x:c>
      <x:c r="L29" s="54">
        <x:v>2</x:v>
      </x:c>
      <x:c r="M29" s="53">
        <x:v>0.5</x:v>
      </x:c>
      <x:c r="N29" s="53">
        <x:v>0.80000000000000004</x:v>
      </x:c>
      <x:c r="O29" s="54">
        <x:v>1.5</x:v>
      </x:c>
      <x:c r="P29" s="53">
        <x:v>0.25</x:v>
      </x:c>
      <x:c r="Q29" s="53">
        <x:v>0.25</x:v>
      </x:c>
      <x:c r="R29" s="53">
        <x:v>0</x:v>
      </x:c>
      <x:c r="S29" s="53">
        <x:v>0</x:v>
      </x:c>
      <x:c r="T29" s="53">
        <x:v>0</x:v>
      </x:c>
      <x:c r="U29" s="54">
        <x:v>1</x:v>
      </x:c>
      <x:c r="V29" s="1">
        <x:v>1</x:v>
      </x:c>
      <x:c r="W29" s="1" t="inlineStr">
        <x:is>
          <x:t>40+ SKU; F threshold unknown</x:t>
        </x:is>
      </x:c>
      <x:c r="X29" s="1">
        <x:f>'Входы H'!N97</x:f>
        <x:v>1.5</x:v>
      </x:c>
      <x:c r="Y29" s="1">
        <x:f>'Входы H'!O97</x:f>
        <x:v>0.20000000000000001</x:v>
      </x:c>
      <x:c r="Z29" s="1">
        <x:f>'Входы H'!P97</x:f>
        <x:v>1</x:v>
      </x:c>
      <x:c r="AA29" s="1">
        <x:f>'Входы H'!Q97</x:f>
        <x:v>0.29999999999999999</x:v>
      </x:c>
      <x:c r="AB29" s="1">
        <x:v>0.40000000000000002</x:v>
      </x:c>
      <x:c r="AC29" s="1">
        <x:v>1</x:v>
      </x:c>
    </x:row>
    <x:row r="30" ht="26" customHeight="1">
      <x:c r="A30" s="1">
        <x:v>25</x:v>
      </x:c>
      <x:c r="B30" s="1" t="inlineStr">
        <x:is>
          <x:t>Сдвиг состава визитов: стресс</x:t>
        </x:is>
      </x:c>
      <x:c r="C30" s="1" t="inlineStr">
        <x:is>
          <x:t>platform</x:t>
        </x:is>
      </x:c>
      <x:c r="D30" s="21">
        <x:v>44000000</x:v>
      </x:c>
      <x:c r="E30" s="21">
        <x:v>84000000</x:v>
      </x:c>
      <x:c r="F30" s="53">
        <x:v>0.27999999999999997</x:v>
      </x:c>
      <x:c r="G30" s="53">
        <x:v>0.12</x:v>
      </x:c>
      <x:c r="H30" s="53">
        <x:v>0.17999999999999999</x:v>
      </x:c>
      <x:c r="I30" s="53">
        <x:v>0.41999999999999998</x:v>
      </x:c>
      <x:c r="J30" s="53">
        <x:v>0.14999999999999999</x:v>
      </x:c>
      <x:c r="K30" s="53">
        <x:v>0.23099999999999998</x:v>
      </x:c>
      <x:c r="L30" s="54">
        <x:v>2</x:v>
      </x:c>
      <x:c r="M30" s="53">
        <x:v>0.5</x:v>
      </x:c>
      <x:c r="N30" s="53">
        <x:v>0.5</x:v>
      </x:c>
      <x:c r="O30" s="54">
        <x:v>1</x:v>
      </x:c>
      <x:c r="P30" s="53">
        <x:v>0.25</x:v>
      </x:c>
      <x:c r="Q30" s="53">
        <x:v>0.25</x:v>
      </x:c>
      <x:c r="R30" s="53">
        <x:v>0</x:v>
      </x:c>
      <x:c r="S30" s="53">
        <x:v>0</x:v>
      </x:c>
      <x:c r="T30" s="53">
        <x:v>0</x:v>
      </x:c>
      <x:c r="U30" s="54">
        <x:v>1</x:v>
      </x:c>
      <x:c r="V30" s="1">
        <x:v>1</x:v>
      </x:c>
      <x:c r="W30" s="1" t="inlineStr">
        <x:is>
          <x:t>40+ SKU; F threshold unknown</x:t>
        </x:is>
      </x:c>
      <x:c r="X30" s="1">
        <x:f>'Входы H'!N101</x:f>
        <x:v>1.2</x:v>
      </x:c>
      <x:c r="Y30" s="1">
        <x:f>'Входы H'!O101</x:f>
        <x:v>0.40000000000000002</x:v>
      </x:c>
      <x:c r="Z30" s="1">
        <x:f>'Входы H'!P101</x:f>
        <x:v>1</x:v>
      </x:c>
      <x:c r="AA30" s="1">
        <x:f>'Входы H'!Q101</x:f>
        <x:v>0.5</x:v>
      </x:c>
      <x:c r="AB30" s="1">
        <x:v>0.40000000000000002</x:v>
      </x:c>
      <x:c r="AC30" s="1">
        <x:v>1</x:v>
      </x:c>
    </x:row>
    <x:row r="31" ht="26" customHeight="1">
      <x:c r="A31" s="1">
        <x:v>26</x:v>
      </x:c>
      <x:c r="B31" s="1" t="inlineStr">
        <x:is>
          <x:t>Потребность в H1 среди 40+: 25%</x:t>
        </x:is>
      </x:c>
      <x:c r="C31" s="1" t="inlineStr">
        <x:is>
          <x:t>need</x:t>
        </x:is>
      </x:c>
      <x:c r="D31" s="21">
        <x:v>44000000</x:v>
      </x:c>
      <x:c r="E31" s="21">
        <x:v>84000000</x:v>
      </x:c>
      <x:c r="F31" s="53">
        <x:v>0.27999999999999997</x:v>
      </x:c>
      <x:c r="G31" s="53">
        <x:v>0.12</x:v>
      </x:c>
      <x:c r="H31" s="53">
        <x:v>0.17999999999999999</x:v>
      </x:c>
      <x:c r="I31" s="53">
        <x:v>0.41999999999999998</x:v>
      </x:c>
      <x:c r="J31" s="53">
        <x:v>0.14999999999999999</x:v>
      </x:c>
      <x:c r="K31" s="53">
        <x:v>0.23099999999999998</x:v>
      </x:c>
      <x:c r="L31" s="54">
        <x:v>2</x:v>
      </x:c>
      <x:c r="M31" s="53">
        <x:v>0.5</x:v>
      </x:c>
      <x:c r="N31" s="53">
        <x:v>0.80000000000000004</x:v>
      </x:c>
      <x:c r="O31" s="54">
        <x:v>1</x:v>
      </x:c>
      <x:c r="P31" s="53">
        <x:v>0.25</x:v>
      </x:c>
      <x:c r="Q31" s="53">
        <x:v>0.25</x:v>
      </x:c>
      <x:c r="R31" s="53">
        <x:v>0</x:v>
      </x:c>
      <x:c r="S31" s="53">
        <x:v>0</x:v>
      </x:c>
      <x:c r="T31" s="53">
        <x:v>0</x:v>
      </x:c>
      <x:c r="U31" s="54">
        <x:v>1</x:v>
      </x:c>
      <x:c r="V31" s="1">
        <x:v>1</x:v>
      </x:c>
      <x:c r="W31" s="1" t="inlineStr">
        <x:is>
          <x:t>40+ SKU; F threshold unknown</x:t>
        </x:is>
      </x:c>
      <x:c r="X31" s="1">
        <x:f>'Входы H'!N105</x:f>
        <x:v>1.5</x:v>
      </x:c>
      <x:c r="Y31" s="1">
        <x:f>'Входы H'!O105</x:f>
        <x:v>0.20000000000000001</x:v>
      </x:c>
      <x:c r="Z31" s="1">
        <x:f>'Входы H'!P105</x:f>
        <x:v>1</x:v>
      </x:c>
      <x:c r="AA31" s="1">
        <x:f>'Входы H'!Q105</x:f>
        <x:v>0.29999999999999999</x:v>
      </x:c>
      <x:c r="AB31" s="1">
        <x:v>0.25</x:v>
      </x:c>
      <x:c r="AC31" s="1">
        <x:v>1</x:v>
      </x:c>
    </x:row>
    <x:row r="32" ht="26" customHeight="1">
      <x:c r="A32" s="1">
        <x:v>27</x:v>
      </x:c>
      <x:c r="B32" s="1" t="inlineStr">
        <x:is>
          <x:t>Потребность в H1 среди 40+: 60%</x:t>
        </x:is>
      </x:c>
      <x:c r="C32" s="1" t="inlineStr">
        <x:is>
          <x:t>need</x:t>
        </x:is>
      </x:c>
      <x:c r="D32" s="21">
        <x:v>44000000</x:v>
      </x:c>
      <x:c r="E32" s="21">
        <x:v>84000000</x:v>
      </x:c>
      <x:c r="F32" s="53">
        <x:v>0.27999999999999997</x:v>
      </x:c>
      <x:c r="G32" s="53">
        <x:v>0.12</x:v>
      </x:c>
      <x:c r="H32" s="53">
        <x:v>0.17999999999999999</x:v>
      </x:c>
      <x:c r="I32" s="53">
        <x:v>0.41999999999999998</x:v>
      </x:c>
      <x:c r="J32" s="53">
        <x:v>0.14999999999999999</x:v>
      </x:c>
      <x:c r="K32" s="53">
        <x:v>0.23099999999999998</x:v>
      </x:c>
      <x:c r="L32" s="54">
        <x:v>2</x:v>
      </x:c>
      <x:c r="M32" s="53">
        <x:v>0.5</x:v>
      </x:c>
      <x:c r="N32" s="53">
        <x:v>0.80000000000000004</x:v>
      </x:c>
      <x:c r="O32" s="54">
        <x:v>1</x:v>
      </x:c>
      <x:c r="P32" s="53">
        <x:v>0.25</x:v>
      </x:c>
      <x:c r="Q32" s="53">
        <x:v>0.25</x:v>
      </x:c>
      <x:c r="R32" s="53">
        <x:v>0</x:v>
      </x:c>
      <x:c r="S32" s="53">
        <x:v>0</x:v>
      </x:c>
      <x:c r="T32" s="53">
        <x:v>0</x:v>
      </x:c>
      <x:c r="U32" s="54">
        <x:v>1</x:v>
      </x:c>
      <x:c r="V32" s="1">
        <x:v>1</x:v>
      </x:c>
      <x:c r="W32" s="1" t="inlineStr">
        <x:is>
          <x:t>40+ SKU; F threshold unknown</x:t>
        </x:is>
      </x:c>
      <x:c r="X32" s="1">
        <x:f>'Входы H'!N109</x:f>
        <x:v>1.5</x:v>
      </x:c>
      <x:c r="Y32" s="1">
        <x:f>'Входы H'!O109</x:f>
        <x:v>0.20000000000000001</x:v>
      </x:c>
      <x:c r="Z32" s="1">
        <x:f>'Входы H'!P109</x:f>
        <x:v>1</x:v>
      </x:c>
      <x:c r="AA32" s="1">
        <x:f>'Входы H'!Q109</x:f>
        <x:v>0.29999999999999999</x:v>
      </x:c>
      <x:c r="AB32" s="1">
        <x:v>0.59999999999999998</x:v>
      </x:c>
      <x:c r="AC32" s="1">
        <x:v>1</x:v>
      </x:c>
    </x:row>
    <x:row r="33" ht="26" customHeight="1">
      <x:c r="A33" s="1">
        <x:v>28</x:v>
      </x:c>
      <x:c r="B33" s="1" t="inlineStr">
        <x:is>
          <x:t>Потребность в H1 среди 40+: 80%</x:t>
        </x:is>
      </x:c>
      <x:c r="C33" s="1" t="inlineStr">
        <x:is>
          <x:t>need</x:t>
        </x:is>
      </x:c>
      <x:c r="D33" s="21">
        <x:v>44000000</x:v>
      </x:c>
      <x:c r="E33" s="21">
        <x:v>84000000</x:v>
      </x:c>
      <x:c r="F33" s="53">
        <x:v>0.27999999999999997</x:v>
      </x:c>
      <x:c r="G33" s="53">
        <x:v>0.12</x:v>
      </x:c>
      <x:c r="H33" s="53">
        <x:v>0.17999999999999999</x:v>
      </x:c>
      <x:c r="I33" s="53">
        <x:v>0.41999999999999998</x:v>
      </x:c>
      <x:c r="J33" s="53">
        <x:v>0.14999999999999999</x:v>
      </x:c>
      <x:c r="K33" s="53">
        <x:v>0.23099999999999998</x:v>
      </x:c>
      <x:c r="L33" s="54">
        <x:v>2</x:v>
      </x:c>
      <x:c r="M33" s="53">
        <x:v>0.5</x:v>
      </x:c>
      <x:c r="N33" s="53">
        <x:v>0.80000000000000004</x:v>
      </x:c>
      <x:c r="O33" s="54">
        <x:v>1</x:v>
      </x:c>
      <x:c r="P33" s="53">
        <x:v>0.25</x:v>
      </x:c>
      <x:c r="Q33" s="53">
        <x:v>0.25</x:v>
      </x:c>
      <x:c r="R33" s="53">
        <x:v>0</x:v>
      </x:c>
      <x:c r="S33" s="53">
        <x:v>0</x:v>
      </x:c>
      <x:c r="T33" s="53">
        <x:v>0</x:v>
      </x:c>
      <x:c r="U33" s="54">
        <x:v>1</x:v>
      </x:c>
      <x:c r="V33" s="1">
        <x:v>1</x:v>
      </x:c>
      <x:c r="W33" s="1" t="inlineStr">
        <x:is>
          <x:t>40+ SKU; F threshold unknown</x:t>
        </x:is>
      </x:c>
      <x:c r="X33" s="1">
        <x:f>'Входы H'!N113</x:f>
        <x:v>1.5</x:v>
      </x:c>
      <x:c r="Y33" s="1">
        <x:f>'Входы H'!O113</x:f>
        <x:v>0.20000000000000001</x:v>
      </x:c>
      <x:c r="Z33" s="1">
        <x:f>'Входы H'!P113</x:f>
        <x:v>1</x:v>
      </x:c>
      <x:c r="AA33" s="1">
        <x:f>'Входы H'!Q113</x:f>
        <x:v>0.29999999999999999</x:v>
      </x:c>
      <x:c r="AB33" s="1">
        <x:v>0.80000000000000004</x:v>
      </x:c>
      <x:c r="AC33" s="1">
        <x:v>1</x:v>
      </x:c>
    </x:row>
    <x:row r="34" ht="26" customHeight="1">
      <x:c r="A34" s="26">
        <x:v>29</x:v>
      </x:c>
      <x:c r="B34" s="1" t="inlineStr">
        <x:is>
          <x:t>Потребность в H1 среди 40+: 100%</x:t>
        </x:is>
      </x:c>
      <x:c r="C34" s="1" t="inlineStr">
        <x:is>
          <x:t>need</x:t>
        </x:is>
      </x:c>
      <x:c r="D34" s="21">
        <x:v>44000000</x:v>
      </x:c>
      <x:c r="E34" s="21">
        <x:v>84000000</x:v>
      </x:c>
      <x:c r="F34" s="53">
        <x:v>0.27999999999999997</x:v>
      </x:c>
      <x:c r="G34" s="53">
        <x:v>0.12</x:v>
      </x:c>
      <x:c r="H34" s="53">
        <x:v>0.17999999999999999</x:v>
      </x:c>
      <x:c r="I34" s="53">
        <x:v>0.41999999999999998</x:v>
      </x:c>
      <x:c r="J34" s="53">
        <x:v>0.14999999999999999</x:v>
      </x:c>
      <x:c r="K34" s="53">
        <x:v>0.23099999999999998</x:v>
      </x:c>
      <x:c r="L34" s="54">
        <x:v>2</x:v>
      </x:c>
      <x:c r="M34" s="53">
        <x:v>0.5</x:v>
      </x:c>
      <x:c r="N34" s="53">
        <x:v>0.80000000000000004</x:v>
      </x:c>
      <x:c r="O34" s="54">
        <x:v>1</x:v>
      </x:c>
      <x:c r="P34" s="53">
        <x:v>0.25</x:v>
      </x:c>
      <x:c r="Q34" s="53">
        <x:v>0.25</x:v>
      </x:c>
      <x:c r="R34" s="53">
        <x:v>0</x:v>
      </x:c>
      <x:c r="S34" s="53">
        <x:v>0</x:v>
      </x:c>
      <x:c r="T34" s="53">
        <x:v>0</x:v>
      </x:c>
      <x:c r="U34" s="54">
        <x:v>1</x:v>
      </x:c>
      <x:c r="V34" s="1">
        <x:v>1</x:v>
      </x:c>
      <x:c r="W34" s="1" t="inlineStr">
        <x:is>
          <x:t>40+ SKU; F threshold unknown</x:t>
        </x:is>
      </x:c>
      <x:c r="X34" s="1">
        <x:f>'Входы H'!N117</x:f>
        <x:v>1.5</x:v>
      </x:c>
      <x:c r="Y34" s="1">
        <x:f>'Входы H'!O117</x:f>
        <x:v>0.20000000000000001</x:v>
      </x:c>
      <x:c r="Z34" s="1">
        <x:f>'Входы H'!P117</x:f>
        <x:v>1</x:v>
      </x:c>
      <x:c r="AA34" s="1">
        <x:f>'Входы H'!Q117</x:f>
        <x:v>0.29999999999999999</x:v>
      </x:c>
      <x:c r="AB34" s="1">
        <x:v>1</x:v>
      </x:c>
      <x:c r="AC34" s="1">
        <x:v>1</x:v>
      </x:c>
    </x:row>
    <x:row r="35" ht="26" customHeight="1">
      <x:c r="A35" s="1">
        <x:v>30</x:v>
      </x:c>
      <x:c r="B35" s="1" t="inlineStr">
        <x:is>
          <x:t>Большое Избранное: 20%</x:t>
        </x:is>
      </x:c>
      <x:c r="C35" s="1" t="inlineStr">
        <x:is>
          <x:t>favorite</x:t>
        </x:is>
      </x:c>
      <x:c r="D35" s="21">
        <x:v>44000000</x:v>
      </x:c>
      <x:c r="E35" s="21">
        <x:v>84000000</x:v>
      </x:c>
      <x:c r="F35" s="53">
        <x:v>0.13999999999999999</x:v>
      </x:c>
      <x:c r="G35" s="53">
        <x:v>0.059999999999999998</x:v>
      </x:c>
      <x:c r="H35" s="53">
        <x:v>0.23999999999999999</x:v>
      </x:c>
      <x:c r="I35" s="53">
        <x:v>0.55999999999999994</x:v>
      </x:c>
      <x:c r="J35" s="53">
        <x:v>0.14999999999999999</x:v>
      </x:c>
      <x:c r="K35" s="53">
        <x:v>0.249</x:v>
      </x:c>
      <x:c r="L35" s="54">
        <x:v>2</x:v>
      </x:c>
      <x:c r="M35" s="53">
        <x:v>0.625</x:v>
      </x:c>
      <x:c r="N35" s="53">
        <x:v>0.80000000000000004</x:v>
      </x:c>
      <x:c r="O35" s="54">
        <x:v>1</x:v>
      </x:c>
      <x:c r="P35" s="53">
        <x:v>0.25</x:v>
      </x:c>
      <x:c r="Q35" s="53">
        <x:v>0.25</x:v>
      </x:c>
      <x:c r="R35" s="53">
        <x:v>0</x:v>
      </x:c>
      <x:c r="S35" s="53">
        <x:v>0</x:v>
      </x:c>
      <x:c r="T35" s="53">
        <x:v>0</x:v>
      </x:c>
      <x:c r="U35" s="54">
        <x:v>1</x:v>
      </x:c>
      <x:c r="V35" s="1">
        <x:v>1</x:v>
      </x:c>
      <x:c r="W35" s="1" t="inlineStr">
        <x:is>
          <x:t>40+ SKU; F threshold unknown</x:t>
        </x:is>
      </x:c>
      <x:c r="X35" s="1">
        <x:f>'Входы H'!N121</x:f>
        <x:v>1.5</x:v>
      </x:c>
      <x:c r="Y35" s="1">
        <x:f>'Входы H'!O121</x:f>
        <x:v>0.20000000000000001</x:v>
      </x:c>
      <x:c r="Z35" s="1">
        <x:f>'Входы H'!P121</x:f>
        <x:v>1</x:v>
      </x:c>
      <x:c r="AA35" s="1">
        <x:f>'Входы H'!Q121</x:f>
        <x:v>0.29999999999999999</x:v>
      </x:c>
      <x:c r="AB35" s="1">
        <x:v>0.40000000000000002</x:v>
      </x:c>
      <x:c r="AC35" s="1">
        <x:v>1</x:v>
      </x:c>
    </x:row>
    <x:row r="36" ht="26" customHeight="1">
      <x:c r="A36" s="1">
        <x:v>31</x:v>
      </x:c>
      <x:c r="B36" s="1" t="inlineStr">
        <x:is>
          <x:t>Большое Избранное: 60%</x:t>
        </x:is>
      </x:c>
      <x:c r="C36" s="1" t="inlineStr">
        <x:is>
          <x:t>favorite</x:t>
        </x:is>
      </x:c>
      <x:c r="D36" s="21">
        <x:v>44000000</x:v>
      </x:c>
      <x:c r="E36" s="21">
        <x:v>84000000</x:v>
      </x:c>
      <x:c r="F36" s="53">
        <x:v>0.41999999999999998</x:v>
      </x:c>
      <x:c r="G36" s="53">
        <x:v>0.17999999999999999</x:v>
      </x:c>
      <x:c r="H36" s="53">
        <x:v>0.12</x:v>
      </x:c>
      <x:c r="I36" s="53">
        <x:v>0.27999999999999997</x:v>
      </x:c>
      <x:c r="J36" s="53">
        <x:v>0.14999999999999999</x:v>
      </x:c>
      <x:c r="K36" s="53">
        <x:v>0.21299999999999999</x:v>
      </x:c>
      <x:c r="L36" s="54">
        <x:v>2</x:v>
      </x:c>
      <x:c r="M36" s="53">
        <x:v>0.24999999999999997</x:v>
      </x:c>
      <x:c r="N36" s="53">
        <x:v>0.80000000000000004</x:v>
      </x:c>
      <x:c r="O36" s="54">
        <x:v>1</x:v>
      </x:c>
      <x:c r="P36" s="53">
        <x:v>0.25</x:v>
      </x:c>
      <x:c r="Q36" s="53">
        <x:v>0.25</x:v>
      </x:c>
      <x:c r="R36" s="53">
        <x:v>0</x:v>
      </x:c>
      <x:c r="S36" s="53">
        <x:v>0</x:v>
      </x:c>
      <x:c r="T36" s="53">
        <x:v>0</x:v>
      </x:c>
      <x:c r="U36" s="54">
        <x:v>1</x:v>
      </x:c>
      <x:c r="V36" s="1">
        <x:v>1</x:v>
      </x:c>
      <x:c r="W36" s="1" t="inlineStr">
        <x:is>
          <x:t>40+ SKU; F threshold unknown</x:t>
        </x:is>
      </x:c>
      <x:c r="X36" s="1">
        <x:f>'Входы H'!N125</x:f>
        <x:v>1.5</x:v>
      </x:c>
      <x:c r="Y36" s="1">
        <x:f>'Входы H'!O125</x:f>
        <x:v>0.20000000000000001</x:v>
      </x:c>
      <x:c r="Z36" s="1">
        <x:f>'Входы H'!P125</x:f>
        <x:v>1</x:v>
      </x:c>
      <x:c r="AA36" s="1">
        <x:f>'Входы H'!Q125</x:f>
        <x:v>0.29999999999999999</x:v>
      </x:c>
      <x:c r="AB36" s="1">
        <x:v>0.40000000000000002</x:v>
      </x:c>
      <x:c r="AC36" s="1">
        <x:v>1</x:v>
      </x:c>
    </x:row>
    <x:row r="37" ht="26" customHeight="1">
      <x:c r="A37" s="1">
        <x:v>32</x:v>
      </x:c>
      <x:c r="B37" s="1" t="inlineStr">
        <x:is>
          <x:t>40+ среди посетителей: ×0.5</x:t>
        </x:is>
      </x:c>
      <x:c r="C37" s="1" t="inlineStr">
        <x:is>
          <x:t>selection</x:t>
        </x:is>
      </x:c>
      <x:c r="D37" s="21">
        <x:v>44000000</x:v>
      </x:c>
      <x:c r="E37" s="21">
        <x:v>84000000</x:v>
      </x:c>
      <x:c r="F37" s="53">
        <x:v>0.27999999999999997</x:v>
      </x:c>
      <x:c r="G37" s="53">
        <x:v>0.12</x:v>
      </x:c>
      <x:c r="H37" s="53">
        <x:v>0.17999999999999999</x:v>
      </x:c>
      <x:c r="I37" s="53">
        <x:v>0.41999999999999998</x:v>
      </x:c>
      <x:c r="J37" s="53">
        <x:v>0.14999999999999999</x:v>
      </x:c>
      <x:c r="K37" s="53">
        <x:v>0.23099999999999998</x:v>
      </x:c>
      <x:c r="L37" s="54">
        <x:v>2</x:v>
      </x:c>
      <x:c r="M37" s="53">
        <x:v>0.5</x:v>
      </x:c>
      <x:c r="N37" s="53">
        <x:v>0.80000000000000004</x:v>
      </x:c>
      <x:c r="O37" s="54">
        <x:v>1</x:v>
      </x:c>
      <x:c r="P37" s="53">
        <x:v>0.25</x:v>
      </x:c>
      <x:c r="Q37" s="53">
        <x:v>0.25</x:v>
      </x:c>
      <x:c r="R37" s="53">
        <x:v>0</x:v>
      </x:c>
      <x:c r="S37" s="53">
        <x:v>0</x:v>
      </x:c>
      <x:c r="T37" s="53">
        <x:v>0</x:v>
      </x:c>
      <x:c r="U37" s="54">
        <x:v>1</x:v>
      </x:c>
      <x:c r="V37" s="1">
        <x:v>1</x:v>
      </x:c>
      <x:c r="W37" s="1" t="inlineStr">
        <x:is>
          <x:t>40+ SKU; F threshold unknown</x:t>
        </x:is>
      </x:c>
      <x:c r="X37" s="1">
        <x:f>'Входы H'!N129</x:f>
        <x:v>1.5</x:v>
      </x:c>
      <x:c r="Y37" s="1">
        <x:f>'Входы H'!O129</x:f>
        <x:v>0.20000000000000001</x:v>
      </x:c>
      <x:c r="Z37" s="1">
        <x:f>'Входы H'!P129</x:f>
        <x:v>1</x:v>
      </x:c>
      <x:c r="AA37" s="1">
        <x:f>'Входы H'!Q129</x:f>
        <x:v>0.29999999999999999</x:v>
      </x:c>
      <x:c r="AB37" s="1">
        <x:v>0.40000000000000002</x:v>
      </x:c>
      <x:c r="AC37" s="1">
        <x:v>1</x:v>
      </x:c>
    </x:row>
    <x:row r="38" ht="26" customHeight="1">
      <x:c r="A38" s="1">
        <x:v>33</x:v>
      </x:c>
      <x:c r="B38" s="1" t="inlineStr">
        <x:is>
          <x:t>40+ среди посетителей: ×1.4</x:t>
        </x:is>
      </x:c>
      <x:c r="C38" s="1" t="inlineStr">
        <x:is>
          <x:t>selection</x:t>
        </x:is>
      </x:c>
      <x:c r="D38" s="21">
        <x:v>44000000</x:v>
      </x:c>
      <x:c r="E38" s="21">
        <x:v>84000000</x:v>
      </x:c>
      <x:c r="F38" s="53">
        <x:v>0.27999999999999997</x:v>
      </x:c>
      <x:c r="G38" s="53">
        <x:v>0.12</x:v>
      </x:c>
      <x:c r="H38" s="53">
        <x:v>0.17999999999999999</x:v>
      </x:c>
      <x:c r="I38" s="53">
        <x:v>0.41999999999999998</x:v>
      </x:c>
      <x:c r="J38" s="53">
        <x:v>0.14999999999999999</x:v>
      </x:c>
      <x:c r="K38" s="53">
        <x:v>0.23099999999999998</x:v>
      </x:c>
      <x:c r="L38" s="54">
        <x:v>2</x:v>
      </x:c>
      <x:c r="M38" s="53">
        <x:v>0.5</x:v>
      </x:c>
      <x:c r="N38" s="53">
        <x:v>0.80000000000000004</x:v>
      </x:c>
      <x:c r="O38" s="54">
        <x:v>1</x:v>
      </x:c>
      <x:c r="P38" s="53">
        <x:v>0.25</x:v>
      </x:c>
      <x:c r="Q38" s="53">
        <x:v>0.25</x:v>
      </x:c>
      <x:c r="R38" s="53">
        <x:v>0</x:v>
      </x:c>
      <x:c r="S38" s="53">
        <x:v>0</x:v>
      </x:c>
      <x:c r="T38" s="53">
        <x:v>0</x:v>
      </x:c>
      <x:c r="U38" s="54">
        <x:v>1</x:v>
      </x:c>
      <x:c r="V38" s="1">
        <x:v>1</x:v>
      </x:c>
      <x:c r="W38" s="1" t="inlineStr">
        <x:is>
          <x:t>40+ SKU; F threshold unknown</x:t>
        </x:is>
      </x:c>
      <x:c r="X38" s="1">
        <x:f>'Входы H'!N133</x:f>
        <x:v>1.5</x:v>
      </x:c>
      <x:c r="Y38" s="1">
        <x:f>'Входы H'!O133</x:f>
        <x:v>0.20000000000000001</x:v>
      </x:c>
      <x:c r="Z38" s="1">
        <x:f>'Входы H'!P133</x:f>
        <x:v>1</x:v>
      </x:c>
      <x:c r="AA38" s="1">
        <x:f>'Входы H'!Q133</x:f>
        <x:v>0.29999999999999999</x:v>
      </x:c>
      <x:c r="AB38" s="1">
        <x:v>0.40000000000000002</x:v>
      </x:c>
      <x:c r="AC38" s="1">
        <x:v>1</x:v>
      </x:c>
    </x:row>
    <x:row r="39" ht="26" customHeight="1">
      <x:c r="A39" s="1">
        <x:v>34</x:v>
      </x:c>
      <x:c r="B39" s="1" t="inlineStr">
        <x:is>
          <x:t>Охват H4: ×0.75</x:t>
        </x:is>
      </x:c>
      <x:c r="C39" s="1" t="inlineStr">
        <x:is>
          <x:t>h4_reach</x:t>
        </x:is>
      </x:c>
      <x:c r="D39" s="21">
        <x:v>44000000</x:v>
      </x:c>
      <x:c r="E39" s="21">
        <x:v>84000000</x:v>
      </x:c>
      <x:c r="F39" s="53">
        <x:v>0.27999999999999997</x:v>
      </x:c>
      <x:c r="G39" s="53">
        <x:v>0.12</x:v>
      </x:c>
      <x:c r="H39" s="53">
        <x:v>0.17999999999999999</x:v>
      </x:c>
      <x:c r="I39" s="53">
        <x:v>0.41999999999999998</x:v>
      </x:c>
      <x:c r="J39" s="53">
        <x:v>0.14999999999999999</x:v>
      </x:c>
      <x:c r="K39" s="53">
        <x:v>0.23099999999999998</x:v>
      </x:c>
      <x:c r="L39" s="54">
        <x:v>2</x:v>
      </x:c>
      <x:c r="M39" s="53">
        <x:v>0.5</x:v>
      </x:c>
      <x:c r="N39" s="53">
        <x:v>0.80000000000000004</x:v>
      </x:c>
      <x:c r="O39" s="54">
        <x:v>1</x:v>
      </x:c>
      <x:c r="P39" s="53">
        <x:v>0.25</x:v>
      </x:c>
      <x:c r="Q39" s="53">
        <x:v>0.25</x:v>
      </x:c>
      <x:c r="R39" s="53">
        <x:v>0</x:v>
      </x:c>
      <x:c r="S39" s="53">
        <x:v>0</x:v>
      </x:c>
      <x:c r="T39" s="53">
        <x:v>0</x:v>
      </x:c>
      <x:c r="U39" s="54">
        <x:v>1</x:v>
      </x:c>
      <x:c r="V39" s="1">
        <x:v>1</x:v>
      </x:c>
      <x:c r="W39" s="1" t="inlineStr">
        <x:is>
          <x:t>40+ SKU; F threshold unknown</x:t>
        </x:is>
      </x:c>
      <x:c r="X39" s="1">
        <x:f>'Входы H'!N137</x:f>
        <x:v>1.5</x:v>
      </x:c>
      <x:c r="Y39" s="1">
        <x:f>'Входы H'!O137</x:f>
        <x:v>0.20000000000000001</x:v>
      </x:c>
      <x:c r="Z39" s="1">
        <x:f>'Входы H'!P137</x:f>
        <x:v>1</x:v>
      </x:c>
      <x:c r="AA39" s="1">
        <x:f>'Входы H'!Q137</x:f>
        <x:v>0.29999999999999999</x:v>
      </x:c>
      <x:c r="AB39" s="1">
        <x:v>0.40000000000000002</x:v>
      </x:c>
      <x:c r="AC39" s="1">
        <x:v>0.75</x:v>
      </x:c>
    </x:row>
    <x:row r="40" ht="26" customHeight="1">
      <x:c r="A40" s="1">
        <x:v>35</x:v>
      </x:c>
      <x:c r="B40" s="1" t="inlineStr">
        <x:is>
          <x:t>Охват H4: ×1.25</x:t>
        </x:is>
      </x:c>
      <x:c r="C40" s="1" t="inlineStr">
        <x:is>
          <x:t>h4_reach</x:t>
        </x:is>
      </x:c>
      <x:c r="D40" s="21">
        <x:v>44000000</x:v>
      </x:c>
      <x:c r="E40" s="21">
        <x:v>84000000</x:v>
      </x:c>
      <x:c r="F40" s="53">
        <x:v>0.27999999999999997</x:v>
      </x:c>
      <x:c r="G40" s="53">
        <x:v>0.12</x:v>
      </x:c>
      <x:c r="H40" s="53">
        <x:v>0.17999999999999999</x:v>
      </x:c>
      <x:c r="I40" s="53">
        <x:v>0.41999999999999998</x:v>
      </x:c>
      <x:c r="J40" s="53">
        <x:v>0.14999999999999999</x:v>
      </x:c>
      <x:c r="K40" s="53">
        <x:v>0.23099999999999998</x:v>
      </x:c>
      <x:c r="L40" s="54">
        <x:v>2</x:v>
      </x:c>
      <x:c r="M40" s="53">
        <x:v>0.5</x:v>
      </x:c>
      <x:c r="N40" s="53">
        <x:v>0.80000000000000004</x:v>
      </x:c>
      <x:c r="O40" s="54">
        <x:v>1</x:v>
      </x:c>
      <x:c r="P40" s="53">
        <x:v>0.25</x:v>
      </x:c>
      <x:c r="Q40" s="53">
        <x:v>0.25</x:v>
      </x:c>
      <x:c r="R40" s="53">
        <x:v>0</x:v>
      </x:c>
      <x:c r="S40" s="53">
        <x:v>0</x:v>
      </x:c>
      <x:c r="T40" s="53">
        <x:v>0</x:v>
      </x:c>
      <x:c r="U40" s="54">
        <x:v>1</x:v>
      </x:c>
      <x:c r="V40" s="1">
        <x:v>1</x:v>
      </x:c>
      <x:c r="W40" s="1" t="inlineStr">
        <x:is>
          <x:t>40+ SKU; F threshold unknown</x:t>
        </x:is>
      </x:c>
      <x:c r="X40" s="1">
        <x:f>'Входы H'!N141</x:f>
        <x:v>1.5</x:v>
      </x:c>
      <x:c r="Y40" s="1">
        <x:f>'Входы H'!O141</x:f>
        <x:v>0.20000000000000001</x:v>
      </x:c>
      <x:c r="Z40" s="1">
        <x:f>'Входы H'!P141</x:f>
        <x:v>1</x:v>
      </x:c>
      <x:c r="AA40" s="1">
        <x:f>'Входы H'!Q141</x:f>
        <x:v>0.29999999999999999</x:v>
      </x:c>
      <x:c r="AB40" s="1">
        <x:v>0.40000000000000002</x:v>
      </x:c>
      <x:c r="AC40" s="1">
        <x:v>1.25</x:v>
      </x:c>
    </x:row>
    <x:row r="41" ht="26" customHeight="1">
      <x:c r="A41" s="1"/>
      <x:c r="B41" s="1"/>
      <x:c r="C41" s="1"/>
      <x:c r="D41" s="1"/>
      <x:c r="E41" s="1"/>
      <x:c r="F41" s="1"/>
      <x:c r="G41" s="1"/>
      <x:c r="H41" s="1"/>
      <x:c r="I41" s="1"/>
      <x:c r="J41" s="1"/>
      <x:c r="K41" s="1"/>
      <x:c r="L41" s="1"/>
      <x:c r="M41" s="1"/>
      <x:c r="N41" s="1"/>
      <x:c r="O41" s="1"/>
      <x:c r="P41" s="1"/>
      <x:c r="Q41" s="1"/>
      <x:c r="R41" s="1"/>
      <x:c r="S41" s="1"/>
      <x:c r="T41" s="1"/>
      <x:c r="U41" s="1"/>
      <x:c r="V41" s="1"/>
      <x:c r="W41" s="1"/>
      <x:c r="X41" s="1"/>
      <x:c r="Y41" s="1"/>
      <x:c r="Z41" s="1"/>
      <x:c r="AA41" s="1"/>
      <x:c r="AB41" s="1"/>
      <x:c r="AC41" s="1"/>
    </x:row>
    <x:row r="42" ht="26" customHeight="1">
      <x:c r="A42" s="1"/>
      <x:c r="B42" s="1"/>
      <x:c r="C42" s="1"/>
      <x:c r="D42" s="1"/>
      <x:c r="E42" s="1"/>
      <x:c r="F42" s="1"/>
      <x:c r="G42" s="1"/>
      <x:c r="H42" s="1"/>
      <x:c r="I42" s="1"/>
      <x:c r="J42" s="1"/>
      <x:c r="K42" s="1"/>
      <x:c r="L42" s="1"/>
      <x:c r="M42" s="1"/>
      <x:c r="N42" s="1"/>
      <x:c r="O42" s="1"/>
      <x:c r="P42" s="1"/>
      <x:c r="Q42" s="1"/>
      <x:c r="R42" s="1"/>
      <x:c r="S42" s="1"/>
      <x:c r="T42" s="1"/>
      <x:c r="U42" s="1"/>
      <x:c r="V42" s="1"/>
      <x:c r="W42" s="1"/>
      <x:c r="X42" s="1"/>
      <x:c r="Y42" s="1"/>
      <x:c r="Z42" s="1"/>
      <x:c r="AA42" s="1"/>
      <x:c r="AB42" s="1"/>
      <x:c r="AC42" s="1"/>
    </x:row>
    <x:row r="43" ht="44" customHeight="1">
      <x:c r="A43" s="26" t="str">
        <x:v>Все CR и риски сценарные. 44/84 млн: март 2026. Распределения Корзин сконструированы по среднему 60, медиане 24 и максимуму 300; это не измерения.</x:v>
      </x:c>
      <x:c r="B43" s="1"/>
      <x:c r="C43" s="1"/>
      <x:c r="D43" s="1"/>
      <x:c r="E43" s="1"/>
      <x:c r="F43" s="1"/>
      <x:c r="G43" s="1"/>
      <x:c r="H43" s="1"/>
      <x:c r="I43" s="1"/>
      <x:c r="J43" s="1"/>
      <x:c r="K43" s="1"/>
      <x:c r="L43" s="1"/>
      <x:c r="M43" s="1"/>
      <x:c r="N43" s="1"/>
      <x:c r="O43" s="1"/>
      <x:c r="P43" s="1"/>
      <x:c r="Q43" s="1"/>
      <x:c r="R43" s="1"/>
      <x:c r="S43" s="1"/>
      <x:c r="T43" s="1"/>
      <x:c r="U43" s="1"/>
      <x:c r="V43" s="1"/>
      <x:c r="W43" s="1"/>
      <x:c r="X43" s="1"/>
      <x:c r="Y43" s="1"/>
      <x:c r="Z43" s="1"/>
      <x:c r="AA43" s="1"/>
      <x:c r="AB43" s="1"/>
      <x:c r="AC43" s="1"/>
    </x:row>
    <x:row r="44" ht="26" customHeight="1">
      <x:c r="A44" s="1"/>
      <x:c r="B44" s="1"/>
      <x:c r="C44" s="1"/>
      <x:c r="D44" s="1"/>
      <x:c r="E44" s="1"/>
      <x:c r="F44" s="1"/>
      <x:c r="G44" s="1"/>
      <x:c r="H44" s="1"/>
      <x:c r="I44" s="1"/>
      <x:c r="J44" s="1"/>
      <x:c r="K44" s="1"/>
      <x:c r="L44" s="1"/>
      <x:c r="M44" s="1"/>
      <x:c r="N44" s="1"/>
      <x:c r="O44" s="1"/>
      <x:c r="P44" s="1"/>
      <x:c r="Q44" s="1"/>
      <x:c r="R44" s="1"/>
      <x:c r="S44" s="1"/>
      <x:c r="T44" s="1"/>
      <x:c r="U44" s="1"/>
      <x:c r="V44" s="1"/>
      <x:c r="W44" s="1"/>
      <x:c r="X44" s="1"/>
      <x:c r="Y44" s="1"/>
      <x:c r="Z44" s="1"/>
      <x:c r="AA44" s="1"/>
      <x:c r="AB44" s="1"/>
      <x:c r="AC44" s="1"/>
    </x:row>
    <x:row r="45" ht="26" customHeight="1">
      <x:c r="A45" s="1"/>
      <x:c r="B45" s="1"/>
      <x:c r="C45" s="1"/>
      <x:c r="D45" s="1"/>
      <x:c r="E45" s="1"/>
      <x:c r="F45" s="1"/>
      <x:c r="G45" s="1"/>
      <x:c r="H45" s="1"/>
      <x:c r="I45" s="1"/>
      <x:c r="J45" s="1"/>
      <x:c r="K45" s="1"/>
      <x:c r="L45" s="1"/>
      <x:c r="M45" s="1"/>
      <x:c r="N45" s="1"/>
      <x:c r="O45" s="1"/>
      <x:c r="P45" s="1"/>
      <x:c r="Q45" s="1"/>
      <x:c r="R45" s="1"/>
      <x:c r="S45" s="1"/>
      <x:c r="T45" s="1"/>
      <x:c r="U45" s="1"/>
      <x:c r="V45" s="1"/>
      <x:c r="W45" s="1"/>
      <x:c r="X45" s="1"/>
      <x:c r="Y45" s="1"/>
      <x:c r="Z45" s="1"/>
      <x:c r="AA45" s="1"/>
      <x:c r="AB45" s="1"/>
      <x:c r="AC45" s="1"/>
    </x:row>
    <x:row r="46" ht="26" customHeight="1">
      <x:c r="A46" s="1"/>
      <x:c r="B46" s="1"/>
      <x:c r="C46" s="1"/>
      <x:c r="D46" s="1"/>
      <x:c r="E46" s="1"/>
      <x:c r="F46" s="1"/>
      <x:c r="G46" s="1"/>
      <x:c r="H46" s="1"/>
      <x:c r="I46" s="1"/>
      <x:c r="J46" s="1"/>
      <x:c r="K46" s="1"/>
      <x:c r="L46" s="1"/>
      <x:c r="M46" s="1"/>
      <x:c r="N46" s="1"/>
      <x:c r="O46" s="1"/>
      <x:c r="P46" s="1"/>
      <x:c r="Q46" s="1"/>
      <x:c r="R46" s="1"/>
      <x:c r="S46" s="1"/>
      <x:c r="T46" s="1"/>
      <x:c r="U46" s="1"/>
      <x:c r="V46" s="1"/>
      <x:c r="W46" s="1"/>
      <x:c r="X46" s="1"/>
      <x:c r="Y46" s="1"/>
      <x:c r="Z46" s="1"/>
      <x:c r="AA46" s="1"/>
      <x:c r="AB46" s="1"/>
      <x:c r="AC46" s="1"/>
    </x:row>
  </x:sheetData>
  <x:mergeCells>
    <x:mergeCell ref="A2:F2"/>
    <x:mergeCell ref="A43:AA44"/>
  </x:mergeCells>
  <x:pageMargins left="0.7" right="0.7" top="0.75" bottom="0.75" header="0.3" footer="0.3"/>
</x:worksheet>
</file>

<file path=xl/worksheets/sheet12.xml><?xml version="1.0" encoding="utf-8"?>
<x:worksheet xmlns:x="http://schemas.openxmlformats.org/spreadsheetml/2006/main">
  <x:sheetPr>
    <x:tabColor rgb="FF477A68"/>
  </x:sheetPr>
  <x:sheetViews>
    <x:sheetView showGridLines="0" workbookViewId="0">
      <x:pane xSplit="2" ySplit="5" topLeftCell="C6" activePane="bottomRight" state="frozen"/>
    </x:sheetView>
  </x:sheetViews>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9" max="9" width="32" hidden="0" customWidth="1"/>
    <x:col min="10" max="10" width="16" hidden="0" customWidth="1"/>
    <x:col min="11" max="11" width="18" hidden="0" customWidth="1"/>
    <x:col min="12" max="12" width="40" hidden="0" customWidth="1"/>
    <x:col min="13" max="13" width="18" hidden="0" customWidth="1"/>
    <x:col min="14" max="14" width="18" hidden="0" customWidth="1"/>
    <x:col min="15" max="15" width="18" hidden="0" customWidth="1"/>
    <x:col min="16" max="16" width="18" hidden="0" customWidth="1"/>
    <x:col min="17" max="17" width="18" hidden="0" customWidth="1"/>
  </x:cols>
  <x:sheetData>
    <x:row r="1" ht="26" customHeight="1">
      <x:c r="A1" s="1"/>
      <x:c r="B1" s="1"/>
      <x:c r="C1" s="1"/>
      <x:c r="D1" s="1"/>
      <x:c r="E1" s="1"/>
      <x:c r="F1" s="1"/>
      <x:c r="G1" s="1"/>
      <x:c r="H1" s="1"/>
      <x:c r="I1" s="1"/>
      <x:c r="J1" s="1"/>
      <x:c r="K1" s="1"/>
      <x:c r="L1" s="1"/>
      <x:c r="M1" s="1"/>
      <x:c r="N1" s="1"/>
      <x:c r="O1" s="1"/>
      <x:c r="P1" s="1"/>
      <x:c r="Q1" s="1"/>
    </x:row>
    <x:row r="2" ht="26" customHeight="1">
      <x:c r="A2" s="28" t="str">
        <x:v>Охваты и исходные риски · допущения, сохранённые из прежней модели</x:v>
      </x:c>
      <x:c r="B2" s="1"/>
      <x:c r="C2" s="1"/>
      <x:c r="D2" s="1"/>
      <x:c r="E2" s="1"/>
      <x:c r="F2" s="1"/>
      <x:c r="G2" s="1"/>
      <x:c r="H2" s="1"/>
      <x:c r="I2" s="1"/>
      <x:c r="J2" s="1"/>
      <x:c r="K2" s="1"/>
      <x:c r="L2" s="1"/>
      <x:c r="M2" s="1"/>
      <x:c r="N2" s="1"/>
      <x:c r="O2" s="1"/>
      <x:c r="P2" s="1"/>
      <x:c r="Q2" s="1"/>
    </x:row>
    <x:row r="3" ht="26" customHeight="1">
      <x:c r="A3" s="1"/>
      <x:c r="B3" s="1"/>
      <x:c r="C3" s="1"/>
      <x:c r="D3" s="1"/>
      <x:c r="E3" s="1"/>
      <x:c r="F3" s="1"/>
      <x:c r="G3" s="1"/>
      <x:c r="H3" s="1"/>
      <x:c r="I3" s="1"/>
      <x:c r="J3" s="1"/>
      <x:c r="K3" s="1"/>
      <x:c r="L3" s="1"/>
      <x:c r="M3" s="1"/>
      <x:c r="N3" s="1"/>
      <x:c r="O3" s="1"/>
      <x:c r="P3" s="1"/>
      <x:c r="Q3" s="1"/>
    </x:row>
    <x:row r="4" ht="62" customHeight="1">
      <x:c r="A4" s="52" t="str">
        <x:v>H</x:v>
      </x:c>
      <x:c r="B4" s="52" t="str">
        <x:v>Когорта</x:v>
      </x:c>
      <x:c r="C4" s="52" t="str">
        <x:v>Цель C</x:v>
      </x:c>
      <x:c r="D4" s="52" t="str">
        <x:v>Цель F</x:v>
      </x:c>
      <x:c r="E4" s="52" t="str">
        <x:v>Цель C∩F</x:v>
      </x:c>
      <x:c r="F4" s="52" t="str">
        <x:v>Базовая потеря C</x:v>
      </x:c>
      <x:c r="G4" s="52" t="str">
        <x:v>Базовая потеря F</x:v>
      </x:c>
      <x:c r="H4" s="52" t="str">
        <x:v>Базовый Δ дохода</x:v>
      </x:c>
      <x:c r="I4" s="52" t="str">
        <x:v>Статус</x:v>
      </x:c>
      <x:c r="J4" s="1"/>
      <x:c r="K4" s="56" t="str">
        <x:v>№ сценария</x:v>
      </x:c>
      <x:c r="L4" s="56" t="str">
        <x:v>Сценарий</x:v>
      </x:c>
      <x:c r="M4" s="56" t="str">
        <x:v>Когорта</x:v>
      </x:c>
      <x:c r="N4" s="56" t="str">
        <x:v>Вес: C</x:v>
      </x:c>
      <x:c r="O4" s="56" t="str">
        <x:v>Вес: F</x:v>
      </x:c>
      <x:c r="P4" s="56" t="str">
        <x:v>Вес: оба</x:v>
      </x:c>
      <x:c r="Q4" s="56" t="str">
        <x:v>Вес: вне</x:v>
      </x:c>
      <x:c r="R4" t="str">
        <x:v>P(C-визит)</x:v>
      </x:c>
      <x:c r="S4" t="str">
        <x:v>P(F-визит)</x:v>
      </x:c>
    </x:row>
    <x:row r="5" ht="26" customHeight="1">
      <x:c r="A5" s="1" t="str">
        <x:v>H1</x:v>
      </x:c>
      <x:c r="B5" s="1" t="str">
        <x:v>S1</x:v>
      </x:c>
      <x:c r="C5" s="53">
        <x:v>0</x:v>
      </x:c>
      <x:c r="D5" s="53">
        <x:v>0</x:v>
      </x:c>
      <x:c r="E5" s="53">
        <x:v>0</x:v>
      </x:c>
      <x:c r="F5" s="53" t="n">
        <x:v>0</x:v>
      </x:c>
      <x:c r="G5" s="53" t="n">
        <x:v>0</x:v>
      </x:c>
      <x:c r="H5" s="53" t="n">
        <x:v>0</x:v>
      </x:c>
      <x:c r="I5" s="1" t="str">
        <x:v>Сценарное допущение</x:v>
      </x:c>
      <x:c r="J5" s="1"/>
      <x:c r="K5" s="1" t="n">
        <x:v>1</x:v>
      </x:c>
      <x:c r="L5" s="1" t="str">
        <x:v>Мало китов</x:v>
      </x:c>
      <x:c r="M5" s="1" t="str">
        <x:v>S1</x:v>
      </x:c>
      <x:c r="N5" s="54">
        <x:v>1.5</x:v>
      </x:c>
      <x:c r="O5" s="54">
        <x:v>0.20000000000000001</x:v>
      </x:c>
      <x:c r="P5" s="54">
        <x:v>1</x:v>
      </x:c>
      <x:c r="Q5" s="54">
        <x:v>0.29999999999999999</x:v>
      </x:c>
      <x:c r="R5">
        <x:v>0.65000000000000002</x:v>
      </x:c>
      <x:c r="S5">
        <x:v>0.13</x:v>
      </x:c>
    </x:row>
    <x:row r="6" ht="26" customHeight="1">
      <x:c r="A6" s="1" t="str">
        <x:v>H1</x:v>
      </x:c>
      <x:c r="B6" s="1" t="str">
        <x:v>S2</x:v>
      </x:c>
      <x:c r="C6" s="53">
        <x:v>0.40000000000000002</x:v>
      </x:c>
      <x:c r="D6" s="53">
        <x:v>0</x:v>
      </x:c>
      <x:c r="E6" s="53">
        <x:v>0</x:v>
      </x:c>
      <x:c r="F6" s="53" t="n">
        <x:v>0</x:v>
      </x:c>
      <x:c r="G6" s="53" t="n">
        <x:v>0</x:v>
      </x:c>
      <x:c r="H6" s="53" t="n">
        <x:v>0</x:v>
      </x:c>
      <x:c r="I6" s="1" t="str">
        <x:v>Сценарное допущение</x:v>
      </x:c>
      <x:c r="J6" s="1"/>
      <x:c r="K6" s="1" t="n">
        <x:v>1</x:v>
      </x:c>
      <x:c r="L6" s="1" t="str">
        <x:v>Мало китов</x:v>
      </x:c>
      <x:c r="M6" s="1" t="str">
        <x:v>S2</x:v>
      </x:c>
      <x:c r="N6" s="54">
        <x:v>1.5</x:v>
      </x:c>
      <x:c r="O6" s="54">
        <x:v>0.20000000000000001</x:v>
      </x:c>
      <x:c r="P6" s="54">
        <x:v>1</x:v>
      </x:c>
      <x:c r="Q6" s="54">
        <x:v>0.29999999999999999</x:v>
      </x:c>
      <x:c r="R6">
        <x:v>0.65000000000000002</x:v>
      </x:c>
      <x:c r="S6">
        <x:v>0.13</x:v>
      </x:c>
    </x:row>
    <x:row r="7" ht="26" customHeight="1">
      <x:c r="A7" s="1" t="str">
        <x:v>H1</x:v>
      </x:c>
      <x:c r="B7" s="1" t="str">
        <x:v>S3</x:v>
      </x:c>
      <x:c r="C7" s="53">
        <x:v>0.40000000000000002</x:v>
      </x:c>
      <x:c r="D7" s="53">
        <x:v>0</x:v>
      </x:c>
      <x:c r="E7" s="53">
        <x:v>0</x:v>
      </x:c>
      <x:c r="F7" s="53" t="n">
        <x:v>0</x:v>
      </x:c>
      <x:c r="G7" s="53" t="n">
        <x:v>0</x:v>
      </x:c>
      <x:c r="H7" s="53" t="n">
        <x:v>0</x:v>
      </x:c>
      <x:c r="I7" s="1" t="str">
        <x:v>Сценарное допущение</x:v>
      </x:c>
      <x:c r="J7" s="1"/>
      <x:c r="K7" s="1" t="n">
        <x:v>1</x:v>
      </x:c>
      <x:c r="L7" s="1" t="str">
        <x:v>Мало китов</x:v>
      </x:c>
      <x:c r="M7" s="1" t="str">
        <x:v>S3</x:v>
      </x:c>
      <x:c r="N7" s="54">
        <x:v>1.5</x:v>
      </x:c>
      <x:c r="O7" s="54">
        <x:v>0.20000000000000001</x:v>
      </x:c>
      <x:c r="P7" s="54">
        <x:v>1</x:v>
      </x:c>
      <x:c r="Q7" s="54">
        <x:v>0.29999999999999999</x:v>
      </x:c>
      <x:c r="R7">
        <x:v>0.65000000000000002</x:v>
      </x:c>
      <x:c r="S7">
        <x:v>0.13</x:v>
      </x:c>
    </x:row>
    <x:row r="8" ht="26" customHeight="1">
      <x:c r="A8" s="1" t="str">
        <x:v>H1</x:v>
      </x:c>
      <x:c r="B8" s="1" t="str">
        <x:v>S4</x:v>
      </x:c>
      <x:c r="C8" s="53">
        <x:v>0</x:v>
      </x:c>
      <x:c r="D8" s="53">
        <x:v>0</x:v>
      </x:c>
      <x:c r="E8" s="53">
        <x:v>0</x:v>
      </x:c>
      <x:c r="F8" s="53" t="n">
        <x:v>0</x:v>
      </x:c>
      <x:c r="G8" s="53" t="n">
        <x:v>0</x:v>
      </x:c>
      <x:c r="H8" s="53" t="n">
        <x:v>0</x:v>
      </x:c>
      <x:c r="I8" s="1" t="str">
        <x:v>Сценарное допущение</x:v>
      </x:c>
      <x:c r="J8" s="1"/>
      <x:c r="K8" s="1" t="n">
        <x:v>1</x:v>
      </x:c>
      <x:c r="L8" s="1" t="str">
        <x:v>Мало китов</x:v>
      </x:c>
      <x:c r="M8" s="1" t="str">
        <x:v>S4</x:v>
      </x:c>
      <x:c r="N8" s="54">
        <x:v>1.5</x:v>
      </x:c>
      <x:c r="O8" s="54">
        <x:v>0.20000000000000001</x:v>
      </x:c>
      <x:c r="P8" s="54">
        <x:v>1</x:v>
      </x:c>
      <x:c r="Q8" s="54">
        <x:v>0.29999999999999999</x:v>
      </x:c>
      <x:c r="R8">
        <x:v>0.65000000000000002</x:v>
      </x:c>
      <x:c r="S8">
        <x:v>0.13</x:v>
      </x:c>
    </x:row>
    <x:row r="9" ht="26" customHeight="1">
      <x:c r="A9" s="1" t="str">
        <x:v>H2</x:v>
      </x:c>
      <x:c r="B9" s="1" t="str">
        <x:v>S1</x:v>
      </x:c>
      <x:c r="C9" s="53">
        <x:v>0.20000000000000001</x:v>
      </x:c>
      <x:c r="D9" s="53">
        <x:v>0.25</x:v>
      </x:c>
      <x:c r="E9" s="53">
        <x:v>0.10000000000000001</x:v>
      </x:c>
      <x:c r="F9" s="53" t="n">
        <x:v>0</x:v>
      </x:c>
      <x:c r="G9" s="53" t="n">
        <x:v>0</x:v>
      </x:c>
      <x:c r="H9" s="53" t="n">
        <x:v>0</x:v>
      </x:c>
      <x:c r="I9" s="1" t="str">
        <x:v>Сценарное допущение</x:v>
      </x:c>
      <x:c r="J9" s="1"/>
      <x:c r="K9" s="1" t="n">
        <x:v>2</x:v>
      </x:c>
      <x:c r="L9" s="1" t="str">
        <x:v>Исходный контроль</x:v>
      </x:c>
      <x:c r="M9" s="1" t="str">
        <x:v>S1</x:v>
      </x:c>
      <x:c r="N9" s="54">
        <x:v>1.5</x:v>
      </x:c>
      <x:c r="O9" s="54">
        <x:v>0.20000000000000001</x:v>
      </x:c>
      <x:c r="P9" s="54">
        <x:v>1</x:v>
      </x:c>
      <x:c r="Q9" s="54">
        <x:v>0.29999999999999999</x:v>
      </x:c>
      <x:c r="R9">
        <x:v>0.65000000000000002</x:v>
      </x:c>
      <x:c r="S9">
        <x:v>0.13</x:v>
      </x:c>
    </x:row>
    <x:row r="10" ht="26" customHeight="1">
      <x:c r="A10" s="1" t="str">
        <x:v>H2</x:v>
      </x:c>
      <x:c r="B10" s="1" t="str">
        <x:v>S2</x:v>
      </x:c>
      <x:c r="C10" s="53">
        <x:v>0.20000000000000001</x:v>
      </x:c>
      <x:c r="D10" s="53">
        <x:v>0.25</x:v>
      </x:c>
      <x:c r="E10" s="53">
        <x:v>0.10000000000000001</x:v>
      </x:c>
      <x:c r="F10" s="53" t="n">
        <x:v>0</x:v>
      </x:c>
      <x:c r="G10" s="53" t="n">
        <x:v>0</x:v>
      </x:c>
      <x:c r="H10" s="53" t="n">
        <x:v>0</x:v>
      </x:c>
      <x:c r="I10" s="1" t="str">
        <x:v>Сценарное допущение</x:v>
      </x:c>
      <x:c r="J10" s="1"/>
      <x:c r="K10" s="1" t="n">
        <x:v>2</x:v>
      </x:c>
      <x:c r="L10" s="1" t="str">
        <x:v>Исходный контроль</x:v>
      </x:c>
      <x:c r="M10" s="1" t="str">
        <x:v>S2</x:v>
      </x:c>
      <x:c r="N10" s="54">
        <x:v>1.5</x:v>
      </x:c>
      <x:c r="O10" s="54">
        <x:v>0.20000000000000001</x:v>
      </x:c>
      <x:c r="P10" s="54">
        <x:v>1</x:v>
      </x:c>
      <x:c r="Q10" s="54">
        <x:v>0.29999999999999999</x:v>
      </x:c>
      <x:c r="R10">
        <x:v>0.65000000000000002</x:v>
      </x:c>
      <x:c r="S10">
        <x:v>0.13</x:v>
      </x:c>
    </x:row>
    <x:row r="11" ht="26" customHeight="1">
      <x:c r="A11" s="1" t="str">
        <x:v>H2</x:v>
      </x:c>
      <x:c r="B11" s="1" t="str">
        <x:v>S3</x:v>
      </x:c>
      <x:c r="C11" s="53">
        <x:v>0.20000000000000001</x:v>
      </x:c>
      <x:c r="D11" s="53">
        <x:v>0.25</x:v>
      </x:c>
      <x:c r="E11" s="53">
        <x:v>0.10000000000000001</x:v>
      </x:c>
      <x:c r="F11" s="53" t="n">
        <x:v>0</x:v>
      </x:c>
      <x:c r="G11" s="53" t="n">
        <x:v>0</x:v>
      </x:c>
      <x:c r="H11" s="53" t="n">
        <x:v>0</x:v>
      </x:c>
      <x:c r="I11" s="1" t="str">
        <x:v>Сценарное допущение</x:v>
      </x:c>
      <x:c r="J11" s="1"/>
      <x:c r="K11" s="1" t="n">
        <x:v>2</x:v>
      </x:c>
      <x:c r="L11" s="1" t="str">
        <x:v>Исходный контроль</x:v>
      </x:c>
      <x:c r="M11" s="1" t="str">
        <x:v>S3</x:v>
      </x:c>
      <x:c r="N11" s="54">
        <x:v>1.5</x:v>
      </x:c>
      <x:c r="O11" s="54">
        <x:v>0.20000000000000001</x:v>
      </x:c>
      <x:c r="P11" s="54">
        <x:v>1</x:v>
      </x:c>
      <x:c r="Q11" s="54">
        <x:v>0.29999999999999999</x:v>
      </x:c>
      <x:c r="R11">
        <x:v>0.65000000000000002</x:v>
      </x:c>
      <x:c r="S11">
        <x:v>0.13</x:v>
      </x:c>
    </x:row>
    <x:row r="12" ht="26" customHeight="1">
      <x:c r="A12" s="1" t="str">
        <x:v>H2</x:v>
      </x:c>
      <x:c r="B12" s="1" t="str">
        <x:v>S4</x:v>
      </x:c>
      <x:c r="C12" s="53">
        <x:v>0.20000000000000001</x:v>
      </x:c>
      <x:c r="D12" s="53">
        <x:v>0.25</x:v>
      </x:c>
      <x:c r="E12" s="53">
        <x:v>0.10000000000000001</x:v>
      </x:c>
      <x:c r="F12" s="53" t="n">
        <x:v>0</x:v>
      </x:c>
      <x:c r="G12" s="53" t="n">
        <x:v>0</x:v>
      </x:c>
      <x:c r="H12" s="53" t="n">
        <x:v>0</x:v>
      </x:c>
      <x:c r="I12" s="1" t="str">
        <x:v>Сценарное допущение</x:v>
      </x:c>
      <x:c r="J12" s="1"/>
      <x:c r="K12" s="1" t="n">
        <x:v>2</x:v>
      </x:c>
      <x:c r="L12" s="1" t="str">
        <x:v>Исходный контроль</x:v>
      </x:c>
      <x:c r="M12" s="1" t="str">
        <x:v>S4</x:v>
      </x:c>
      <x:c r="N12" s="54">
        <x:v>1.5</x:v>
      </x:c>
      <x:c r="O12" s="54">
        <x:v>0.20000000000000001</x:v>
      </x:c>
      <x:c r="P12" s="54">
        <x:v>1</x:v>
      </x:c>
      <x:c r="Q12" s="54">
        <x:v>0.29999999999999999</x:v>
      </x:c>
      <x:c r="R12">
        <x:v>0.65000000000000002</x:v>
      </x:c>
      <x:c r="S12">
        <x:v>0.13</x:v>
      </x:c>
    </x:row>
    <x:row r="13" ht="26" customHeight="1">
      <x:c r="A13" s="1" t="str">
        <x:v>H3</x:v>
      </x:c>
      <x:c r="B13" s="1" t="str">
        <x:v>S1</x:v>
      </x:c>
      <x:c r="C13" s="53">
        <x:v>0.10000000000000001</x:v>
      </x:c>
      <x:c r="D13" s="53">
        <x:v>0</x:v>
      </x:c>
      <x:c r="E13" s="53">
        <x:v>0</x:v>
      </x:c>
      <x:c r="F13" s="53" t="n">
        <x:v>0</x:v>
      </x:c>
      <x:c r="G13" s="53" t="n">
        <x:v>0</x:v>
      </x:c>
      <x:c r="H13" s="53" t="n">
        <x:v>0</x:v>
      </x:c>
      <x:c r="I13" s="1" t="str">
        <x:v>Сценарное допущение</x:v>
      </x:c>
      <x:c r="J13" s="1"/>
      <x:c r="K13" s="1" t="n">
        <x:v>3</x:v>
      </x:c>
      <x:c r="L13" s="1" t="str">
        <x:v>Много китов</x:v>
      </x:c>
      <x:c r="M13" s="1" t="str">
        <x:v>S1</x:v>
      </x:c>
      <x:c r="N13" s="54">
        <x:v>1.5</x:v>
      </x:c>
      <x:c r="O13" s="54">
        <x:v>0.20000000000000001</x:v>
      </x:c>
      <x:c r="P13" s="54">
        <x:v>1</x:v>
      </x:c>
      <x:c r="Q13" s="54">
        <x:v>0.29999999999999999</x:v>
      </x:c>
      <x:c r="R13">
        <x:v>0.65000000000000002</x:v>
      </x:c>
      <x:c r="S13">
        <x:v>0.13</x:v>
      </x:c>
    </x:row>
    <x:row r="14" ht="26" customHeight="1">
      <x:c r="A14" s="1" t="str">
        <x:v>H3</x:v>
      </x:c>
      <x:c r="B14" s="1" t="str">
        <x:v>S2</x:v>
      </x:c>
      <x:c r="C14" s="53">
        <x:v>0.40000000000000002</x:v>
      </x:c>
      <x:c r="D14" s="53">
        <x:v>0</x:v>
      </x:c>
      <x:c r="E14" s="53">
        <x:v>0</x:v>
      </x:c>
      <x:c r="F14" s="53" t="n">
        <x:v>0</x:v>
      </x:c>
      <x:c r="G14" s="53" t="n">
        <x:v>0</x:v>
      </x:c>
      <x:c r="H14" s="53" t="n">
        <x:v>0</x:v>
      </x:c>
      <x:c r="I14" s="1" t="str">
        <x:v>Сценарное допущение</x:v>
      </x:c>
      <x:c r="J14" s="1"/>
      <x:c r="K14" s="1" t="n">
        <x:v>3</x:v>
      </x:c>
      <x:c r="L14" s="1" t="str">
        <x:v>Много китов</x:v>
      </x:c>
      <x:c r="M14" s="1" t="str">
        <x:v>S2</x:v>
      </x:c>
      <x:c r="N14" s="54">
        <x:v>1.5</x:v>
      </x:c>
      <x:c r="O14" s="54">
        <x:v>0.20000000000000001</x:v>
      </x:c>
      <x:c r="P14" s="54">
        <x:v>1</x:v>
      </x:c>
      <x:c r="Q14" s="54">
        <x:v>0.29999999999999999</x:v>
      </x:c>
      <x:c r="R14">
        <x:v>0.65000000000000002</x:v>
      </x:c>
      <x:c r="S14">
        <x:v>0.13</x:v>
      </x:c>
    </x:row>
    <x:row r="15" ht="26" customHeight="1">
      <x:c r="A15" s="1" t="str">
        <x:v>H3</x:v>
      </x:c>
      <x:c r="B15" s="1" t="str">
        <x:v>S3</x:v>
      </x:c>
      <x:c r="C15" s="53">
        <x:v>0.40000000000000002</x:v>
      </x:c>
      <x:c r="D15" s="53">
        <x:v>0</x:v>
      </x:c>
      <x:c r="E15" s="53">
        <x:v>0</x:v>
      </x:c>
      <x:c r="F15" s="53" t="n">
        <x:v>0</x:v>
      </x:c>
      <x:c r="G15" s="53" t="n">
        <x:v>0</x:v>
      </x:c>
      <x:c r="H15" s="53" t="n">
        <x:v>0</x:v>
      </x:c>
      <x:c r="I15" s="1" t="str">
        <x:v>Сценарное допущение</x:v>
      </x:c>
      <x:c r="J15" s="1"/>
      <x:c r="K15" s="1" t="n">
        <x:v>3</x:v>
      </x:c>
      <x:c r="L15" s="1" t="str">
        <x:v>Много китов</x:v>
      </x:c>
      <x:c r="M15" s="1" t="str">
        <x:v>S3</x:v>
      </x:c>
      <x:c r="N15" s="54">
        <x:v>1.5</x:v>
      </x:c>
      <x:c r="O15" s="54">
        <x:v>0.20000000000000001</x:v>
      </x:c>
      <x:c r="P15" s="54">
        <x:v>1</x:v>
      </x:c>
      <x:c r="Q15" s="54">
        <x:v>0.29999999999999999</x:v>
      </x:c>
      <x:c r="R15">
        <x:v>0.65000000000000002</x:v>
      </x:c>
      <x:c r="S15">
        <x:v>0.13</x:v>
      </x:c>
    </x:row>
    <x:row r="16" ht="26" customHeight="1">
      <x:c r="A16" s="1" t="str">
        <x:v>H3</x:v>
      </x:c>
      <x:c r="B16" s="1" t="str">
        <x:v>S4</x:v>
      </x:c>
      <x:c r="C16" s="53">
        <x:v>0.10000000000000001</x:v>
      </x:c>
      <x:c r="D16" s="53">
        <x:v>0</x:v>
      </x:c>
      <x:c r="E16" s="53">
        <x:v>0</x:v>
      </x:c>
      <x:c r="F16" s="53" t="n">
        <x:v>0</x:v>
      </x:c>
      <x:c r="G16" s="53" t="n">
        <x:v>0</x:v>
      </x:c>
      <x:c r="H16" s="53" t="n">
        <x:v>0</x:v>
      </x:c>
      <x:c r="I16" s="1" t="str">
        <x:v>Сценарное допущение</x:v>
      </x:c>
      <x:c r="J16" s="1"/>
      <x:c r="K16" s="1" t="n">
        <x:v>3</x:v>
      </x:c>
      <x:c r="L16" s="1" t="str">
        <x:v>Много китов</x:v>
      </x:c>
      <x:c r="M16" s="1" t="str">
        <x:v>S4</x:v>
      </x:c>
      <x:c r="N16" s="54">
        <x:v>1.5</x:v>
      </x:c>
      <x:c r="O16" s="54">
        <x:v>0.20000000000000001</x:v>
      </x:c>
      <x:c r="P16" s="54">
        <x:v>1</x:v>
      </x:c>
      <x:c r="Q16" s="54">
        <x:v>0.29999999999999999</x:v>
      </x:c>
      <x:c r="R16">
        <x:v>0.65000000000000002</x:v>
      </x:c>
      <x:c r="S16">
        <x:v>0.13</x:v>
      </x:c>
    </x:row>
    <x:row r="17" ht="26" customHeight="1">
      <x:c r="A17" s="1" t="str">
        <x:v>H4</x:v>
      </x:c>
      <x:c r="B17" s="1" t="str">
        <x:v>S1</x:v>
      </x:c>
      <x:c r="C17" s="53">
        <x:v>0.20000000000000001</x:v>
      </x:c>
      <x:c r="D17" s="53">
        <x:v>0.20000000000000001</x:v>
      </x:c>
      <x:c r="E17" s="53">
        <x:v>0.10000000000000001</x:v>
      </x:c>
      <x:c r="F17" s="53" t="n">
        <x:v>0</x:v>
      </x:c>
      <x:c r="G17" s="53" t="n">
        <x:v>0</x:v>
      </x:c>
      <x:c r="H17" s="53" t="n">
        <x:v>0</x:v>
      </x:c>
      <x:c r="I17" s="1" t="str">
        <x:v>Сценарное допущение</x:v>
      </x:c>
      <x:c r="J17" s="1"/>
      <x:c r="K17" s="1" t="n">
        <x:v>4</x:v>
      </x:c>
      <x:c r="L17" s="1" t="str">
        <x:v>Корзины 40+: 11%</x:v>
      </x:c>
      <x:c r="M17" s="1" t="str">
        <x:v>S1</x:v>
      </x:c>
      <x:c r="N17" s="54">
        <x:v>1.5</x:v>
      </x:c>
      <x:c r="O17" s="54">
        <x:v>0.20000000000000001</x:v>
      </x:c>
      <x:c r="P17" s="54">
        <x:v>1</x:v>
      </x:c>
      <x:c r="Q17" s="54">
        <x:v>0.29999999999999999</x:v>
      </x:c>
      <x:c r="R17">
        <x:v>0.65000000000000002</x:v>
      </x:c>
      <x:c r="S17">
        <x:v>0.13</x:v>
      </x:c>
    </x:row>
    <x:row r="18" ht="26" customHeight="1">
      <x:c r="A18" s="1" t="str">
        <x:v>H4</x:v>
      </x:c>
      <x:c r="B18" s="1" t="str">
        <x:v>S2</x:v>
      </x:c>
      <x:c r="C18" s="53">
        <x:v>0.29999999999999999</x:v>
      </x:c>
      <x:c r="D18" s="53">
        <x:v>0.29999999999999999</x:v>
      </x:c>
      <x:c r="E18" s="53">
        <x:v>0.10000000000000001</x:v>
      </x:c>
      <x:c r="F18" s="53" t="n">
        <x:v>0</x:v>
      </x:c>
      <x:c r="G18" s="53" t="n">
        <x:v>0</x:v>
      </x:c>
      <x:c r="H18" s="53" t="n">
        <x:v>0</x:v>
      </x:c>
      <x:c r="I18" s="1" t="str">
        <x:v>Сценарное допущение</x:v>
      </x:c>
      <x:c r="J18" s="1"/>
      <x:c r="K18" s="1" t="n">
        <x:v>4</x:v>
      </x:c>
      <x:c r="L18" s="1" t="str">
        <x:v>Корзины 40+: 11%</x:v>
      </x:c>
      <x:c r="M18" s="1" t="str">
        <x:v>S2</x:v>
      </x:c>
      <x:c r="N18" s="54">
        <x:v>1.5</x:v>
      </x:c>
      <x:c r="O18" s="54">
        <x:v>0.20000000000000001</x:v>
      </x:c>
      <x:c r="P18" s="54">
        <x:v>1</x:v>
      </x:c>
      <x:c r="Q18" s="54">
        <x:v>0.29999999999999999</x:v>
      </x:c>
      <x:c r="R18">
        <x:v>0.65000000000000002</x:v>
      </x:c>
      <x:c r="S18">
        <x:v>0.13</x:v>
      </x:c>
    </x:row>
    <x:row r="19" ht="26" customHeight="1">
      <x:c r="A19" s="1" t="str">
        <x:v>H4</x:v>
      </x:c>
      <x:c r="B19" s="1" t="str">
        <x:v>S3</x:v>
      </x:c>
      <x:c r="C19" s="53">
        <x:v>0.29999999999999999</x:v>
      </x:c>
      <x:c r="D19" s="53">
        <x:v>0.29999999999999999</x:v>
      </x:c>
      <x:c r="E19" s="53">
        <x:v>0.10000000000000001</x:v>
      </x:c>
      <x:c r="F19" s="53" t="n">
        <x:v>0</x:v>
      </x:c>
      <x:c r="G19" s="53" t="n">
        <x:v>0</x:v>
      </x:c>
      <x:c r="H19" s="53" t="n">
        <x:v>0</x:v>
      </x:c>
      <x:c r="I19" s="1" t="str">
        <x:v>Сценарное допущение</x:v>
      </x:c>
      <x:c r="J19" s="1"/>
      <x:c r="K19" s="1" t="n">
        <x:v>4</x:v>
      </x:c>
      <x:c r="L19" s="1" t="str">
        <x:v>Корзины 40+: 11%</x:v>
      </x:c>
      <x:c r="M19" s="1" t="str">
        <x:v>S3</x:v>
      </x:c>
      <x:c r="N19" s="54">
        <x:v>1.5</x:v>
      </x:c>
      <x:c r="O19" s="54">
        <x:v>0.20000000000000001</x:v>
      </x:c>
      <x:c r="P19" s="54">
        <x:v>1</x:v>
      </x:c>
      <x:c r="Q19" s="54">
        <x:v>0.29999999999999999</x:v>
      </x:c>
      <x:c r="R19">
        <x:v>0.65000000000000002</x:v>
      </x:c>
      <x:c r="S19">
        <x:v>0.13</x:v>
      </x:c>
    </x:row>
    <x:row r="20" ht="26" customHeight="1">
      <x:c r="A20" s="1" t="str">
        <x:v>H4</x:v>
      </x:c>
      <x:c r="B20" s="1" t="str">
        <x:v>S4</x:v>
      </x:c>
      <x:c r="C20" s="53">
        <x:v>0.20000000000000001</x:v>
      </x:c>
      <x:c r="D20" s="53">
        <x:v>0.20000000000000001</x:v>
      </x:c>
      <x:c r="E20" s="53">
        <x:v>0.10000000000000001</x:v>
      </x:c>
      <x:c r="F20" s="53" t="n">
        <x:v>0</x:v>
      </x:c>
      <x:c r="G20" s="53" t="n">
        <x:v>0</x:v>
      </x:c>
      <x:c r="H20" s="53" t="n">
        <x:v>0</x:v>
      </x:c>
      <x:c r="I20" s="1" t="str">
        <x:v>Сценарное допущение</x:v>
      </x:c>
      <x:c r="J20" s="1"/>
      <x:c r="K20" s="1" t="n">
        <x:v>4</x:v>
      </x:c>
      <x:c r="L20" s="1" t="str">
        <x:v>Корзины 40+: 11%</x:v>
      </x:c>
      <x:c r="M20" s="1" t="str">
        <x:v>S4</x:v>
      </x:c>
      <x:c r="N20" s="54">
        <x:v>1.5</x:v>
      </x:c>
      <x:c r="O20" s="54">
        <x:v>0.20000000000000001</x:v>
      </x:c>
      <x:c r="P20" s="54">
        <x:v>1</x:v>
      </x:c>
      <x:c r="Q20" s="54">
        <x:v>0.29999999999999999</x:v>
      </x:c>
      <x:c r="R20">
        <x:v>0.65000000000000002</x:v>
      </x:c>
      <x:c r="S20">
        <x:v>0.13</x:v>
      </x:c>
    </x:row>
    <x:row r="21" ht="26" customHeight="1">
      <x:c r="A21" s="1" t="str">
        <x:v>H5</x:v>
      </x:c>
      <x:c r="B21" s="1" t="str">
        <x:v>S1</x:v>
      </x:c>
      <x:c r="C21" s="53">
        <x:v>0</x:v>
      </x:c>
      <x:c r="D21" s="53">
        <x:v>0.5</x:v>
      </x:c>
      <x:c r="E21" s="53">
        <x:v>0</x:v>
      </x:c>
      <x:c r="F21" s="53" t="n">
        <x:v>0</x:v>
      </x:c>
      <x:c r="G21" s="53" t="n">
        <x:v>0</x:v>
      </x:c>
      <x:c r="H21" s="53" t="n">
        <x:v>0</x:v>
      </x:c>
      <x:c r="I21" s="1" t="str">
        <x:v>Сценарное допущение</x:v>
      </x:c>
      <x:c r="J21" s="1"/>
      <x:c r="K21" s="1" t="n">
        <x:v>5</x:v>
      </x:c>
      <x:c r="L21" s="1" t="str">
        <x:v>Корзины 40+: 20%</x:v>
      </x:c>
      <x:c r="M21" s="1" t="str">
        <x:v>S1</x:v>
      </x:c>
      <x:c r="N21" s="54">
        <x:v>1.5</x:v>
      </x:c>
      <x:c r="O21" s="54">
        <x:v>0.20000000000000001</x:v>
      </x:c>
      <x:c r="P21" s="54">
        <x:v>1</x:v>
      </x:c>
      <x:c r="Q21" s="54">
        <x:v>0.29999999999999999</x:v>
      </x:c>
      <x:c r="R21">
        <x:v>0.65000000000000002</x:v>
      </x:c>
      <x:c r="S21">
        <x:v>0.13</x:v>
      </x:c>
    </x:row>
    <x:row r="22" ht="26" customHeight="1">
      <x:c r="A22" s="1" t="str">
        <x:v>H5</x:v>
      </x:c>
      <x:c r="B22" s="1" t="str">
        <x:v>S2</x:v>
      </x:c>
      <x:c r="C22" s="53">
        <x:v>0</x:v>
      </x:c>
      <x:c r="D22" s="53">
        <x:v>0.5</x:v>
      </x:c>
      <x:c r="E22" s="53">
        <x:v>0</x:v>
      </x:c>
      <x:c r="F22" s="53" t="n">
        <x:v>0</x:v>
      </x:c>
      <x:c r="G22" s="53" t="n">
        <x:v>0</x:v>
      </x:c>
      <x:c r="H22" s="53" t="n">
        <x:v>0</x:v>
      </x:c>
      <x:c r="I22" s="1" t="str">
        <x:v>Сценарное допущение</x:v>
      </x:c>
      <x:c r="J22" s="1"/>
      <x:c r="K22" s="1" t="n">
        <x:v>5</x:v>
      </x:c>
      <x:c r="L22" s="1" t="str">
        <x:v>Корзины 40+: 20%</x:v>
      </x:c>
      <x:c r="M22" s="1" t="str">
        <x:v>S2</x:v>
      </x:c>
      <x:c r="N22" s="54">
        <x:v>1.5</x:v>
      </x:c>
      <x:c r="O22" s="54">
        <x:v>0.20000000000000001</x:v>
      </x:c>
      <x:c r="P22" s="54">
        <x:v>1</x:v>
      </x:c>
      <x:c r="Q22" s="54">
        <x:v>0.29999999999999999</x:v>
      </x:c>
      <x:c r="R22">
        <x:v>0.65000000000000002</x:v>
      </x:c>
      <x:c r="S22">
        <x:v>0.13</x:v>
      </x:c>
    </x:row>
    <x:row r="23" ht="26" customHeight="1">
      <x:c r="A23" s="1" t="str">
        <x:v>H5</x:v>
      </x:c>
      <x:c r="B23" s="1" t="str">
        <x:v>S3</x:v>
      </x:c>
      <x:c r="C23" s="53">
        <x:v>0</x:v>
      </x:c>
      <x:c r="D23" s="53">
        <x:v>0.20000000000000001</x:v>
      </x:c>
      <x:c r="E23" s="53">
        <x:v>0</x:v>
      </x:c>
      <x:c r="F23" s="53" t="n">
        <x:v>0</x:v>
      </x:c>
      <x:c r="G23" s="53" t="n">
        <x:v>0</x:v>
      </x:c>
      <x:c r="H23" s="53" t="n">
        <x:v>0</x:v>
      </x:c>
      <x:c r="I23" s="1" t="str">
        <x:v>Сценарное допущение</x:v>
      </x:c>
      <x:c r="J23" s="1"/>
      <x:c r="K23" s="1" t="n">
        <x:v>5</x:v>
      </x:c>
      <x:c r="L23" s="1" t="str">
        <x:v>Корзины 40+: 20%</x:v>
      </x:c>
      <x:c r="M23" s="1" t="str">
        <x:v>S3</x:v>
      </x:c>
      <x:c r="N23" s="54">
        <x:v>1.5</x:v>
      </x:c>
      <x:c r="O23" s="54">
        <x:v>0.20000000000000001</x:v>
      </x:c>
      <x:c r="P23" s="54">
        <x:v>1</x:v>
      </x:c>
      <x:c r="Q23" s="54">
        <x:v>0.29999999999999999</x:v>
      </x:c>
      <x:c r="R23">
        <x:v>0.65000000000000002</x:v>
      </x:c>
      <x:c r="S23">
        <x:v>0.13</x:v>
      </x:c>
    </x:row>
    <x:row r="24" ht="26" customHeight="1">
      <x:c r="A24" s="1" t="str">
        <x:v>H5</x:v>
      </x:c>
      <x:c r="B24" s="1" t="str">
        <x:v>S4</x:v>
      </x:c>
      <x:c r="C24" s="53">
        <x:v>0</x:v>
      </x:c>
      <x:c r="D24" s="53">
        <x:v>0.20000000000000001</x:v>
      </x:c>
      <x:c r="E24" s="53">
        <x:v>0</x:v>
      </x:c>
      <x:c r="F24" s="53" t="n">
        <x:v>0</x:v>
      </x:c>
      <x:c r="G24" s="53" t="n">
        <x:v>0</x:v>
      </x:c>
      <x:c r="H24" s="53" t="n">
        <x:v>0</x:v>
      </x:c>
      <x:c r="I24" s="1" t="str">
        <x:v>Сценарное допущение</x:v>
      </x:c>
      <x:c r="J24" s="1"/>
      <x:c r="K24" s="1" t="n">
        <x:v>5</x:v>
      </x:c>
      <x:c r="L24" s="1" t="str">
        <x:v>Корзины 40+: 20%</x:v>
      </x:c>
      <x:c r="M24" s="1" t="str">
        <x:v>S4</x:v>
      </x:c>
      <x:c r="N24" s="54">
        <x:v>1.5</x:v>
      </x:c>
      <x:c r="O24" s="54">
        <x:v>0.20000000000000001</x:v>
      </x:c>
      <x:c r="P24" s="54">
        <x:v>1</x:v>
      </x:c>
      <x:c r="Q24" s="54">
        <x:v>0.29999999999999999</x:v>
      </x:c>
      <x:c r="R24">
        <x:v>0.65000000000000002</x:v>
      </x:c>
      <x:c r="S24">
        <x:v>0.13</x:v>
      </x:c>
    </x:row>
    <x:row r="25" ht="26" customHeight="1">
      <x:c r="A25" s="1" t="str">
        <x:v>H6.1</x:v>
      </x:c>
      <x:c r="B25" s="1" t="str">
        <x:v>S1</x:v>
      </x:c>
      <x:c r="C25" s="53">
        <x:v>0</x:v>
      </x:c>
      <x:c r="D25" s="53">
        <x:v>0.29999999999999999</x:v>
      </x:c>
      <x:c r="E25" s="53">
        <x:v>0</x:v>
      </x:c>
      <x:c r="F25" s="53" t="n">
        <x:v>0</x:v>
      </x:c>
      <x:c r="G25" s="53" t="n">
        <x:v>0</x:v>
      </x:c>
      <x:c r="H25" s="53" t="n">
        <x:v>0</x:v>
      </x:c>
      <x:c r="I25" s="1" t="str">
        <x:v>Сценарное допущение</x:v>
      </x:c>
      <x:c r="J25" s="1"/>
      <x:c r="K25" s="1" t="n">
        <x:v>6</x:v>
      </x:c>
      <x:c r="L25" s="1" t="str">
        <x:v>Корзины 40+: 30%</x:v>
      </x:c>
      <x:c r="M25" s="1" t="str">
        <x:v>S1</x:v>
      </x:c>
      <x:c r="N25" s="54">
        <x:v>1.5</x:v>
      </x:c>
      <x:c r="O25" s="54">
        <x:v>0.20000000000000001</x:v>
      </x:c>
      <x:c r="P25" s="54">
        <x:v>1</x:v>
      </x:c>
      <x:c r="Q25" s="54">
        <x:v>0.29999999999999999</x:v>
      </x:c>
      <x:c r="R25">
        <x:v>0.65000000000000002</x:v>
      </x:c>
      <x:c r="S25">
        <x:v>0.13</x:v>
      </x:c>
    </x:row>
    <x:row r="26" ht="26" customHeight="1">
      <x:c r="A26" s="1" t="str">
        <x:v>H6.1</x:v>
      </x:c>
      <x:c r="B26" s="1" t="str">
        <x:v>S2</x:v>
      </x:c>
      <x:c r="C26" s="53">
        <x:v>0</x:v>
      </x:c>
      <x:c r="D26" s="53">
        <x:v>0.29999999999999999</x:v>
      </x:c>
      <x:c r="E26" s="53">
        <x:v>0</x:v>
      </x:c>
      <x:c r="F26" s="53" t="n">
        <x:v>0</x:v>
      </x:c>
      <x:c r="G26" s="53" t="n">
        <x:v>0</x:v>
      </x:c>
      <x:c r="H26" s="53" t="n">
        <x:v>0</x:v>
      </x:c>
      <x:c r="I26" s="1" t="str">
        <x:v>Сценарное допущение</x:v>
      </x:c>
      <x:c r="J26" s="1"/>
      <x:c r="K26" s="1" t="n">
        <x:v>6</x:v>
      </x:c>
      <x:c r="L26" s="1" t="str">
        <x:v>Корзины 40+: 30%</x:v>
      </x:c>
      <x:c r="M26" s="1" t="str">
        <x:v>S2</x:v>
      </x:c>
      <x:c r="N26" s="54">
        <x:v>1.5</x:v>
      </x:c>
      <x:c r="O26" s="54">
        <x:v>0.20000000000000001</x:v>
      </x:c>
      <x:c r="P26" s="54">
        <x:v>1</x:v>
      </x:c>
      <x:c r="Q26" s="54">
        <x:v>0.29999999999999999</x:v>
      </x:c>
      <x:c r="R26">
        <x:v>0.65000000000000002</x:v>
      </x:c>
      <x:c r="S26">
        <x:v>0.13</x:v>
      </x:c>
    </x:row>
    <x:row r="27" ht="26" customHeight="1">
      <x:c r="A27" s="1" t="str">
        <x:v>H6.1</x:v>
      </x:c>
      <x:c r="B27" s="1" t="str">
        <x:v>S3</x:v>
      </x:c>
      <x:c r="C27" s="53">
        <x:v>0</x:v>
      </x:c>
      <x:c r="D27" s="53">
        <x:v>0.10000000000000001</x:v>
      </x:c>
      <x:c r="E27" s="53">
        <x:v>0</x:v>
      </x:c>
      <x:c r="F27" s="53" t="n">
        <x:v>0</x:v>
      </x:c>
      <x:c r="G27" s="53" t="n">
        <x:v>0</x:v>
      </x:c>
      <x:c r="H27" s="53" t="n">
        <x:v>0</x:v>
      </x:c>
      <x:c r="I27" s="1" t="str">
        <x:v>Сценарное допущение</x:v>
      </x:c>
      <x:c r="J27" s="1"/>
      <x:c r="K27" s="1" t="n">
        <x:v>6</x:v>
      </x:c>
      <x:c r="L27" s="1" t="str">
        <x:v>Корзины 40+: 30%</x:v>
      </x:c>
      <x:c r="M27" s="1" t="str">
        <x:v>S3</x:v>
      </x:c>
      <x:c r="N27" s="54">
        <x:v>1.5</x:v>
      </x:c>
      <x:c r="O27" s="54">
        <x:v>0.20000000000000001</x:v>
      </x:c>
      <x:c r="P27" s="54">
        <x:v>1</x:v>
      </x:c>
      <x:c r="Q27" s="54">
        <x:v>0.29999999999999999</x:v>
      </x:c>
      <x:c r="R27">
        <x:v>0.65000000000000002</x:v>
      </x:c>
      <x:c r="S27">
        <x:v>0.13</x:v>
      </x:c>
    </x:row>
    <x:row r="28" ht="26" customHeight="1">
      <x:c r="A28" s="1" t="str">
        <x:v>H6.1</x:v>
      </x:c>
      <x:c r="B28" s="1" t="str">
        <x:v>S4</x:v>
      </x:c>
      <x:c r="C28" s="53">
        <x:v>0</x:v>
      </x:c>
      <x:c r="D28" s="53">
        <x:v>0.10000000000000001</x:v>
      </x:c>
      <x:c r="E28" s="53">
        <x:v>0</x:v>
      </x:c>
      <x:c r="F28" s="53" t="n">
        <x:v>0</x:v>
      </x:c>
      <x:c r="G28" s="53" t="n">
        <x:v>0</x:v>
      </x:c>
      <x:c r="H28" s="53" t="n">
        <x:v>0</x:v>
      </x:c>
      <x:c r="I28" s="1" t="str">
        <x:v>Сценарное допущение</x:v>
      </x:c>
      <x:c r="J28" s="1"/>
      <x:c r="K28" s="1" t="n">
        <x:v>6</x:v>
      </x:c>
      <x:c r="L28" s="1" t="str">
        <x:v>Корзины 40+: 30%</x:v>
      </x:c>
      <x:c r="M28" s="1" t="str">
        <x:v>S4</x:v>
      </x:c>
      <x:c r="N28" s="54">
        <x:v>1.5</x:v>
      </x:c>
      <x:c r="O28" s="54">
        <x:v>0.20000000000000001</x:v>
      </x:c>
      <x:c r="P28" s="54">
        <x:v>1</x:v>
      </x:c>
      <x:c r="Q28" s="54">
        <x:v>0.29999999999999999</x:v>
      </x:c>
      <x:c r="R28">
        <x:v>0.65000000000000002</x:v>
      </x:c>
      <x:c r="S28">
        <x:v>0.13</x:v>
      </x:c>
    </x:row>
    <x:row r="29" ht="26" customHeight="1">
      <x:c r="A29" s="1" t="str">
        <x:v>H6.2</x:v>
      </x:c>
      <x:c r="B29" s="1" t="str">
        <x:v>S1</x:v>
      </x:c>
      <x:c r="C29" s="53">
        <x:v>0</x:v>
      </x:c>
      <x:c r="D29" s="53">
        <x:v>0.29999999999999999</x:v>
      </x:c>
      <x:c r="E29" s="53">
        <x:v>0</x:v>
      </x:c>
      <x:c r="F29" s="53" t="n">
        <x:v>0</x:v>
      </x:c>
      <x:c r="G29" s="53" t="n">
        <x:v>0</x:v>
      </x:c>
      <x:c r="H29" s="53" t="n">
        <x:v>0</x:v>
      </x:c>
      <x:c r="I29" s="1" t="str">
        <x:v>Сценарное допущение</x:v>
      </x:c>
      <x:c r="J29" s="1"/>
      <x:c r="K29" s="1" t="n">
        <x:v>7</x:v>
      </x:c>
      <x:c r="L29" s="1" t="str">
        <x:v>Корзины 40+: 40%</x:v>
      </x:c>
      <x:c r="M29" s="1" t="str">
        <x:v>S1</x:v>
      </x:c>
      <x:c r="N29" s="54">
        <x:v>1.5</x:v>
      </x:c>
      <x:c r="O29" s="54">
        <x:v>0.20000000000000001</x:v>
      </x:c>
      <x:c r="P29" s="54">
        <x:v>1</x:v>
      </x:c>
      <x:c r="Q29" s="54">
        <x:v>0.29999999999999999</x:v>
      </x:c>
      <x:c r="R29">
        <x:v>0.65000000000000002</x:v>
      </x:c>
      <x:c r="S29">
        <x:v>0.13</x:v>
      </x:c>
    </x:row>
    <x:row r="30" ht="26" customHeight="1">
      <x:c r="A30" s="1" t="str">
        <x:v>H6.2</x:v>
      </x:c>
      <x:c r="B30" s="1" t="str">
        <x:v>S2</x:v>
      </x:c>
      <x:c r="C30" s="53">
        <x:v>0</x:v>
      </x:c>
      <x:c r="D30" s="53">
        <x:v>0.29999999999999999</x:v>
      </x:c>
      <x:c r="E30" s="53">
        <x:v>0</x:v>
      </x:c>
      <x:c r="F30" s="53" t="n">
        <x:v>0</x:v>
      </x:c>
      <x:c r="G30" s="53" t="n">
        <x:v>0</x:v>
      </x:c>
      <x:c r="H30" s="53" t="n">
        <x:v>0</x:v>
      </x:c>
      <x:c r="I30" s="1" t="str">
        <x:v>Сценарное допущение</x:v>
      </x:c>
      <x:c r="J30" s="1"/>
      <x:c r="K30" s="1" t="n">
        <x:v>7</x:v>
      </x:c>
      <x:c r="L30" s="1" t="str">
        <x:v>Корзины 40+: 40%</x:v>
      </x:c>
      <x:c r="M30" s="1" t="str">
        <x:v>S2</x:v>
      </x:c>
      <x:c r="N30" s="54">
        <x:v>1.5</x:v>
      </x:c>
      <x:c r="O30" s="54">
        <x:v>0.20000000000000001</x:v>
      </x:c>
      <x:c r="P30" s="54">
        <x:v>1</x:v>
      </x:c>
      <x:c r="Q30" s="54">
        <x:v>0.29999999999999999</x:v>
      </x:c>
      <x:c r="R30">
        <x:v>0.65000000000000002</x:v>
      </x:c>
      <x:c r="S30">
        <x:v>0.13</x:v>
      </x:c>
    </x:row>
    <x:row r="31" ht="26" customHeight="1">
      <x:c r="A31" s="1" t="str">
        <x:v>H6.2</x:v>
      </x:c>
      <x:c r="B31" s="1" t="str">
        <x:v>S3</x:v>
      </x:c>
      <x:c r="C31" s="53">
        <x:v>0</x:v>
      </x:c>
      <x:c r="D31" s="53">
        <x:v>0.10000000000000001</x:v>
      </x:c>
      <x:c r="E31" s="53">
        <x:v>0</x:v>
      </x:c>
      <x:c r="F31" s="53" t="n">
        <x:v>0</x:v>
      </x:c>
      <x:c r="G31" s="53" t="n">
        <x:v>0</x:v>
      </x:c>
      <x:c r="H31" s="53" t="n">
        <x:v>0</x:v>
      </x:c>
      <x:c r="I31" s="1" t="str">
        <x:v>Сценарное допущение</x:v>
      </x:c>
      <x:c r="J31" s="1"/>
      <x:c r="K31" s="1" t="n">
        <x:v>7</x:v>
      </x:c>
      <x:c r="L31" s="1" t="str">
        <x:v>Корзины 40+: 40%</x:v>
      </x:c>
      <x:c r="M31" s="1" t="str">
        <x:v>S3</x:v>
      </x:c>
      <x:c r="N31" s="54">
        <x:v>1.5</x:v>
      </x:c>
      <x:c r="O31" s="54">
        <x:v>0.20000000000000001</x:v>
      </x:c>
      <x:c r="P31" s="54">
        <x:v>1</x:v>
      </x:c>
      <x:c r="Q31" s="54">
        <x:v>0.29999999999999999</x:v>
      </x:c>
      <x:c r="R31">
        <x:v>0.65000000000000002</x:v>
      </x:c>
      <x:c r="S31">
        <x:v>0.13</x:v>
      </x:c>
    </x:row>
    <x:row r="32" ht="26" customHeight="1">
      <x:c r="A32" s="1" t="str">
        <x:v>H6.2</x:v>
      </x:c>
      <x:c r="B32" s="1" t="str">
        <x:v>S4</x:v>
      </x:c>
      <x:c r="C32" s="53">
        <x:v>0</x:v>
      </x:c>
      <x:c r="D32" s="53">
        <x:v>0.10000000000000001</x:v>
      </x:c>
      <x:c r="E32" s="53">
        <x:v>0</x:v>
      </x:c>
      <x:c r="F32" s="53" t="n">
        <x:v>0</x:v>
      </x:c>
      <x:c r="G32" s="53" t="n">
        <x:v>0</x:v>
      </x:c>
      <x:c r="H32" s="53" t="n">
        <x:v>0</x:v>
      </x:c>
      <x:c r="I32" s="1" t="str">
        <x:v>Сценарное допущение</x:v>
      </x:c>
      <x:c r="J32" s="1"/>
      <x:c r="K32" s="1" t="n">
        <x:v>7</x:v>
      </x:c>
      <x:c r="L32" s="1" t="str">
        <x:v>Корзины 40+: 40%</x:v>
      </x:c>
      <x:c r="M32" s="1" t="str">
        <x:v>S4</x:v>
      </x:c>
      <x:c r="N32" s="54">
        <x:v>1.5</x:v>
      </x:c>
      <x:c r="O32" s="54">
        <x:v>0.20000000000000001</x:v>
      </x:c>
      <x:c r="P32" s="54">
        <x:v>1</x:v>
      </x:c>
      <x:c r="Q32" s="54">
        <x:v>0.29999999999999999</x:v>
      </x:c>
      <x:c r="R32">
        <x:v>0.65000000000000002</x:v>
      </x:c>
      <x:c r="S32">
        <x:v>0.13</x:v>
      </x:c>
    </x:row>
    <x:row r="33" ht="26" customHeight="1">
      <x:c r="A33" s="1" t="str">
        <x:v>H6.3</x:v>
      </x:c>
      <x:c r="B33" s="1" t="str">
        <x:v>S1</x:v>
      </x:c>
      <x:c r="C33" s="53">
        <x:v>0</x:v>
      </x:c>
      <x:c r="D33" s="53">
        <x:v>0.29999999999999999</x:v>
      </x:c>
      <x:c r="E33" s="53">
        <x:v>0</x:v>
      </x:c>
      <x:c r="F33" s="53" t="n">
        <x:v>0</x:v>
      </x:c>
      <x:c r="G33" s="53" t="n">
        <x:v>0</x:v>
      </x:c>
      <x:c r="H33" s="53" t="n">
        <x:v>0</x:v>
      </x:c>
      <x:c r="I33" s="1" t="str">
        <x:v>Сценарное допущение</x:v>
      </x:c>
      <x:c r="J33" s="1"/>
      <x:c r="K33" s="1" t="n">
        <x:v>8</x:v>
      </x:c>
      <x:c r="L33" s="1" t="str">
        <x:v>Корзины 40+: 49%</x:v>
      </x:c>
      <x:c r="M33" s="1" t="str">
        <x:v>S1</x:v>
      </x:c>
      <x:c r="N33" s="54">
        <x:v>1.5</x:v>
      </x:c>
      <x:c r="O33" s="54">
        <x:v>0.20000000000000001</x:v>
      </x:c>
      <x:c r="P33" s="54">
        <x:v>1</x:v>
      </x:c>
      <x:c r="Q33" s="54">
        <x:v>0.29999999999999999</x:v>
      </x:c>
      <x:c r="R33">
        <x:v>0.65000000000000002</x:v>
      </x:c>
      <x:c r="S33">
        <x:v>0.13</x:v>
      </x:c>
    </x:row>
    <x:row r="34" ht="26" customHeight="1">
      <x:c r="A34" s="1" t="str">
        <x:v>H6.3</x:v>
      </x:c>
      <x:c r="B34" s="1" t="str">
        <x:v>S2</x:v>
      </x:c>
      <x:c r="C34" s="53">
        <x:v>0</x:v>
      </x:c>
      <x:c r="D34" s="53">
        <x:v>0.29999999999999999</x:v>
      </x:c>
      <x:c r="E34" s="53">
        <x:v>0</x:v>
      </x:c>
      <x:c r="F34" s="53" t="n">
        <x:v>0</x:v>
      </x:c>
      <x:c r="G34" s="53" t="n">
        <x:v>0</x:v>
      </x:c>
      <x:c r="H34" s="53" t="n">
        <x:v>0</x:v>
      </x:c>
      <x:c r="I34" s="1" t="str">
        <x:v>Сценарное допущение</x:v>
      </x:c>
      <x:c r="J34" s="1"/>
      <x:c r="K34" s="1" t="n">
        <x:v>8</x:v>
      </x:c>
      <x:c r="L34" s="1" t="str">
        <x:v>Корзины 40+: 49%</x:v>
      </x:c>
      <x:c r="M34" s="1" t="str">
        <x:v>S2</x:v>
      </x:c>
      <x:c r="N34" s="54">
        <x:v>1.5</x:v>
      </x:c>
      <x:c r="O34" s="54">
        <x:v>0.20000000000000001</x:v>
      </x:c>
      <x:c r="P34" s="54">
        <x:v>1</x:v>
      </x:c>
      <x:c r="Q34" s="54">
        <x:v>0.29999999999999999</x:v>
      </x:c>
      <x:c r="R34">
        <x:v>0.65000000000000002</x:v>
      </x:c>
      <x:c r="S34">
        <x:v>0.13</x:v>
      </x:c>
    </x:row>
    <x:row r="35" ht="26" customHeight="1">
      <x:c r="A35" s="1" t="str">
        <x:v>H6.3</x:v>
      </x:c>
      <x:c r="B35" s="1" t="str">
        <x:v>S3</x:v>
      </x:c>
      <x:c r="C35" s="53">
        <x:v>0</x:v>
      </x:c>
      <x:c r="D35" s="53">
        <x:v>0.10000000000000001</x:v>
      </x:c>
      <x:c r="E35" s="53">
        <x:v>0</x:v>
      </x:c>
      <x:c r="F35" s="53" t="n">
        <x:v>0</x:v>
      </x:c>
      <x:c r="G35" s="53" t="n">
        <x:v>0</x:v>
      </x:c>
      <x:c r="H35" s="53" t="n">
        <x:v>0</x:v>
      </x:c>
      <x:c r="I35" s="1" t="str">
        <x:v>Сценарное допущение</x:v>
      </x:c>
      <x:c r="J35" s="1"/>
      <x:c r="K35" s="1" t="n">
        <x:v>8</x:v>
      </x:c>
      <x:c r="L35" s="1" t="str">
        <x:v>Корзины 40+: 49%</x:v>
      </x:c>
      <x:c r="M35" s="1" t="str">
        <x:v>S3</x:v>
      </x:c>
      <x:c r="N35" s="54">
        <x:v>1.5</x:v>
      </x:c>
      <x:c r="O35" s="54">
        <x:v>0.20000000000000001</x:v>
      </x:c>
      <x:c r="P35" s="54">
        <x:v>1</x:v>
      </x:c>
      <x:c r="Q35" s="54">
        <x:v>0.29999999999999999</x:v>
      </x:c>
      <x:c r="R35">
        <x:v>0.65000000000000002</x:v>
      </x:c>
      <x:c r="S35">
        <x:v>0.13</x:v>
      </x:c>
    </x:row>
    <x:row r="36" ht="26" customHeight="1">
      <x:c r="A36" s="1" t="str">
        <x:v>H6.3</x:v>
      </x:c>
      <x:c r="B36" s="1" t="str">
        <x:v>S4</x:v>
      </x:c>
      <x:c r="C36" s="53">
        <x:v>0</x:v>
      </x:c>
      <x:c r="D36" s="53">
        <x:v>0.10000000000000001</x:v>
      </x:c>
      <x:c r="E36" s="53">
        <x:v>0</x:v>
      </x:c>
      <x:c r="F36" s="53" t="n">
        <x:v>0</x:v>
      </x:c>
      <x:c r="G36" s="53" t="n">
        <x:v>0</x:v>
      </x:c>
      <x:c r="H36" s="53" t="n">
        <x:v>0</x:v>
      </x:c>
      <x:c r="I36" s="1" t="str">
        <x:v>Сценарное допущение</x:v>
      </x:c>
      <x:c r="J36" s="1"/>
      <x:c r="K36" s="1" t="n">
        <x:v>8</x:v>
      </x:c>
      <x:c r="L36" s="1" t="str">
        <x:v>Корзины 40+: 49%</x:v>
      </x:c>
      <x:c r="M36" s="1" t="str">
        <x:v>S4</x:v>
      </x:c>
      <x:c r="N36" s="54">
        <x:v>1.5</x:v>
      </x:c>
      <x:c r="O36" s="54">
        <x:v>0.20000000000000001</x:v>
      </x:c>
      <x:c r="P36" s="54">
        <x:v>1</x:v>
      </x:c>
      <x:c r="Q36" s="54">
        <x:v>0.29999999999999999</x:v>
      </x:c>
      <x:c r="R36">
        <x:v>0.65000000000000002</x:v>
      </x:c>
      <x:c r="S36">
        <x:v>0.13</x:v>
      </x:c>
    </x:row>
    <x:row r="37" ht="26" customHeight="1">
      <x:c r="A37" s="1"/>
      <x:c r="B37" s="1"/>
      <x:c r="C37" s="1"/>
      <x:c r="D37" s="1"/>
      <x:c r="E37" s="1"/>
      <x:c r="F37" s="1"/>
      <x:c r="G37" s="1"/>
      <x:c r="H37" s="1"/>
      <x:c r="I37" s="1"/>
      <x:c r="J37" s="1"/>
      <x:c r="K37" s="1" t="n">
        <x:v>9</x:v>
      </x:c>
      <x:c r="L37" s="1" t="str">
        <x:v>Осторожный</x:v>
      </x:c>
      <x:c r="M37" s="1" t="str">
        <x:v>S1</x:v>
      </x:c>
      <x:c r="N37" s="54">
        <x:v>1.5</x:v>
      </x:c>
      <x:c r="O37" s="54">
        <x:v>0.20000000000000001</x:v>
      </x:c>
      <x:c r="P37" s="54">
        <x:v>1</x:v>
      </x:c>
      <x:c r="Q37" s="54">
        <x:v>0.29999999999999999</x:v>
      </x:c>
      <x:c r="R37">
        <x:v>0.65000000000000002</x:v>
      </x:c>
      <x:c r="S37">
        <x:v>0.13</x:v>
      </x:c>
    </x:row>
    <x:row r="38" ht="26" customHeight="1">
      <x:c r="A38" s="1"/>
      <x:c r="B38" s="1"/>
      <x:c r="C38" s="1"/>
      <x:c r="D38" s="1"/>
      <x:c r="E38" s="1"/>
      <x:c r="F38" s="1"/>
      <x:c r="G38" s="1"/>
      <x:c r="H38" s="1"/>
      <x:c r="I38" s="1"/>
      <x:c r="J38" s="1"/>
      <x:c r="K38" s="1" t="n">
        <x:v>9</x:v>
      </x:c>
      <x:c r="L38" s="1" t="str">
        <x:v>Осторожный</x:v>
      </x:c>
      <x:c r="M38" s="1" t="str">
        <x:v>S2</x:v>
      </x:c>
      <x:c r="N38" s="54">
        <x:v>1.5</x:v>
      </x:c>
      <x:c r="O38" s="54">
        <x:v>0.20000000000000001</x:v>
      </x:c>
      <x:c r="P38" s="54">
        <x:v>1</x:v>
      </x:c>
      <x:c r="Q38" s="54">
        <x:v>0.29999999999999999</x:v>
      </x:c>
      <x:c r="R38">
        <x:v>0.65000000000000002</x:v>
      </x:c>
      <x:c r="S38">
        <x:v>0.13</x:v>
      </x:c>
    </x:row>
    <x:row r="39" ht="26" customHeight="1">
      <x:c r="A39" s="1"/>
      <x:c r="B39" s="1"/>
      <x:c r="C39" s="1"/>
      <x:c r="D39" s="1"/>
      <x:c r="E39" s="1"/>
      <x:c r="F39" s="1"/>
      <x:c r="G39" s="1"/>
      <x:c r="H39" s="1"/>
      <x:c r="I39" s="1"/>
      <x:c r="J39" s="1"/>
      <x:c r="K39" s="1" t="n">
        <x:v>9</x:v>
      </x:c>
      <x:c r="L39" s="1" t="str">
        <x:v>Осторожный</x:v>
      </x:c>
      <x:c r="M39" s="1" t="str">
        <x:v>S3</x:v>
      </x:c>
      <x:c r="N39" s="54">
        <x:v>1.5</x:v>
      </x:c>
      <x:c r="O39" s="54">
        <x:v>0.20000000000000001</x:v>
      </x:c>
      <x:c r="P39" s="54">
        <x:v>1</x:v>
      </x:c>
      <x:c r="Q39" s="54">
        <x:v>0.29999999999999999</x:v>
      </x:c>
      <x:c r="R39">
        <x:v>0.65000000000000002</x:v>
      </x:c>
      <x:c r="S39">
        <x:v>0.13</x:v>
      </x:c>
    </x:row>
    <x:row r="40" ht="26" customHeight="1">
      <x:c r="A40" s="1"/>
      <x:c r="B40" s="1"/>
      <x:c r="C40" s="1"/>
      <x:c r="D40" s="1"/>
      <x:c r="E40" s="1"/>
      <x:c r="F40" s="1"/>
      <x:c r="G40" s="1"/>
      <x:c r="H40" s="1"/>
      <x:c r="I40" s="1"/>
      <x:c r="J40" s="1"/>
      <x:c r="K40" s="1" t="n">
        <x:v>9</x:v>
      </x:c>
      <x:c r="L40" s="1" t="str">
        <x:v>Осторожный</x:v>
      </x:c>
      <x:c r="M40" s="1" t="str">
        <x:v>S4</x:v>
      </x:c>
      <x:c r="N40" s="54">
        <x:v>1.5</x:v>
      </x:c>
      <x:c r="O40" s="54">
        <x:v>0.20000000000000001</x:v>
      </x:c>
      <x:c r="P40" s="54">
        <x:v>1</x:v>
      </x:c>
      <x:c r="Q40" s="54">
        <x:v>0.29999999999999999</x:v>
      </x:c>
      <x:c r="R40">
        <x:v>0.65000000000000002</x:v>
      </x:c>
      <x:c r="S40">
        <x:v>0.13</x:v>
      </x:c>
    </x:row>
    <x:row r="41" ht="26" customHeight="1">
      <x:c r="A41" s="1"/>
      <x:c r="B41" s="1"/>
      <x:c r="C41" s="1"/>
      <x:c r="D41" s="1"/>
      <x:c r="E41" s="1"/>
      <x:c r="F41" s="1"/>
      <x:c r="G41" s="1"/>
      <x:c r="H41" s="1"/>
      <x:c r="I41" s="1"/>
      <x:c r="J41" s="1"/>
      <x:c r="K41" s="1" t="n">
        <x:v>10</x:v>
      </x:c>
      <x:c r="L41" s="1" t="str">
        <x:v>Благоприятный</x:v>
      </x:c>
      <x:c r="M41" s="1" t="str">
        <x:v>S1</x:v>
      </x:c>
      <x:c r="N41" s="54">
        <x:v>1.5</x:v>
      </x:c>
      <x:c r="O41" s="54">
        <x:v>0.20000000000000001</x:v>
      </x:c>
      <x:c r="P41" s="54">
        <x:v>1</x:v>
      </x:c>
      <x:c r="Q41" s="54">
        <x:v>0.29999999999999999</x:v>
      </x:c>
      <x:c r="R41">
        <x:v>0.65000000000000002</x:v>
      </x:c>
      <x:c r="S41">
        <x:v>0.13</x:v>
      </x:c>
    </x:row>
    <x:row r="42" ht="26" customHeight="1">
      <x:c r="A42" s="1"/>
      <x:c r="B42" s="1"/>
      <x:c r="C42" s="1"/>
      <x:c r="D42" s="1"/>
      <x:c r="E42" s="1"/>
      <x:c r="F42" s="1"/>
      <x:c r="G42" s="1"/>
      <x:c r="H42" s="1"/>
      <x:c r="I42" s="1"/>
      <x:c r="J42" s="1"/>
      <x:c r="K42" s="1" t="n">
        <x:v>10</x:v>
      </x:c>
      <x:c r="L42" s="1" t="str">
        <x:v>Благоприятный</x:v>
      </x:c>
      <x:c r="M42" s="1" t="str">
        <x:v>S2</x:v>
      </x:c>
      <x:c r="N42" s="54">
        <x:v>1.5</x:v>
      </x:c>
      <x:c r="O42" s="54">
        <x:v>0.20000000000000001</x:v>
      </x:c>
      <x:c r="P42" s="54">
        <x:v>1</x:v>
      </x:c>
      <x:c r="Q42" s="54">
        <x:v>0.29999999999999999</x:v>
      </x:c>
      <x:c r="R42">
        <x:v>0.65000000000000002</x:v>
      </x:c>
      <x:c r="S42">
        <x:v>0.13</x:v>
      </x:c>
    </x:row>
    <x:row r="43" ht="26" customHeight="1">
      <x:c r="A43" s="1"/>
      <x:c r="B43" s="1"/>
      <x:c r="C43" s="1"/>
      <x:c r="D43" s="1"/>
      <x:c r="E43" s="1"/>
      <x:c r="F43" s="1"/>
      <x:c r="G43" s="1"/>
      <x:c r="H43" s="1"/>
      <x:c r="I43" s="1"/>
      <x:c r="J43" s="1"/>
      <x:c r="K43" s="1" t="n">
        <x:v>10</x:v>
      </x:c>
      <x:c r="L43" s="1" t="str">
        <x:v>Благоприятный</x:v>
      </x:c>
      <x:c r="M43" s="1" t="str">
        <x:v>S3</x:v>
      </x:c>
      <x:c r="N43" s="54">
        <x:v>1.5</x:v>
      </x:c>
      <x:c r="O43" s="54">
        <x:v>0.20000000000000001</x:v>
      </x:c>
      <x:c r="P43" s="54">
        <x:v>1</x:v>
      </x:c>
      <x:c r="Q43" s="54">
        <x:v>0.29999999999999999</x:v>
      </x:c>
      <x:c r="R43">
        <x:v>0.65000000000000002</x:v>
      </x:c>
      <x:c r="S43">
        <x:v>0.13</x:v>
      </x:c>
    </x:row>
    <x:row r="44" ht="26" customHeight="1">
      <x:c r="K44" s="1" t="n">
        <x:v>10</x:v>
      </x:c>
      <x:c r="L44" s="1" t="str">
        <x:v>Благоприятный</x:v>
      </x:c>
      <x:c r="M44" s="1" t="str">
        <x:v>S4</x:v>
      </x:c>
      <x:c r="N44" s="54">
        <x:v>1.5</x:v>
      </x:c>
      <x:c r="O44" s="54">
        <x:v>0.20000000000000001</x:v>
      </x:c>
      <x:c r="P44" s="54">
        <x:v>1</x:v>
      </x:c>
      <x:c r="Q44" s="54">
        <x:v>0.29999999999999999</x:v>
      </x:c>
      <x:c r="R44">
        <x:v>0.65000000000000002</x:v>
      </x:c>
      <x:c r="S44">
        <x:v>0.13</x:v>
      </x:c>
    </x:row>
    <x:row r="45" ht="26" customHeight="1">
      <x:c r="K45" s="1" t="n">
        <x:v>11</x:v>
      </x:c>
      <x:c r="L45" s="1" t="str">
        <x:v>Нулевая польза</x:v>
      </x:c>
      <x:c r="M45" s="1" t="str">
        <x:v>S1</x:v>
      </x:c>
      <x:c r="N45" s="54">
        <x:v>1.5</x:v>
      </x:c>
      <x:c r="O45" s="54">
        <x:v>0.20000000000000001</x:v>
      </x:c>
      <x:c r="P45" s="54">
        <x:v>1</x:v>
      </x:c>
      <x:c r="Q45" s="54">
        <x:v>0.29999999999999999</x:v>
      </x:c>
      <x:c r="R45">
        <x:v>0.65000000000000002</x:v>
      </x:c>
      <x:c r="S45">
        <x:v>0.13</x:v>
      </x:c>
    </x:row>
    <x:row r="46" ht="26" customHeight="1">
      <x:c r="K46" s="1" t="n">
        <x:v>11</x:v>
      </x:c>
      <x:c r="L46" s="1" t="str">
        <x:v>Нулевая польза</x:v>
      </x:c>
      <x:c r="M46" s="1" t="str">
        <x:v>S2</x:v>
      </x:c>
      <x:c r="N46" s="54">
        <x:v>1.5</x:v>
      </x:c>
      <x:c r="O46" s="54">
        <x:v>0.20000000000000001</x:v>
      </x:c>
      <x:c r="P46" s="54">
        <x:v>1</x:v>
      </x:c>
      <x:c r="Q46" s="54">
        <x:v>0.29999999999999999</x:v>
      </x:c>
      <x:c r="R46">
        <x:v>0.65000000000000002</x:v>
      </x:c>
      <x:c r="S46">
        <x:v>0.13</x:v>
      </x:c>
    </x:row>
    <x:row r="47" ht="26" customHeight="1">
      <x:c r="K47" s="1" t="n">
        <x:v>11</x:v>
      </x:c>
      <x:c r="L47" s="1" t="str">
        <x:v>Нулевая польза</x:v>
      </x:c>
      <x:c r="M47" s="1" t="str">
        <x:v>S3</x:v>
      </x:c>
      <x:c r="N47" s="54">
        <x:v>1.5</x:v>
      </x:c>
      <x:c r="O47" s="54">
        <x:v>0.20000000000000001</x:v>
      </x:c>
      <x:c r="P47" s="54">
        <x:v>1</x:v>
      </x:c>
      <x:c r="Q47" s="54">
        <x:v>0.29999999999999999</x:v>
      </x:c>
      <x:c r="R47">
        <x:v>0.65000000000000002</x:v>
      </x:c>
      <x:c r="S47">
        <x:v>0.13</x:v>
      </x:c>
    </x:row>
    <x:row r="48" ht="26" customHeight="1">
      <x:c r="K48" s="1" t="n">
        <x:v>11</x:v>
      </x:c>
      <x:c r="L48" s="1" t="str">
        <x:v>Нулевая польза</x:v>
      </x:c>
      <x:c r="M48" s="1" t="str">
        <x:v>S4</x:v>
      </x:c>
      <x:c r="N48" s="54">
        <x:v>1.5</x:v>
      </x:c>
      <x:c r="O48" s="54">
        <x:v>0.20000000000000001</x:v>
      </x:c>
      <x:c r="P48" s="54">
        <x:v>1</x:v>
      </x:c>
      <x:c r="Q48" s="54">
        <x:v>0.29999999999999999</x:v>
      </x:c>
      <x:c r="R48">
        <x:v>0.65000000000000002</x:v>
      </x:c>
      <x:c r="S48">
        <x:v>0.13</x:v>
      </x:c>
    </x:row>
    <x:row r="49" ht="26" customHeight="1">
      <x:c r="K49" s="1" t="n">
        <x:v>12</x:v>
      </x:c>
      <x:c r="L49" s="1" t="str">
        <x:v>Ущерб CR Корзины 0,5%</x:v>
      </x:c>
      <x:c r="M49" s="1" t="str">
        <x:v>S1</x:v>
      </x:c>
      <x:c r="N49" s="54">
        <x:v>1.5</x:v>
      </x:c>
      <x:c r="O49" s="54">
        <x:v>0.20000000000000001</x:v>
      </x:c>
      <x:c r="P49" s="54">
        <x:v>1</x:v>
      </x:c>
      <x:c r="Q49" s="54">
        <x:v>0.29999999999999999</x:v>
      </x:c>
      <x:c r="R49">
        <x:v>0.65000000000000002</x:v>
      </x:c>
      <x:c r="S49">
        <x:v>0.13</x:v>
      </x:c>
    </x:row>
    <x:row r="50" ht="26" customHeight="1">
      <x:c r="K50" s="1" t="n">
        <x:v>12</x:v>
      </x:c>
      <x:c r="L50" s="1" t="str">
        <x:v>Ущерб CR Корзины 0,5%</x:v>
      </x:c>
      <x:c r="M50" s="1" t="str">
        <x:v>S2</x:v>
      </x:c>
      <x:c r="N50" s="54">
        <x:v>1.5</x:v>
      </x:c>
      <x:c r="O50" s="54">
        <x:v>0.20000000000000001</x:v>
      </x:c>
      <x:c r="P50" s="54">
        <x:v>1</x:v>
      </x:c>
      <x:c r="Q50" s="54">
        <x:v>0.29999999999999999</x:v>
      </x:c>
      <x:c r="R50">
        <x:v>0.65000000000000002</x:v>
      </x:c>
      <x:c r="S50">
        <x:v>0.13</x:v>
      </x:c>
    </x:row>
    <x:row r="51" ht="26" customHeight="1">
      <x:c r="K51" s="1" t="n">
        <x:v>12</x:v>
      </x:c>
      <x:c r="L51" s="1" t="str">
        <x:v>Ущерб CR Корзины 0,5%</x:v>
      </x:c>
      <x:c r="M51" s="1" t="str">
        <x:v>S3</x:v>
      </x:c>
      <x:c r="N51" s="54">
        <x:v>1.5</x:v>
      </x:c>
      <x:c r="O51" s="54">
        <x:v>0.20000000000000001</x:v>
      </x:c>
      <x:c r="P51" s="54">
        <x:v>1</x:v>
      </x:c>
      <x:c r="Q51" s="54">
        <x:v>0.29999999999999999</x:v>
      </x:c>
      <x:c r="R51">
        <x:v>0.65000000000000002</x:v>
      </x:c>
      <x:c r="S51">
        <x:v>0.13</x:v>
      </x:c>
    </x:row>
    <x:row r="52" ht="26" customHeight="1">
      <x:c r="K52" s="1" t="n">
        <x:v>12</x:v>
      </x:c>
      <x:c r="L52" s="1" t="str">
        <x:v>Ущерб CR Корзины 0,5%</x:v>
      </x:c>
      <x:c r="M52" s="1" t="str">
        <x:v>S4</x:v>
      </x:c>
      <x:c r="N52" s="54">
        <x:v>1.5</x:v>
      </x:c>
      <x:c r="O52" s="54">
        <x:v>0.20000000000000001</x:v>
      </x:c>
      <x:c r="P52" s="54">
        <x:v>1</x:v>
      </x:c>
      <x:c r="Q52" s="54">
        <x:v>0.29999999999999999</x:v>
      </x:c>
      <x:c r="R52">
        <x:v>0.65000000000000002</x:v>
      </x:c>
      <x:c r="S52">
        <x:v>0.13</x:v>
      </x:c>
    </x:row>
    <x:row r="53" ht="26" customHeight="1">
      <x:c r="K53" s="1" t="n">
        <x:v>13</x:v>
      </x:c>
      <x:c r="L53" s="1" t="str">
        <x:v>Ущерб CR Избранного 3%</x:v>
      </x:c>
      <x:c r="M53" s="1" t="str">
        <x:v>S1</x:v>
      </x:c>
      <x:c r="N53" s="54">
        <x:v>1.5</x:v>
      </x:c>
      <x:c r="O53" s="54">
        <x:v>0.20000000000000001</x:v>
      </x:c>
      <x:c r="P53" s="54">
        <x:v>1</x:v>
      </x:c>
      <x:c r="Q53" s="54">
        <x:v>0.29999999999999999</x:v>
      </x:c>
      <x:c r="R53">
        <x:v>0.65000000000000002</x:v>
      </x:c>
      <x:c r="S53">
        <x:v>0.13</x:v>
      </x:c>
    </x:row>
    <x:row r="54" ht="26" customHeight="1">
      <x:c r="K54" s="1" t="n">
        <x:v>13</x:v>
      </x:c>
      <x:c r="L54" s="1" t="str">
        <x:v>Ущерб CR Избранного 3%</x:v>
      </x:c>
      <x:c r="M54" s="1" t="str">
        <x:v>S2</x:v>
      </x:c>
      <x:c r="N54" s="54">
        <x:v>1.5</x:v>
      </x:c>
      <x:c r="O54" s="54">
        <x:v>0.20000000000000001</x:v>
      </x:c>
      <x:c r="P54" s="54">
        <x:v>1</x:v>
      </x:c>
      <x:c r="Q54" s="54">
        <x:v>0.29999999999999999</x:v>
      </x:c>
      <x:c r="R54">
        <x:v>0.65000000000000002</x:v>
      </x:c>
      <x:c r="S54">
        <x:v>0.13</x:v>
      </x:c>
    </x:row>
    <x:row r="55" ht="26" customHeight="1">
      <x:c r="K55" s="1" t="n">
        <x:v>13</x:v>
      </x:c>
      <x:c r="L55" s="1" t="str">
        <x:v>Ущерб CR Избранного 3%</x:v>
      </x:c>
      <x:c r="M55" s="1" t="str">
        <x:v>S3</x:v>
      </x:c>
      <x:c r="N55" s="54">
        <x:v>1.5</x:v>
      </x:c>
      <x:c r="O55" s="54">
        <x:v>0.20000000000000001</x:v>
      </x:c>
      <x:c r="P55" s="54">
        <x:v>1</x:v>
      </x:c>
      <x:c r="Q55" s="54">
        <x:v>0.29999999999999999</x:v>
      </x:c>
      <x:c r="R55">
        <x:v>0.65000000000000002</x:v>
      </x:c>
      <x:c r="S55">
        <x:v>0.13</x:v>
      </x:c>
    </x:row>
    <x:row r="56" ht="26" customHeight="1">
      <x:c r="K56" s="1" t="n">
        <x:v>13</x:v>
      </x:c>
      <x:c r="L56" s="1" t="str">
        <x:v>Ущерб CR Избранного 3%</x:v>
      </x:c>
      <x:c r="M56" s="1" t="str">
        <x:v>S4</x:v>
      </x:c>
      <x:c r="N56" s="54">
        <x:v>1.5</x:v>
      </x:c>
      <x:c r="O56" s="54">
        <x:v>0.20000000000000001</x:v>
      </x:c>
      <x:c r="P56" s="54">
        <x:v>1</x:v>
      </x:c>
      <x:c r="Q56" s="54">
        <x:v>0.29999999999999999</x:v>
      </x:c>
      <x:c r="R56">
        <x:v>0.65000000000000002</x:v>
      </x:c>
      <x:c r="S56">
        <x:v>0.13</x:v>
      </x:c>
    </x:row>
    <x:row r="57" ht="26" customHeight="1">
      <x:c r="K57" s="1" t="n">
        <x:v>14</x:v>
      </x:c>
      <x:c r="L57" s="1" t="str">
        <x:v>Ущерб доходу покупателя 10%</x:v>
      </x:c>
      <x:c r="M57" s="1" t="str">
        <x:v>S1</x:v>
      </x:c>
      <x:c r="N57" s="54">
        <x:v>1.5</x:v>
      </x:c>
      <x:c r="O57" s="54">
        <x:v>0.20000000000000001</x:v>
      </x:c>
      <x:c r="P57" s="54">
        <x:v>1</x:v>
      </x:c>
      <x:c r="Q57" s="54">
        <x:v>0.29999999999999999</x:v>
      </x:c>
      <x:c r="R57">
        <x:v>0.65000000000000002</x:v>
      </x:c>
      <x:c r="S57">
        <x:v>0.13</x:v>
      </x:c>
    </x:row>
    <x:row r="58" ht="26" customHeight="1">
      <x:c r="K58" s="1" t="n">
        <x:v>14</x:v>
      </x:c>
      <x:c r="L58" s="1" t="str">
        <x:v>Ущерб доходу покупателя 10%</x:v>
      </x:c>
      <x:c r="M58" s="1" t="str">
        <x:v>S2</x:v>
      </x:c>
      <x:c r="N58" s="54">
        <x:v>1.5</x:v>
      </x:c>
      <x:c r="O58" s="54">
        <x:v>0.20000000000000001</x:v>
      </x:c>
      <x:c r="P58" s="54">
        <x:v>1</x:v>
      </x:c>
      <x:c r="Q58" s="54">
        <x:v>0.29999999999999999</x:v>
      </x:c>
      <x:c r="R58">
        <x:v>0.65000000000000002</x:v>
      </x:c>
      <x:c r="S58">
        <x:v>0.13</x:v>
      </x:c>
    </x:row>
    <x:row r="59" ht="26" customHeight="1">
      <x:c r="K59" s="1" t="n">
        <x:v>14</x:v>
      </x:c>
      <x:c r="L59" s="1" t="str">
        <x:v>Ущерб доходу покупателя 10%</x:v>
      </x:c>
      <x:c r="M59" s="1" t="str">
        <x:v>S3</x:v>
      </x:c>
      <x:c r="N59" s="54">
        <x:v>1.5</x:v>
      </x:c>
      <x:c r="O59" s="54">
        <x:v>0.20000000000000001</x:v>
      </x:c>
      <x:c r="P59" s="54">
        <x:v>1</x:v>
      </x:c>
      <x:c r="Q59" s="54">
        <x:v>0.29999999999999999</x:v>
      </x:c>
      <x:c r="R59">
        <x:v>0.65000000000000002</x:v>
      </x:c>
      <x:c r="S59">
        <x:v>0.13</x:v>
      </x:c>
    </x:row>
    <x:row r="60" ht="26" customHeight="1">
      <x:c r="K60" s="1" t="n">
        <x:v>14</x:v>
      </x:c>
      <x:c r="L60" s="1" t="str">
        <x:v>Ущерб доходу покупателя 10%</x:v>
      </x:c>
      <x:c r="M60" s="1" t="str">
        <x:v>S4</x:v>
      </x:c>
      <x:c r="N60" s="54">
        <x:v>1.5</x:v>
      </x:c>
      <x:c r="O60" s="54">
        <x:v>0.20000000000000001</x:v>
      </x:c>
      <x:c r="P60" s="54">
        <x:v>1</x:v>
      </x:c>
      <x:c r="Q60" s="54">
        <x:v>0.29999999999999999</x:v>
      </x:c>
      <x:c r="R60">
        <x:v>0.65000000000000002</x:v>
      </x:c>
      <x:c r="S60">
        <x:v>0.13</x:v>
      </x:c>
    </x:row>
    <x:row r="61" ht="26" customHeight="1">
      <x:c r="K61" s="1" t="n">
        <x:v>15</x:v>
      </x:c>
      <x:c r="L61" s="1" t="str">
        <x:v>Совместный негативный</x:v>
      </x:c>
      <x:c r="M61" s="1" t="str">
        <x:v>S1</x:v>
      </x:c>
      <x:c r="N61" s="54">
        <x:v>1.5</x:v>
      </x:c>
      <x:c r="O61" s="54">
        <x:v>0.20000000000000001</x:v>
      </x:c>
      <x:c r="P61" s="54">
        <x:v>1</x:v>
      </x:c>
      <x:c r="Q61" s="54">
        <x:v>0.29999999999999999</x:v>
      </x:c>
      <x:c r="R61">
        <x:v>0.65000000000000002</x:v>
      </x:c>
      <x:c r="S61">
        <x:v>0.13</x:v>
      </x:c>
    </x:row>
    <x:row r="62" ht="26" customHeight="1">
      <x:c r="K62" s="1" t="n">
        <x:v>15</x:v>
      </x:c>
      <x:c r="L62" s="1" t="str">
        <x:v>Совместный негативный</x:v>
      </x:c>
      <x:c r="M62" s="1" t="str">
        <x:v>S2</x:v>
      </x:c>
      <x:c r="N62" s="54">
        <x:v>1.5</x:v>
      </x:c>
      <x:c r="O62" s="54">
        <x:v>0.20000000000000001</x:v>
      </x:c>
      <x:c r="P62" s="54">
        <x:v>1</x:v>
      </x:c>
      <x:c r="Q62" s="54">
        <x:v>0.29999999999999999</x:v>
      </x:c>
      <x:c r="R62">
        <x:v>0.65000000000000002</x:v>
      </x:c>
      <x:c r="S62">
        <x:v>0.13</x:v>
      </x:c>
    </x:row>
    <x:row r="63" ht="26" customHeight="1">
      <x:c r="K63" s="1" t="n">
        <x:v>15</x:v>
      </x:c>
      <x:c r="L63" s="1" t="str">
        <x:v>Совместный негативный</x:v>
      </x:c>
      <x:c r="M63" s="1" t="str">
        <x:v>S3</x:v>
      </x:c>
      <x:c r="N63" s="54">
        <x:v>1.5</x:v>
      </x:c>
      <x:c r="O63" s="54">
        <x:v>0.20000000000000001</x:v>
      </x:c>
      <x:c r="P63" s="54">
        <x:v>1</x:v>
      </x:c>
      <x:c r="Q63" s="54">
        <x:v>0.29999999999999999</x:v>
      </x:c>
      <x:c r="R63">
        <x:v>0.65000000000000002</x:v>
      </x:c>
      <x:c r="S63">
        <x:v>0.13</x:v>
      </x:c>
    </x:row>
    <x:row r="64" ht="26" customHeight="1">
      <x:c r="K64" s="1" t="n">
        <x:v>15</x:v>
      </x:c>
      <x:c r="L64" s="1" t="str">
        <x:v>Совместный негативный</x:v>
      </x:c>
      <x:c r="M64" s="1" t="str">
        <x:v>S4</x:v>
      </x:c>
      <x:c r="N64" s="54">
        <x:v>1.5</x:v>
      </x:c>
      <x:c r="O64" s="54">
        <x:v>0.20000000000000001</x:v>
      </x:c>
      <x:c r="P64" s="54">
        <x:v>1</x:v>
      </x:c>
      <x:c r="Q64" s="54">
        <x:v>0.29999999999999999</x:v>
      </x:c>
      <x:c r="R64">
        <x:v>0.65000000000000002</x:v>
      </x:c>
      <x:c r="S64">
        <x:v>0.13</x:v>
      </x:c>
    </x:row>
    <x:row r="65" ht="26" customHeight="1">
      <x:c r="K65" s="1" t="n">
        <x:v>16</x:v>
      </x:c>
      <x:c r="L65" s="1" t="str">
        <x:v>Чувствительность CR 10.0%</x:v>
      </x:c>
      <x:c r="M65" s="1" t="str">
        <x:v>S1</x:v>
      </x:c>
      <x:c r="N65" s="54">
        <x:v>1.5</x:v>
      </x:c>
      <x:c r="O65" s="54">
        <x:v>0.20000000000000001</x:v>
      </x:c>
      <x:c r="P65" s="54">
        <x:v>1</x:v>
      </x:c>
      <x:c r="Q65" s="54">
        <x:v>0.29999999999999999</x:v>
      </x:c>
      <x:c r="R65">
        <x:v>0.65000000000000002</x:v>
      </x:c>
      <x:c r="S65">
        <x:v>0.13</x:v>
      </x:c>
    </x:row>
    <x:row r="66" ht="26" customHeight="1">
      <x:c r="K66" s="1" t="n">
        <x:v>16</x:v>
      </x:c>
      <x:c r="L66" s="1" t="str">
        <x:v>Чувствительность CR 10.0%</x:v>
      </x:c>
      <x:c r="M66" s="1" t="str">
        <x:v>S2</x:v>
      </x:c>
      <x:c r="N66" s="54">
        <x:v>1.5</x:v>
      </x:c>
      <x:c r="O66" s="54">
        <x:v>0.20000000000000001</x:v>
      </x:c>
      <x:c r="P66" s="54">
        <x:v>1</x:v>
      </x:c>
      <x:c r="Q66" s="54">
        <x:v>0.29999999999999999</x:v>
      </x:c>
      <x:c r="R66">
        <x:v>0.65000000000000002</x:v>
      </x:c>
      <x:c r="S66">
        <x:v>0.13</x:v>
      </x:c>
    </x:row>
    <x:row r="67" ht="26" customHeight="1">
      <x:c r="K67" s="1" t="n">
        <x:v>16</x:v>
      </x:c>
      <x:c r="L67" s="1" t="str">
        <x:v>Чувствительность CR 10.0%</x:v>
      </x:c>
      <x:c r="M67" s="1" t="str">
        <x:v>S3</x:v>
      </x:c>
      <x:c r="N67" s="54">
        <x:v>1.5</x:v>
      </x:c>
      <x:c r="O67" s="54">
        <x:v>0.20000000000000001</x:v>
      </x:c>
      <x:c r="P67" s="54">
        <x:v>1</x:v>
      </x:c>
      <x:c r="Q67" s="54">
        <x:v>0.29999999999999999</x:v>
      </x:c>
      <x:c r="R67">
        <x:v>0.65000000000000002</x:v>
      </x:c>
      <x:c r="S67">
        <x:v>0.13</x:v>
      </x:c>
    </x:row>
    <x:row r="68" ht="26" customHeight="1">
      <x:c r="K68" s="1" t="n">
        <x:v>16</x:v>
      </x:c>
      <x:c r="L68" s="1" t="str">
        <x:v>Чувствительность CR 10.0%</x:v>
      </x:c>
      <x:c r="M68" s="1" t="str">
        <x:v>S4</x:v>
      </x:c>
      <x:c r="N68" s="54">
        <x:v>1.5</x:v>
      </x:c>
      <x:c r="O68" s="54">
        <x:v>0.20000000000000001</x:v>
      </x:c>
      <x:c r="P68" s="54">
        <x:v>1</x:v>
      </x:c>
      <x:c r="Q68" s="54">
        <x:v>0.29999999999999999</x:v>
      </x:c>
      <x:c r="R68">
        <x:v>0.65000000000000002</x:v>
      </x:c>
      <x:c r="S68">
        <x:v>0.13</x:v>
      </x:c>
    </x:row>
    <x:row r="69" ht="26" customHeight="1">
      <x:c r="K69" s="1" t="n">
        <x:v>17</x:v>
      </x:c>
      <x:c r="L69" s="1" t="str">
        <x:v>Чувствительность CR 12.0%</x:v>
      </x:c>
      <x:c r="M69" s="1" t="str">
        <x:v>S1</x:v>
      </x:c>
      <x:c r="N69" s="54">
        <x:v>1.5</x:v>
      </x:c>
      <x:c r="O69" s="54">
        <x:v>0.20000000000000001</x:v>
      </x:c>
      <x:c r="P69" s="54">
        <x:v>1</x:v>
      </x:c>
      <x:c r="Q69" s="54">
        <x:v>0.29999999999999999</x:v>
      </x:c>
      <x:c r="R69">
        <x:v>0.65000000000000002</x:v>
      </x:c>
      <x:c r="S69">
        <x:v>0.13</x:v>
      </x:c>
    </x:row>
    <x:row r="70" ht="26" customHeight="1">
      <x:c r="K70" s="1" t="n">
        <x:v>17</x:v>
      </x:c>
      <x:c r="L70" s="1" t="str">
        <x:v>Чувствительность CR 12.0%</x:v>
      </x:c>
      <x:c r="M70" s="1" t="str">
        <x:v>S2</x:v>
      </x:c>
      <x:c r="N70" s="54">
        <x:v>1.5</x:v>
      </x:c>
      <x:c r="O70" s="54">
        <x:v>0.20000000000000001</x:v>
      </x:c>
      <x:c r="P70" s="54">
        <x:v>1</x:v>
      </x:c>
      <x:c r="Q70" s="54">
        <x:v>0.29999999999999999</x:v>
      </x:c>
      <x:c r="R70">
        <x:v>0.65000000000000002</x:v>
      </x:c>
      <x:c r="S70">
        <x:v>0.13</x:v>
      </x:c>
    </x:row>
    <x:row r="71" ht="26" customHeight="1">
      <x:c r="K71" s="1" t="n">
        <x:v>17</x:v>
      </x:c>
      <x:c r="L71" s="1" t="str">
        <x:v>Чувствительность CR 12.0%</x:v>
      </x:c>
      <x:c r="M71" s="1" t="str">
        <x:v>S3</x:v>
      </x:c>
      <x:c r="N71" s="54">
        <x:v>1.5</x:v>
      </x:c>
      <x:c r="O71" s="54">
        <x:v>0.20000000000000001</x:v>
      </x:c>
      <x:c r="P71" s="54">
        <x:v>1</x:v>
      </x:c>
      <x:c r="Q71" s="54">
        <x:v>0.29999999999999999</x:v>
      </x:c>
      <x:c r="R71">
        <x:v>0.65000000000000002</x:v>
      </x:c>
      <x:c r="S71">
        <x:v>0.13</x:v>
      </x:c>
    </x:row>
    <x:row r="72" ht="26" customHeight="1">
      <x:c r="K72" s="1" t="n">
        <x:v>17</x:v>
      </x:c>
      <x:c r="L72" s="1" t="str">
        <x:v>Чувствительность CR 12.0%</x:v>
      </x:c>
      <x:c r="M72" s="1" t="str">
        <x:v>S4</x:v>
      </x:c>
      <x:c r="N72" s="54">
        <x:v>1.5</x:v>
      </x:c>
      <x:c r="O72" s="54">
        <x:v>0.20000000000000001</x:v>
      </x:c>
      <x:c r="P72" s="54">
        <x:v>1</x:v>
      </x:c>
      <x:c r="Q72" s="54">
        <x:v>0.29999999999999999</x:v>
      </x:c>
      <x:c r="R72">
        <x:v>0.65000000000000002</x:v>
      </x:c>
      <x:c r="S72">
        <x:v>0.13</x:v>
      </x:c>
    </x:row>
    <x:row r="73" ht="26" customHeight="1">
      <x:c r="K73" s="1" t="n">
        <x:v>18</x:v>
      </x:c>
      <x:c r="L73" s="1" t="str">
        <x:v>Чувствительность CR 18.0%</x:v>
      </x:c>
      <x:c r="M73" s="1" t="str">
        <x:v>S1</x:v>
      </x:c>
      <x:c r="N73" s="54">
        <x:v>1.5</x:v>
      </x:c>
      <x:c r="O73" s="54">
        <x:v>0.20000000000000001</x:v>
      </x:c>
      <x:c r="P73" s="54">
        <x:v>1</x:v>
      </x:c>
      <x:c r="Q73" s="54">
        <x:v>0.29999999999999999</x:v>
      </x:c>
      <x:c r="R73">
        <x:v>0.65000000000000002</x:v>
      </x:c>
      <x:c r="S73">
        <x:v>0.13</x:v>
      </x:c>
    </x:row>
    <x:row r="74" ht="26" customHeight="1">
      <x:c r="K74" s="1" t="n">
        <x:v>18</x:v>
      </x:c>
      <x:c r="L74" s="1" t="str">
        <x:v>Чувствительность CR 18.0%</x:v>
      </x:c>
      <x:c r="M74" s="1" t="str">
        <x:v>S2</x:v>
      </x:c>
      <x:c r="N74" s="54">
        <x:v>1.5</x:v>
      </x:c>
      <x:c r="O74" s="54">
        <x:v>0.20000000000000001</x:v>
      </x:c>
      <x:c r="P74" s="54">
        <x:v>1</x:v>
      </x:c>
      <x:c r="Q74" s="54">
        <x:v>0.29999999999999999</x:v>
      </x:c>
      <x:c r="R74">
        <x:v>0.65000000000000002</x:v>
      </x:c>
      <x:c r="S74">
        <x:v>0.13</x:v>
      </x:c>
    </x:row>
    <x:row r="75" ht="26" customHeight="1">
      <x:c r="K75" s="1" t="n">
        <x:v>18</x:v>
      </x:c>
      <x:c r="L75" s="1" t="str">
        <x:v>Чувствительность CR 18.0%</x:v>
      </x:c>
      <x:c r="M75" s="1" t="str">
        <x:v>S3</x:v>
      </x:c>
      <x:c r="N75" s="54">
        <x:v>1.5</x:v>
      </x:c>
      <x:c r="O75" s="54">
        <x:v>0.20000000000000001</x:v>
      </x:c>
      <x:c r="P75" s="54">
        <x:v>1</x:v>
      </x:c>
      <x:c r="Q75" s="54">
        <x:v>0.29999999999999999</x:v>
      </x:c>
      <x:c r="R75">
        <x:v>0.65000000000000002</x:v>
      </x:c>
      <x:c r="S75">
        <x:v>0.13</x:v>
      </x:c>
    </x:row>
    <x:row r="76" ht="26" customHeight="1">
      <x:c r="K76" s="1" t="n">
        <x:v>18</x:v>
      </x:c>
      <x:c r="L76" s="1" t="str">
        <x:v>Чувствительность CR 18.0%</x:v>
      </x:c>
      <x:c r="M76" s="1" t="str">
        <x:v>S4</x:v>
      </x:c>
      <x:c r="N76" s="54">
        <x:v>1.5</x:v>
      </x:c>
      <x:c r="O76" s="54">
        <x:v>0.20000000000000001</x:v>
      </x:c>
      <x:c r="P76" s="54">
        <x:v>1</x:v>
      </x:c>
      <x:c r="Q76" s="54">
        <x:v>0.29999999999999999</x:v>
      </x:c>
      <x:c r="R76">
        <x:v>0.65000000000000002</x:v>
      </x:c>
      <x:c r="S76">
        <x:v>0.13</x:v>
      </x:c>
    </x:row>
    <x:row r="77" ht="26" customHeight="1">
      <x:c r="K77" s="1" t="n">
        <x:v>19</x:v>
      </x:c>
      <x:c r="L77" s="1" t="str">
        <x:v>Чувствительность CR 20.1%</x:v>
      </x:c>
      <x:c r="M77" s="1" t="str">
        <x:v>S1</x:v>
      </x:c>
      <x:c r="N77" s="54">
        <x:v>1.5</x:v>
      </x:c>
      <x:c r="O77" s="54">
        <x:v>0.20000000000000001</x:v>
      </x:c>
      <x:c r="P77" s="54">
        <x:v>1</x:v>
      </x:c>
      <x:c r="Q77" s="54">
        <x:v>0.29999999999999999</x:v>
      </x:c>
      <x:c r="R77">
        <x:v>0.65000000000000002</x:v>
      </x:c>
      <x:c r="S77">
        <x:v>0.13</x:v>
      </x:c>
    </x:row>
    <x:row r="78" ht="26" customHeight="1">
      <x:c r="K78" s="1" t="n">
        <x:v>19</x:v>
      </x:c>
      <x:c r="L78" s="1" t="str">
        <x:v>Чувствительность CR 20.1%</x:v>
      </x:c>
      <x:c r="M78" s="1" t="str">
        <x:v>S2</x:v>
      </x:c>
      <x:c r="N78" s="54">
        <x:v>1.5</x:v>
      </x:c>
      <x:c r="O78" s="54">
        <x:v>0.20000000000000001</x:v>
      </x:c>
      <x:c r="P78" s="54">
        <x:v>1</x:v>
      </x:c>
      <x:c r="Q78" s="54">
        <x:v>0.29999999999999999</x:v>
      </x:c>
      <x:c r="R78">
        <x:v>0.65000000000000002</x:v>
      </x:c>
      <x:c r="S78">
        <x:v>0.13</x:v>
      </x:c>
    </x:row>
    <x:row r="79" ht="26" customHeight="1">
      <x:c r="K79" s="1" t="n">
        <x:v>19</x:v>
      </x:c>
      <x:c r="L79" s="1" t="str">
        <x:v>Чувствительность CR 20.1%</x:v>
      </x:c>
      <x:c r="M79" s="1" t="str">
        <x:v>S3</x:v>
      </x:c>
      <x:c r="N79" s="54">
        <x:v>1.5</x:v>
      </x:c>
      <x:c r="O79" s="54">
        <x:v>0.20000000000000001</x:v>
      </x:c>
      <x:c r="P79" s="54">
        <x:v>1</x:v>
      </x:c>
      <x:c r="Q79" s="54">
        <x:v>0.29999999999999999</x:v>
      </x:c>
      <x:c r="R79">
        <x:v>0.65000000000000002</x:v>
      </x:c>
      <x:c r="S79">
        <x:v>0.13</x:v>
      </x:c>
    </x:row>
    <x:row r="80" ht="26" customHeight="1">
      <x:c r="K80" s="1" t="n">
        <x:v>19</x:v>
      </x:c>
      <x:c r="L80" s="1" t="str">
        <x:v>Чувствительность CR 20.1%</x:v>
      </x:c>
      <x:c r="M80" s="1" t="str">
        <x:v>S4</x:v>
      </x:c>
      <x:c r="N80" s="54">
        <x:v>1.5</x:v>
      </x:c>
      <x:c r="O80" s="54">
        <x:v>0.20000000000000001</x:v>
      </x:c>
      <x:c r="P80" s="54">
        <x:v>1</x:v>
      </x:c>
      <x:c r="Q80" s="54">
        <x:v>0.29999999999999999</x:v>
      </x:c>
      <x:c r="R80">
        <x:v>0.65000000000000002</x:v>
      </x:c>
      <x:c r="S80">
        <x:v>0.13</x:v>
      </x:c>
    </x:row>
    <x:row r="81" ht="26" customHeight="1">
      <x:c r="K81" s="1" t="n">
        <x:v>20</x:v>
      </x:c>
      <x:c r="L81" s="1" t="str">
        <x:v>Пересечение визитов 0%</x:v>
      </x:c>
      <x:c r="M81" s="1" t="str">
        <x:v>S1</x:v>
      </x:c>
      <x:c r="N81" s="54">
        <x:v>1.5</x:v>
      </x:c>
      <x:c r="O81" s="54">
        <x:v>0.20000000000000001</x:v>
      </x:c>
      <x:c r="P81" s="54">
        <x:v>1</x:v>
      </x:c>
      <x:c r="Q81" s="54">
        <x:v>0.29999999999999999</x:v>
      </x:c>
      <x:c r="R81">
        <x:v>0.65000000000000002</x:v>
      </x:c>
      <x:c r="S81">
        <x:v>0.13</x:v>
      </x:c>
    </x:row>
    <x:row r="82" ht="26" customHeight="1">
      <x:c r="K82" s="1" t="n">
        <x:v>20</x:v>
      </x:c>
      <x:c r="L82" s="1" t="str">
        <x:v>Пересечение визитов 0%</x:v>
      </x:c>
      <x:c r="M82" s="1" t="str">
        <x:v>S2</x:v>
      </x:c>
      <x:c r="N82" s="54">
        <x:v>1.5</x:v>
      </x:c>
      <x:c r="O82" s="54">
        <x:v>0.20000000000000001</x:v>
      </x:c>
      <x:c r="P82" s="54">
        <x:v>1</x:v>
      </x:c>
      <x:c r="Q82" s="54">
        <x:v>0.29999999999999999</x:v>
      </x:c>
      <x:c r="R82">
        <x:v>0.65000000000000002</x:v>
      </x:c>
      <x:c r="S82">
        <x:v>0.13</x:v>
      </x:c>
    </x:row>
    <x:row r="83" ht="26" customHeight="1">
      <x:c r="K83" s="1" t="n">
        <x:v>20</x:v>
      </x:c>
      <x:c r="L83" s="1" t="str">
        <x:v>Пересечение визитов 0%</x:v>
      </x:c>
      <x:c r="M83" s="1" t="str">
        <x:v>S3</x:v>
      </x:c>
      <x:c r="N83" s="54">
        <x:v>1.5</x:v>
      </x:c>
      <x:c r="O83" s="54">
        <x:v>0.20000000000000001</x:v>
      </x:c>
      <x:c r="P83" s="54">
        <x:v>1</x:v>
      </x:c>
      <x:c r="Q83" s="54">
        <x:v>0.29999999999999999</x:v>
      </x:c>
      <x:c r="R83">
        <x:v>0.65000000000000002</x:v>
      </x:c>
      <x:c r="S83">
        <x:v>0.13</x:v>
      </x:c>
    </x:row>
    <x:row r="84" ht="26" customHeight="1">
      <x:c r="K84" s="1" t="n">
        <x:v>20</x:v>
      </x:c>
      <x:c r="L84" s="1" t="str">
        <x:v>Пересечение визитов 0%</x:v>
      </x:c>
      <x:c r="M84" s="1" t="str">
        <x:v>S4</x:v>
      </x:c>
      <x:c r="N84" s="54">
        <x:v>1.5</x:v>
      </x:c>
      <x:c r="O84" s="54">
        <x:v>0.20000000000000001</x:v>
      </x:c>
      <x:c r="P84" s="54">
        <x:v>1</x:v>
      </x:c>
      <x:c r="Q84" s="54">
        <x:v>0.29999999999999999</x:v>
      </x:c>
      <x:c r="R84">
        <x:v>0.65000000000000002</x:v>
      </x:c>
      <x:c r="S84">
        <x:v>0.13</x:v>
      </x:c>
    </x:row>
    <x:row r="85" ht="26" customHeight="1">
      <x:c r="K85" s="1" t="n">
        <x:v>21</x:v>
      </x:c>
      <x:c r="L85" s="1" t="str">
        <x:v>Пересечение визитов 50%</x:v>
      </x:c>
      <x:c r="M85" s="1" t="str">
        <x:v>S1</x:v>
      </x:c>
      <x:c r="N85" s="54">
        <x:v>1.5</x:v>
      </x:c>
      <x:c r="O85" s="54">
        <x:v>0.20000000000000001</x:v>
      </x:c>
      <x:c r="P85" s="54">
        <x:v>1</x:v>
      </x:c>
      <x:c r="Q85" s="54">
        <x:v>0.29999999999999999</x:v>
      </x:c>
      <x:c r="R85">
        <x:v>0.65000000000000002</x:v>
      </x:c>
      <x:c r="S85">
        <x:v>0.13</x:v>
      </x:c>
    </x:row>
    <x:row r="86" ht="26" customHeight="1">
      <x:c r="K86" s="1" t="n">
        <x:v>21</x:v>
      </x:c>
      <x:c r="L86" s="1" t="str">
        <x:v>Пересечение визитов 50%</x:v>
      </x:c>
      <x:c r="M86" s="1" t="str">
        <x:v>S2</x:v>
      </x:c>
      <x:c r="N86" s="54">
        <x:v>1.5</x:v>
      </x:c>
      <x:c r="O86" s="54">
        <x:v>0.20000000000000001</x:v>
      </x:c>
      <x:c r="P86" s="54">
        <x:v>1</x:v>
      </x:c>
      <x:c r="Q86" s="54">
        <x:v>0.29999999999999999</x:v>
      </x:c>
      <x:c r="R86">
        <x:v>0.65000000000000002</x:v>
      </x:c>
      <x:c r="S86">
        <x:v>0.13</x:v>
      </x:c>
    </x:row>
    <x:row r="87" ht="26" customHeight="1">
      <x:c r="K87" s="1" t="n">
        <x:v>21</x:v>
      </x:c>
      <x:c r="L87" s="1" t="str">
        <x:v>Пересечение визитов 50%</x:v>
      </x:c>
      <x:c r="M87" s="1" t="str">
        <x:v>S3</x:v>
      </x:c>
      <x:c r="N87" s="54">
        <x:v>1.5</x:v>
      </x:c>
      <x:c r="O87" s="54">
        <x:v>0.20000000000000001</x:v>
      </x:c>
      <x:c r="P87" s="54">
        <x:v>1</x:v>
      </x:c>
      <x:c r="Q87" s="54">
        <x:v>0.29999999999999999</x:v>
      </x:c>
      <x:c r="R87">
        <x:v>0.65000000000000002</x:v>
      </x:c>
      <x:c r="S87">
        <x:v>0.13</x:v>
      </x:c>
    </x:row>
    <x:row r="88" ht="26" customHeight="1">
      <x:c r="K88" s="1" t="n">
        <x:v>21</x:v>
      </x:c>
      <x:c r="L88" s="1" t="str">
        <x:v>Пересечение визитов 50%</x:v>
      </x:c>
      <x:c r="M88" s="1" t="str">
        <x:v>S4</x:v>
      </x:c>
      <x:c r="N88" s="54">
        <x:v>1.5</x:v>
      </x:c>
      <x:c r="O88" s="54">
        <x:v>0.20000000000000001</x:v>
      </x:c>
      <x:c r="P88" s="54">
        <x:v>1</x:v>
      </x:c>
      <x:c r="Q88" s="54">
        <x:v>0.29999999999999999</x:v>
      </x:c>
      <x:c r="R88">
        <x:v>0.65000000000000002</x:v>
      </x:c>
      <x:c r="S88">
        <x:v>0.13</x:v>
      </x:c>
    </x:row>
    <x:row r="89" ht="26" customHeight="1">
      <x:c r="K89" s="1" t="n">
        <x:v>22</x:v>
      </x:c>
      <x:c r="L89" s="1" t="str">
        <x:v>Пересечение визитов 100%</x:v>
      </x:c>
      <x:c r="M89" s="1" t="str">
        <x:v>S1</x:v>
      </x:c>
      <x:c r="N89" s="54">
        <x:v>1.5</x:v>
      </x:c>
      <x:c r="O89" s="54">
        <x:v>0.20000000000000001</x:v>
      </x:c>
      <x:c r="P89" s="54">
        <x:v>1</x:v>
      </x:c>
      <x:c r="Q89" s="54">
        <x:v>0.29999999999999999</x:v>
      </x:c>
      <x:c r="R89">
        <x:v>0.65000000000000002</x:v>
      </x:c>
      <x:c r="S89">
        <x:v>0.13</x:v>
      </x:c>
    </x:row>
    <x:row r="90" ht="26" customHeight="1">
      <x:c r="K90" s="1" t="n">
        <x:v>22</x:v>
      </x:c>
      <x:c r="L90" s="1" t="str">
        <x:v>Пересечение визитов 100%</x:v>
      </x:c>
      <x:c r="M90" s="1" t="str">
        <x:v>S2</x:v>
      </x:c>
      <x:c r="N90" s="54">
        <x:v>1.5</x:v>
      </x:c>
      <x:c r="O90" s="54">
        <x:v>0.20000000000000001</x:v>
      </x:c>
      <x:c r="P90" s="54">
        <x:v>1</x:v>
      </x:c>
      <x:c r="Q90" s="54">
        <x:v>0.29999999999999999</x:v>
      </x:c>
      <x:c r="R90">
        <x:v>0.65000000000000002</x:v>
      </x:c>
      <x:c r="S90">
        <x:v>0.13</x:v>
      </x:c>
    </x:row>
    <x:row r="91" ht="26" customHeight="1">
      <x:c r="K91" s="1" t="n">
        <x:v>22</x:v>
      </x:c>
      <x:c r="L91" s="1" t="str">
        <x:v>Пересечение визитов 100%</x:v>
      </x:c>
      <x:c r="M91" s="1" t="str">
        <x:v>S3</x:v>
      </x:c>
      <x:c r="N91" s="54">
        <x:v>1.5</x:v>
      </x:c>
      <x:c r="O91" s="54">
        <x:v>0.20000000000000001</x:v>
      </x:c>
      <x:c r="P91" s="54">
        <x:v>1</x:v>
      </x:c>
      <x:c r="Q91" s="54">
        <x:v>0.29999999999999999</x:v>
      </x:c>
      <x:c r="R91">
        <x:v>0.65000000000000002</x:v>
      </x:c>
      <x:c r="S91">
        <x:v>0.13</x:v>
      </x:c>
    </x:row>
    <x:row r="92" ht="26" customHeight="1">
      <x:c r="K92" s="1" t="n">
        <x:v>22</x:v>
      </x:c>
      <x:c r="L92" s="1" t="str">
        <x:v>Пересечение визитов 100%</x:v>
      </x:c>
      <x:c r="M92" s="1" t="str">
        <x:v>S4</x:v>
      </x:c>
      <x:c r="N92" s="54">
        <x:v>1.5</x:v>
      </x:c>
      <x:c r="O92" s="54">
        <x:v>0.20000000000000001</x:v>
      </x:c>
      <x:c r="P92" s="54">
        <x:v>1</x:v>
      </x:c>
      <x:c r="Q92" s="54">
        <x:v>0.29999999999999999</x:v>
      </x:c>
      <x:c r="R92">
        <x:v>0.65000000000000002</x:v>
      </x:c>
      <x:c r="S92">
        <x:v>0.13</x:v>
      </x:c>
    </x:row>
    <x:row r="93" ht="26" customHeight="1">
      <x:c r="K93" s="1" t="n">
        <x:v>23</x:v>
      </x:c>
      <x:c r="L93" s="1" t="str">
        <x:v>Охват ×0.5</x:v>
      </x:c>
      <x:c r="M93" s="1" t="str">
        <x:v>S1</x:v>
      </x:c>
      <x:c r="N93" s="54">
        <x:v>1.5</x:v>
      </x:c>
      <x:c r="O93" s="54">
        <x:v>0.20000000000000001</x:v>
      </x:c>
      <x:c r="P93" s="54">
        <x:v>1</x:v>
      </x:c>
      <x:c r="Q93" s="54">
        <x:v>0.29999999999999999</x:v>
      </x:c>
      <x:c r="R93">
        <x:v>0.65000000000000002</x:v>
      </x:c>
      <x:c r="S93">
        <x:v>0.13</x:v>
      </x:c>
    </x:row>
    <x:row r="94" ht="26" customHeight="1">
      <x:c r="K94" s="1" t="n">
        <x:v>23</x:v>
      </x:c>
      <x:c r="L94" s="1" t="str">
        <x:v>Охват ×0.5</x:v>
      </x:c>
      <x:c r="M94" s="1" t="str">
        <x:v>S2</x:v>
      </x:c>
      <x:c r="N94" s="54">
        <x:v>1.5</x:v>
      </x:c>
      <x:c r="O94" s="54">
        <x:v>0.20000000000000001</x:v>
      </x:c>
      <x:c r="P94" s="54">
        <x:v>1</x:v>
      </x:c>
      <x:c r="Q94" s="54">
        <x:v>0.29999999999999999</x:v>
      </x:c>
      <x:c r="R94">
        <x:v>0.65000000000000002</x:v>
      </x:c>
      <x:c r="S94">
        <x:v>0.13</x:v>
      </x:c>
    </x:row>
    <x:row r="95" ht="26" customHeight="1">
      <x:c r="K95" s="1" t="n">
        <x:v>23</x:v>
      </x:c>
      <x:c r="L95" s="1" t="str">
        <x:v>Охват ×0.5</x:v>
      </x:c>
      <x:c r="M95" s="1" t="str">
        <x:v>S3</x:v>
      </x:c>
      <x:c r="N95" s="54">
        <x:v>1.5</x:v>
      </x:c>
      <x:c r="O95" s="54">
        <x:v>0.20000000000000001</x:v>
      </x:c>
      <x:c r="P95" s="54">
        <x:v>1</x:v>
      </x:c>
      <x:c r="Q95" s="54">
        <x:v>0.29999999999999999</x:v>
      </x:c>
      <x:c r="R95">
        <x:v>0.65000000000000002</x:v>
      </x:c>
      <x:c r="S95">
        <x:v>0.13</x:v>
      </x:c>
    </x:row>
    <x:row r="96" ht="26" customHeight="1">
      <x:c r="K96" s="1" t="n">
        <x:v>23</x:v>
      </x:c>
      <x:c r="L96" s="1" t="str">
        <x:v>Охват ×0.5</x:v>
      </x:c>
      <x:c r="M96" s="1" t="str">
        <x:v>S4</x:v>
      </x:c>
      <x:c r="N96" s="54">
        <x:v>1.5</x:v>
      </x:c>
      <x:c r="O96" s="54">
        <x:v>0.20000000000000001</x:v>
      </x:c>
      <x:c r="P96" s="54">
        <x:v>1</x:v>
      </x:c>
      <x:c r="Q96" s="54">
        <x:v>0.29999999999999999</x:v>
      </x:c>
      <x:c r="R96">
        <x:v>0.65000000000000002</x:v>
      </x:c>
      <x:c r="S96">
        <x:v>0.13</x:v>
      </x:c>
    </x:row>
    <x:row r="97" ht="26" customHeight="1">
      <x:c r="K97" s="1" t="n">
        <x:v>24</x:v>
      </x:c>
      <x:c r="L97" s="1" t="str">
        <x:v>Охват ×1.5</x:v>
      </x:c>
      <x:c r="M97" s="1" t="str">
        <x:v>S1</x:v>
      </x:c>
      <x:c r="N97" s="54">
        <x:v>1.5</x:v>
      </x:c>
      <x:c r="O97" s="54">
        <x:v>0.20000000000000001</x:v>
      </x:c>
      <x:c r="P97" s="54">
        <x:v>1</x:v>
      </x:c>
      <x:c r="Q97" s="54">
        <x:v>0.29999999999999999</x:v>
      </x:c>
      <x:c r="R97">
        <x:v>0.65000000000000002</x:v>
      </x:c>
      <x:c r="S97">
        <x:v>0.13</x:v>
      </x:c>
    </x:row>
    <x:row r="98" ht="26" customHeight="1">
      <x:c r="K98" s="1" t="n">
        <x:v>24</x:v>
      </x:c>
      <x:c r="L98" s="1" t="str">
        <x:v>Охват ×1.5</x:v>
      </x:c>
      <x:c r="M98" s="1" t="str">
        <x:v>S2</x:v>
      </x:c>
      <x:c r="N98" s="54">
        <x:v>1.5</x:v>
      </x:c>
      <x:c r="O98" s="54">
        <x:v>0.20000000000000001</x:v>
      </x:c>
      <x:c r="P98" s="54">
        <x:v>1</x:v>
      </x:c>
      <x:c r="Q98" s="54">
        <x:v>0.29999999999999999</x:v>
      </x:c>
      <x:c r="R98">
        <x:v>0.65000000000000002</x:v>
      </x:c>
      <x:c r="S98">
        <x:v>0.13</x:v>
      </x:c>
    </x:row>
    <x:row r="99" ht="26" customHeight="1">
      <x:c r="K99" s="1" t="n">
        <x:v>24</x:v>
      </x:c>
      <x:c r="L99" s="1" t="str">
        <x:v>Охват ×1.5</x:v>
      </x:c>
      <x:c r="M99" s="1" t="str">
        <x:v>S3</x:v>
      </x:c>
      <x:c r="N99" s="54">
        <x:v>1.5</x:v>
      </x:c>
      <x:c r="O99" s="54">
        <x:v>0.20000000000000001</x:v>
      </x:c>
      <x:c r="P99" s="54">
        <x:v>1</x:v>
      </x:c>
      <x:c r="Q99" s="54">
        <x:v>0.29999999999999999</x:v>
      </x:c>
      <x:c r="R99">
        <x:v>0.65000000000000002</x:v>
      </x:c>
      <x:c r="S99">
        <x:v>0.13</x:v>
      </x:c>
    </x:row>
    <x:row r="100" ht="26" customHeight="1">
      <x:c r="K100" s="1" t="n">
        <x:v>24</x:v>
      </x:c>
      <x:c r="L100" s="1" t="str">
        <x:v>Охват ×1.5</x:v>
      </x:c>
      <x:c r="M100" s="1" t="str">
        <x:v>S4</x:v>
      </x:c>
      <x:c r="N100" s="54">
        <x:v>1.5</x:v>
      </x:c>
      <x:c r="O100" s="54">
        <x:v>0.20000000000000001</x:v>
      </x:c>
      <x:c r="P100" s="54">
        <x:v>1</x:v>
      </x:c>
      <x:c r="Q100" s="54">
        <x:v>0.29999999999999999</x:v>
      </x:c>
      <x:c r="R100">
        <x:v>0.65000000000000002</x:v>
      </x:c>
      <x:c r="S100">
        <x:v>0.13</x:v>
      </x:c>
    </x:row>
    <x:row r="101" ht="26" customHeight="1">
      <x:c r="K101" s="1" t="n">
        <x:v>25</x:v>
      </x:c>
      <x:c r="L101" s="1" t="str">
        <x:v>Сдвиг состава визитов: стресс</x:v>
      </x:c>
      <x:c r="M101" s="1" t="str">
        <x:v>S1</x:v>
      </x:c>
      <x:c r="N101" s="54">
        <x:v>1.2</x:v>
      </x:c>
      <x:c r="O101" s="54">
        <x:v>0.40000000000000002</x:v>
      </x:c>
      <x:c r="P101" s="54">
        <x:v>1</x:v>
      </x:c>
      <x:c r="Q101" s="54">
        <x:v>0.5</x:v>
      </x:c>
      <x:c r="R101">
        <x:v>0.65000000000000002</x:v>
      </x:c>
      <x:c r="S101">
        <x:v>0.13</x:v>
      </x:c>
    </x:row>
    <x:row r="102" ht="26" customHeight="1">
      <x:c r="K102" s="1" t="n">
        <x:v>25</x:v>
      </x:c>
      <x:c r="L102" s="1" t="str">
        <x:v>Сдвиг состава визитов: стресс</x:v>
      </x:c>
      <x:c r="M102" s="1" t="str">
        <x:v>S2</x:v>
      </x:c>
      <x:c r="N102" s="54">
        <x:v>1.2</x:v>
      </x:c>
      <x:c r="O102" s="54">
        <x:v>0.40000000000000002</x:v>
      </x:c>
      <x:c r="P102" s="54">
        <x:v>1</x:v>
      </x:c>
      <x:c r="Q102" s="54">
        <x:v>0.5</x:v>
      </x:c>
      <x:c r="R102">
        <x:v>0.65000000000000002</x:v>
      </x:c>
      <x:c r="S102">
        <x:v>0.13</x:v>
      </x:c>
    </x:row>
    <x:row r="103" ht="26" customHeight="1">
      <x:c r="K103" s="1" t="n">
        <x:v>25</x:v>
      </x:c>
      <x:c r="L103" s="1" t="str">
        <x:v>Сдвиг состава визитов: стресс</x:v>
      </x:c>
      <x:c r="M103" s="1" t="str">
        <x:v>S3</x:v>
      </x:c>
      <x:c r="N103" s="54">
        <x:v>1.2</x:v>
      </x:c>
      <x:c r="O103" s="54">
        <x:v>0.40000000000000002</x:v>
      </x:c>
      <x:c r="P103" s="54">
        <x:v>1</x:v>
      </x:c>
      <x:c r="Q103" s="54">
        <x:v>0.5</x:v>
      </x:c>
      <x:c r="R103">
        <x:v>0.65000000000000002</x:v>
      </x:c>
      <x:c r="S103">
        <x:v>0.13</x:v>
      </x:c>
    </x:row>
    <x:row r="104" ht="26" customHeight="1">
      <x:c r="K104" s="1" t="n">
        <x:v>25</x:v>
      </x:c>
      <x:c r="L104" s="1" t="str">
        <x:v>Сдвиг состава визитов: стресс</x:v>
      </x:c>
      <x:c r="M104" s="1" t="str">
        <x:v>S4</x:v>
      </x:c>
      <x:c r="N104" s="54">
        <x:v>1.2</x:v>
      </x:c>
      <x:c r="O104" s="54">
        <x:v>0.40000000000000002</x:v>
      </x:c>
      <x:c r="P104" s="54">
        <x:v>1</x:v>
      </x:c>
      <x:c r="Q104" s="54">
        <x:v>0.5</x:v>
      </x:c>
      <x:c r="R104">
        <x:v>0.65000000000000002</x:v>
      </x:c>
      <x:c r="S104">
        <x:v>0.13</x:v>
      </x:c>
    </x:row>
    <x:row r="105" ht="26" customHeight="1">
      <x:c r="K105" s="1" t="n">
        <x:v>26</x:v>
      </x:c>
      <x:c r="L105" s="1" t="str">
        <x:v>Потребность в H1 среди 40+: 25%</x:v>
      </x:c>
      <x:c r="M105" s="1" t="str">
        <x:v>S1</x:v>
      </x:c>
      <x:c r="N105" s="54">
        <x:v>1.5</x:v>
      </x:c>
      <x:c r="O105" s="54">
        <x:v>0.20000000000000001</x:v>
      </x:c>
      <x:c r="P105" s="54">
        <x:v>1</x:v>
      </x:c>
      <x:c r="Q105" s="54">
        <x:v>0.29999999999999999</x:v>
      </x:c>
      <x:c r="R105">
        <x:v>0.65000000000000002</x:v>
      </x:c>
      <x:c r="S105">
        <x:v>0.13</x:v>
      </x:c>
    </x:row>
    <x:row r="106" ht="26" customHeight="1">
      <x:c r="K106" s="1" t="n">
        <x:v>26</x:v>
      </x:c>
      <x:c r="L106" s="1" t="str">
        <x:v>Потребность в H1 среди 40+: 25%</x:v>
      </x:c>
      <x:c r="M106" s="1" t="str">
        <x:v>S2</x:v>
      </x:c>
      <x:c r="N106" s="54">
        <x:v>1.5</x:v>
      </x:c>
      <x:c r="O106" s="54">
        <x:v>0.20000000000000001</x:v>
      </x:c>
      <x:c r="P106" s="54">
        <x:v>1</x:v>
      </x:c>
      <x:c r="Q106" s="54">
        <x:v>0.29999999999999999</x:v>
      </x:c>
      <x:c r="R106">
        <x:v>0.65000000000000002</x:v>
      </x:c>
      <x:c r="S106">
        <x:v>0.13</x:v>
      </x:c>
    </x:row>
    <x:row r="107" ht="26" customHeight="1">
      <x:c r="K107" s="1" t="n">
        <x:v>26</x:v>
      </x:c>
      <x:c r="L107" s="1" t="str">
        <x:v>Потребность в H1 среди 40+: 25%</x:v>
      </x:c>
      <x:c r="M107" s="1" t="str">
        <x:v>S3</x:v>
      </x:c>
      <x:c r="N107" s="54">
        <x:v>1.5</x:v>
      </x:c>
      <x:c r="O107" s="54">
        <x:v>0.20000000000000001</x:v>
      </x:c>
      <x:c r="P107" s="54">
        <x:v>1</x:v>
      </x:c>
      <x:c r="Q107" s="54">
        <x:v>0.29999999999999999</x:v>
      </x:c>
      <x:c r="R107">
        <x:v>0.65000000000000002</x:v>
      </x:c>
      <x:c r="S107">
        <x:v>0.13</x:v>
      </x:c>
    </x:row>
    <x:row r="108" ht="26" customHeight="1">
      <x:c r="K108" s="1" t="n">
        <x:v>26</x:v>
      </x:c>
      <x:c r="L108" s="1" t="str">
        <x:v>Потребность в H1 среди 40+: 25%</x:v>
      </x:c>
      <x:c r="M108" s="1" t="str">
        <x:v>S4</x:v>
      </x:c>
      <x:c r="N108" s="54">
        <x:v>1.5</x:v>
      </x:c>
      <x:c r="O108" s="54">
        <x:v>0.20000000000000001</x:v>
      </x:c>
      <x:c r="P108" s="54">
        <x:v>1</x:v>
      </x:c>
      <x:c r="Q108" s="54">
        <x:v>0.29999999999999999</x:v>
      </x:c>
      <x:c r="R108">
        <x:v>0.65000000000000002</x:v>
      </x:c>
      <x:c r="S108">
        <x:v>0.13</x:v>
      </x:c>
    </x:row>
    <x:row r="109" ht="26" customHeight="1">
      <x:c r="K109" s="1" t="n">
        <x:v>27</x:v>
      </x:c>
      <x:c r="L109" s="1" t="str">
        <x:v>Потребность в H1 среди 40+: 60%</x:v>
      </x:c>
      <x:c r="M109" s="1" t="str">
        <x:v>S1</x:v>
      </x:c>
      <x:c r="N109" s="54">
        <x:v>1.5</x:v>
      </x:c>
      <x:c r="O109" s="54">
        <x:v>0.20000000000000001</x:v>
      </x:c>
      <x:c r="P109" s="54">
        <x:v>1</x:v>
      </x:c>
      <x:c r="Q109" s="54">
        <x:v>0.29999999999999999</x:v>
      </x:c>
      <x:c r="R109">
        <x:v>0.65000000000000002</x:v>
      </x:c>
      <x:c r="S109">
        <x:v>0.13</x:v>
      </x:c>
    </x:row>
    <x:row r="110" ht="26" customHeight="1">
      <x:c r="K110" s="1" t="n">
        <x:v>27</x:v>
      </x:c>
      <x:c r="L110" s="1" t="str">
        <x:v>Потребность в H1 среди 40+: 60%</x:v>
      </x:c>
      <x:c r="M110" s="1" t="str">
        <x:v>S2</x:v>
      </x:c>
      <x:c r="N110" s="54">
        <x:v>1.5</x:v>
      </x:c>
      <x:c r="O110" s="54">
        <x:v>0.20000000000000001</x:v>
      </x:c>
      <x:c r="P110" s="54">
        <x:v>1</x:v>
      </x:c>
      <x:c r="Q110" s="54">
        <x:v>0.29999999999999999</x:v>
      </x:c>
      <x:c r="R110">
        <x:v>0.65000000000000002</x:v>
      </x:c>
      <x:c r="S110">
        <x:v>0.13</x:v>
      </x:c>
    </x:row>
    <x:row r="111" ht="26" customHeight="1">
      <x:c r="K111" s="1" t="n">
        <x:v>27</x:v>
      </x:c>
      <x:c r="L111" s="1" t="str">
        <x:v>Потребность в H1 среди 40+: 60%</x:v>
      </x:c>
      <x:c r="M111" s="1" t="str">
        <x:v>S3</x:v>
      </x:c>
      <x:c r="N111" s="54">
        <x:v>1.5</x:v>
      </x:c>
      <x:c r="O111" s="54">
        <x:v>0.20000000000000001</x:v>
      </x:c>
      <x:c r="P111" s="54">
        <x:v>1</x:v>
      </x:c>
      <x:c r="Q111" s="54">
        <x:v>0.29999999999999999</x:v>
      </x:c>
      <x:c r="R111">
        <x:v>0.65000000000000002</x:v>
      </x:c>
      <x:c r="S111">
        <x:v>0.13</x:v>
      </x:c>
    </x:row>
    <x:row r="112" ht="26" customHeight="1">
      <x:c r="K112" s="1" t="n">
        <x:v>27</x:v>
      </x:c>
      <x:c r="L112" s="1" t="str">
        <x:v>Потребность в H1 среди 40+: 60%</x:v>
      </x:c>
      <x:c r="M112" s="1" t="str">
        <x:v>S4</x:v>
      </x:c>
      <x:c r="N112" s="54">
        <x:v>1.5</x:v>
      </x:c>
      <x:c r="O112" s="54">
        <x:v>0.20000000000000001</x:v>
      </x:c>
      <x:c r="P112" s="54">
        <x:v>1</x:v>
      </x:c>
      <x:c r="Q112" s="54">
        <x:v>0.29999999999999999</x:v>
      </x:c>
      <x:c r="R112">
        <x:v>0.65000000000000002</x:v>
      </x:c>
      <x:c r="S112">
        <x:v>0.13</x:v>
      </x:c>
    </x:row>
    <x:row r="113" ht="26" customHeight="1">
      <x:c r="K113" s="1" t="n">
        <x:v>28</x:v>
      </x:c>
      <x:c r="L113" s="1" t="str">
        <x:v>Потребность в H1 среди 40+: 80%</x:v>
      </x:c>
      <x:c r="M113" s="1" t="str">
        <x:v>S1</x:v>
      </x:c>
      <x:c r="N113" s="54">
        <x:v>1.5</x:v>
      </x:c>
      <x:c r="O113" s="54">
        <x:v>0.20000000000000001</x:v>
      </x:c>
      <x:c r="P113" s="54">
        <x:v>1</x:v>
      </x:c>
      <x:c r="Q113" s="54">
        <x:v>0.29999999999999999</x:v>
      </x:c>
      <x:c r="R113">
        <x:v>0.65000000000000002</x:v>
      </x:c>
      <x:c r="S113">
        <x:v>0.13</x:v>
      </x:c>
    </x:row>
    <x:row r="114" ht="26" customHeight="1">
      <x:c r="K114" s="1" t="n">
        <x:v>28</x:v>
      </x:c>
      <x:c r="L114" s="1" t="str">
        <x:v>Потребность в H1 среди 40+: 80%</x:v>
      </x:c>
      <x:c r="M114" s="1" t="str">
        <x:v>S2</x:v>
      </x:c>
      <x:c r="N114" s="54">
        <x:v>1.5</x:v>
      </x:c>
      <x:c r="O114" s="54">
        <x:v>0.20000000000000001</x:v>
      </x:c>
      <x:c r="P114" s="54">
        <x:v>1</x:v>
      </x:c>
      <x:c r="Q114" s="54">
        <x:v>0.29999999999999999</x:v>
      </x:c>
      <x:c r="R114">
        <x:v>0.65000000000000002</x:v>
      </x:c>
      <x:c r="S114">
        <x:v>0.13</x:v>
      </x:c>
    </x:row>
    <x:row r="115" ht="26" customHeight="1">
      <x:c r="K115" s="1" t="n">
        <x:v>28</x:v>
      </x:c>
      <x:c r="L115" s="1" t="str">
        <x:v>Потребность в H1 среди 40+: 80%</x:v>
      </x:c>
      <x:c r="M115" s="1" t="str">
        <x:v>S3</x:v>
      </x:c>
      <x:c r="N115" s="54">
        <x:v>1.5</x:v>
      </x:c>
      <x:c r="O115" s="54">
        <x:v>0.20000000000000001</x:v>
      </x:c>
      <x:c r="P115" s="54">
        <x:v>1</x:v>
      </x:c>
      <x:c r="Q115" s="54">
        <x:v>0.29999999999999999</x:v>
      </x:c>
      <x:c r="R115">
        <x:v>0.65000000000000002</x:v>
      </x:c>
      <x:c r="S115">
        <x:v>0.13</x:v>
      </x:c>
    </x:row>
    <x:row r="116" ht="26" customHeight="1">
      <x:c r="K116" s="1" t="n">
        <x:v>28</x:v>
      </x:c>
      <x:c r="L116" s="1" t="str">
        <x:v>Потребность в H1 среди 40+: 80%</x:v>
      </x:c>
      <x:c r="M116" s="1" t="str">
        <x:v>S4</x:v>
      </x:c>
      <x:c r="N116" s="54">
        <x:v>1.5</x:v>
      </x:c>
      <x:c r="O116" s="54">
        <x:v>0.20000000000000001</x:v>
      </x:c>
      <x:c r="P116" s="54">
        <x:v>1</x:v>
      </x:c>
      <x:c r="Q116" s="54">
        <x:v>0.29999999999999999</x:v>
      </x:c>
      <x:c r="R116">
        <x:v>0.65000000000000002</x:v>
      </x:c>
      <x:c r="S116">
        <x:v>0.13</x:v>
      </x:c>
    </x:row>
    <x:row r="117" ht="26" customHeight="1">
      <x:c r="K117" s="1" t="n">
        <x:v>29</x:v>
      </x:c>
      <x:c r="L117" s="1" t="str">
        <x:v>Потребность в H1 среди 40+: 100%</x:v>
      </x:c>
      <x:c r="M117" s="1" t="str">
        <x:v>S1</x:v>
      </x:c>
      <x:c r="N117" s="54">
        <x:v>1.5</x:v>
      </x:c>
      <x:c r="O117" s="54">
        <x:v>0.20000000000000001</x:v>
      </x:c>
      <x:c r="P117" s="54">
        <x:v>1</x:v>
      </x:c>
      <x:c r="Q117" s="54">
        <x:v>0.29999999999999999</x:v>
      </x:c>
      <x:c r="R117">
        <x:v>0.65000000000000002</x:v>
      </x:c>
      <x:c r="S117">
        <x:v>0.13</x:v>
      </x:c>
    </x:row>
    <x:row r="118" ht="26" customHeight="1">
      <x:c r="K118" s="1" t="n">
        <x:v>29</x:v>
      </x:c>
      <x:c r="L118" s="1" t="str">
        <x:v>Потребность в H1 среди 40+: 100%</x:v>
      </x:c>
      <x:c r="M118" s="1" t="str">
        <x:v>S2</x:v>
      </x:c>
      <x:c r="N118" s="54">
        <x:v>1.5</x:v>
      </x:c>
      <x:c r="O118" s="54">
        <x:v>0.20000000000000001</x:v>
      </x:c>
      <x:c r="P118" s="54">
        <x:v>1</x:v>
      </x:c>
      <x:c r="Q118" s="54">
        <x:v>0.29999999999999999</x:v>
      </x:c>
      <x:c r="R118">
        <x:v>0.65000000000000002</x:v>
      </x:c>
      <x:c r="S118">
        <x:v>0.13</x:v>
      </x:c>
    </x:row>
    <x:row r="119" ht="26" customHeight="1">
      <x:c r="K119" s="1" t="n">
        <x:v>29</x:v>
      </x:c>
      <x:c r="L119" s="1" t="str">
        <x:v>Потребность в H1 среди 40+: 100%</x:v>
      </x:c>
      <x:c r="M119" s="1" t="str">
        <x:v>S3</x:v>
      </x:c>
      <x:c r="N119" s="54">
        <x:v>1.5</x:v>
      </x:c>
      <x:c r="O119" s="54">
        <x:v>0.20000000000000001</x:v>
      </x:c>
      <x:c r="P119" s="54">
        <x:v>1</x:v>
      </x:c>
      <x:c r="Q119" s="54">
        <x:v>0.29999999999999999</x:v>
      </x:c>
      <x:c r="R119">
        <x:v>0.65000000000000002</x:v>
      </x:c>
      <x:c r="S119">
        <x:v>0.13</x:v>
      </x:c>
    </x:row>
    <x:row r="120" ht="26" customHeight="1">
      <x:c r="K120" s="1" t="n">
        <x:v>29</x:v>
      </x:c>
      <x:c r="L120" s="1" t="str">
        <x:v>Потребность в H1 среди 40+: 100%</x:v>
      </x:c>
      <x:c r="M120" s="1" t="str">
        <x:v>S4</x:v>
      </x:c>
      <x:c r="N120" s="54">
        <x:v>1.5</x:v>
      </x:c>
      <x:c r="O120" s="54">
        <x:v>0.20000000000000001</x:v>
      </x:c>
      <x:c r="P120" s="54">
        <x:v>1</x:v>
      </x:c>
      <x:c r="Q120" s="54">
        <x:v>0.29999999999999999</x:v>
      </x:c>
      <x:c r="R120">
        <x:v>0.65000000000000002</x:v>
      </x:c>
      <x:c r="S120">
        <x:v>0.13</x:v>
      </x:c>
    </x:row>
    <x:row r="121" ht="26" customHeight="1">
      <x:c r="K121" s="1" t="n">
        <x:v>30</x:v>
      </x:c>
      <x:c r="L121" s="1" t="str">
        <x:v>Большое Избранное: 20%</x:v>
      </x:c>
      <x:c r="M121" s="1" t="str">
        <x:v>S1</x:v>
      </x:c>
      <x:c r="N121" s="54">
        <x:v>1.5</x:v>
      </x:c>
      <x:c r="O121" s="54">
        <x:v>0.20000000000000001</x:v>
      </x:c>
      <x:c r="P121" s="54">
        <x:v>1</x:v>
      </x:c>
      <x:c r="Q121" s="54">
        <x:v>0.29999999999999999</x:v>
      </x:c>
      <x:c r="R121">
        <x:v>0.65000000000000002</x:v>
      </x:c>
      <x:c r="S121">
        <x:v>0.13</x:v>
      </x:c>
    </x:row>
    <x:row r="122" ht="26" customHeight="1">
      <x:c r="K122" s="1" t="n">
        <x:v>30</x:v>
      </x:c>
      <x:c r="L122" s="1" t="str">
        <x:v>Большое Избранное: 20%</x:v>
      </x:c>
      <x:c r="M122" s="1" t="str">
        <x:v>S2</x:v>
      </x:c>
      <x:c r="N122" s="54">
        <x:v>1.5</x:v>
      </x:c>
      <x:c r="O122" s="54">
        <x:v>0.20000000000000001</x:v>
      </x:c>
      <x:c r="P122" s="54">
        <x:v>1</x:v>
      </x:c>
      <x:c r="Q122" s="54">
        <x:v>0.29999999999999999</x:v>
      </x:c>
      <x:c r="R122">
        <x:v>0.65000000000000002</x:v>
      </x:c>
      <x:c r="S122">
        <x:v>0.13</x:v>
      </x:c>
    </x:row>
    <x:row r="123" ht="26" customHeight="1">
      <x:c r="K123" s="1" t="n">
        <x:v>30</x:v>
      </x:c>
      <x:c r="L123" s="1" t="str">
        <x:v>Большое Избранное: 20%</x:v>
      </x:c>
      <x:c r="M123" s="1" t="str">
        <x:v>S3</x:v>
      </x:c>
      <x:c r="N123" s="54">
        <x:v>1.5</x:v>
      </x:c>
      <x:c r="O123" s="54">
        <x:v>0.20000000000000001</x:v>
      </x:c>
      <x:c r="P123" s="54">
        <x:v>1</x:v>
      </x:c>
      <x:c r="Q123" s="54">
        <x:v>0.29999999999999999</x:v>
      </x:c>
      <x:c r="R123">
        <x:v>0.65000000000000002</x:v>
      </x:c>
      <x:c r="S123">
        <x:v>0.13</x:v>
      </x:c>
    </x:row>
    <x:row r="124" ht="26" customHeight="1">
      <x:c r="K124" s="1" t="n">
        <x:v>30</x:v>
      </x:c>
      <x:c r="L124" s="1" t="str">
        <x:v>Большое Избранное: 20%</x:v>
      </x:c>
      <x:c r="M124" s="1" t="str">
        <x:v>S4</x:v>
      </x:c>
      <x:c r="N124" s="54">
        <x:v>1.5</x:v>
      </x:c>
      <x:c r="O124" s="54">
        <x:v>0.20000000000000001</x:v>
      </x:c>
      <x:c r="P124" s="54">
        <x:v>1</x:v>
      </x:c>
      <x:c r="Q124" s="54">
        <x:v>0.29999999999999999</x:v>
      </x:c>
      <x:c r="R124">
        <x:v>0.65000000000000002</x:v>
      </x:c>
      <x:c r="S124">
        <x:v>0.13</x:v>
      </x:c>
    </x:row>
    <x:row r="125" ht="26" customHeight="1">
      <x:c r="K125" s="1" t="n">
        <x:v>31</x:v>
      </x:c>
      <x:c r="L125" s="1" t="str">
        <x:v>Большое Избранное: 60%</x:v>
      </x:c>
      <x:c r="M125" s="1" t="str">
        <x:v>S1</x:v>
      </x:c>
      <x:c r="N125" s="54">
        <x:v>1.5</x:v>
      </x:c>
      <x:c r="O125" s="54">
        <x:v>0.20000000000000001</x:v>
      </x:c>
      <x:c r="P125" s="54">
        <x:v>1</x:v>
      </x:c>
      <x:c r="Q125" s="54">
        <x:v>0.29999999999999999</x:v>
      </x:c>
      <x:c r="R125">
        <x:v>0.65000000000000002</x:v>
      </x:c>
      <x:c r="S125">
        <x:v>0.13</x:v>
      </x:c>
    </x:row>
    <x:row r="126" ht="26" customHeight="1">
      <x:c r="K126" s="1" t="n">
        <x:v>31</x:v>
      </x:c>
      <x:c r="L126" s="1" t="str">
        <x:v>Большое Избранное: 60%</x:v>
      </x:c>
      <x:c r="M126" s="1" t="str">
        <x:v>S2</x:v>
      </x:c>
      <x:c r="N126" s="54">
        <x:v>1.5</x:v>
      </x:c>
      <x:c r="O126" s="54">
        <x:v>0.20000000000000001</x:v>
      </x:c>
      <x:c r="P126" s="54">
        <x:v>1</x:v>
      </x:c>
      <x:c r="Q126" s="54">
        <x:v>0.29999999999999999</x:v>
      </x:c>
      <x:c r="R126">
        <x:v>0.65000000000000002</x:v>
      </x:c>
      <x:c r="S126">
        <x:v>0.13</x:v>
      </x:c>
    </x:row>
    <x:row r="127" ht="26" customHeight="1">
      <x:c r="K127" s="1" t="n">
        <x:v>31</x:v>
      </x:c>
      <x:c r="L127" s="1" t="str">
        <x:v>Большое Избранное: 60%</x:v>
      </x:c>
      <x:c r="M127" s="1" t="str">
        <x:v>S3</x:v>
      </x:c>
      <x:c r="N127" s="54">
        <x:v>1.5</x:v>
      </x:c>
      <x:c r="O127" s="54">
        <x:v>0.20000000000000001</x:v>
      </x:c>
      <x:c r="P127" s="54">
        <x:v>1</x:v>
      </x:c>
      <x:c r="Q127" s="54">
        <x:v>0.29999999999999999</x:v>
      </x:c>
      <x:c r="R127">
        <x:v>0.65000000000000002</x:v>
      </x:c>
      <x:c r="S127">
        <x:v>0.13</x:v>
      </x:c>
    </x:row>
    <x:row r="128" ht="26" customHeight="1">
      <x:c r="K128" s="1" t="n">
        <x:v>31</x:v>
      </x:c>
      <x:c r="L128" s="1" t="str">
        <x:v>Большое Избранное: 60%</x:v>
      </x:c>
      <x:c r="M128" s="1" t="str">
        <x:v>S4</x:v>
      </x:c>
      <x:c r="N128" s="54">
        <x:v>1.5</x:v>
      </x:c>
      <x:c r="O128" s="54">
        <x:v>0.20000000000000001</x:v>
      </x:c>
      <x:c r="P128" s="54">
        <x:v>1</x:v>
      </x:c>
      <x:c r="Q128" s="54">
        <x:v>0.29999999999999999</x:v>
      </x:c>
      <x:c r="R128">
        <x:v>0.65000000000000002</x:v>
      </x:c>
      <x:c r="S128">
        <x:v>0.13</x:v>
      </x:c>
    </x:row>
    <x:row r="129" ht="26" customHeight="1">
      <x:c r="K129" s="1" t="n">
        <x:v>32</x:v>
      </x:c>
      <x:c r="L129" s="1" t="str">
        <x:v>40+ среди посетителей: ×0.5</x:v>
      </x:c>
      <x:c r="M129" s="1" t="str">
        <x:v>S1</x:v>
      </x:c>
      <x:c r="N129" s="54">
        <x:v>1.5</x:v>
      </x:c>
      <x:c r="O129" s="54">
        <x:v>0.20000000000000001</x:v>
      </x:c>
      <x:c r="P129" s="54">
        <x:v>1</x:v>
      </x:c>
      <x:c r="Q129" s="54">
        <x:v>0.29999999999999999</x:v>
      </x:c>
      <x:c r="R129">
        <x:v>0.78928571428571437</x:v>
      </x:c>
      <x:c r="S129">
        <x:v>0.13</x:v>
      </x:c>
    </x:row>
    <x:row r="130" ht="26" customHeight="1">
      <x:c r="K130" s="1" t="n">
        <x:v>32</x:v>
      </x:c>
      <x:c r="L130" s="1" t="str">
        <x:v>40+ среди посетителей: ×0.5</x:v>
      </x:c>
      <x:c r="M130" s="1" t="str">
        <x:v>S2</x:v>
      </x:c>
      <x:c r="N130" s="54">
        <x:v>1.5</x:v>
      </x:c>
      <x:c r="O130" s="54">
        <x:v>0.20000000000000001</x:v>
      </x:c>
      <x:c r="P130" s="54">
        <x:v>1</x:v>
      </x:c>
      <x:c r="Q130" s="54">
        <x:v>0.29999999999999999</x:v>
      </x:c>
      <x:c r="R130">
        <x:v>0.32500000000000001</x:v>
      </x:c>
      <x:c r="S130">
        <x:v>0.13</x:v>
      </x:c>
    </x:row>
    <x:row r="131" ht="26" customHeight="1">
      <x:c r="K131" s="1" t="n">
        <x:v>32</x:v>
      </x:c>
      <x:c r="L131" s="1" t="str">
        <x:v>40+ среди посетителей: ×0.5</x:v>
      </x:c>
      <x:c r="M131" s="1" t="str">
        <x:v>S3</x:v>
      </x:c>
      <x:c r="N131" s="54">
        <x:v>1.5</x:v>
      </x:c>
      <x:c r="O131" s="54">
        <x:v>0.20000000000000001</x:v>
      </x:c>
      <x:c r="P131" s="54">
        <x:v>1</x:v>
      </x:c>
      <x:c r="Q131" s="54">
        <x:v>0.29999999999999999</x:v>
      </x:c>
      <x:c r="R131">
        <x:v>0.32500000000000001</x:v>
      </x:c>
      <x:c r="S131">
        <x:v>0.13</x:v>
      </x:c>
    </x:row>
    <x:row r="132" ht="26" customHeight="1">
      <x:c r="K132" s="1" t="n">
        <x:v>32</x:v>
      </x:c>
      <x:c r="L132" s="1" t="str">
        <x:v>40+ среди посетителей: ×0.5</x:v>
      </x:c>
      <x:c r="M132" s="1" t="str">
        <x:v>S4</x:v>
      </x:c>
      <x:c r="N132" s="54">
        <x:v>1.5</x:v>
      </x:c>
      <x:c r="O132" s="54">
        <x:v>0.20000000000000001</x:v>
      </x:c>
      <x:c r="P132" s="54">
        <x:v>1</x:v>
      </x:c>
      <x:c r="Q132" s="54">
        <x:v>0.29999999999999999</x:v>
      </x:c>
      <x:c r="R132">
        <x:v>0.78928571428571437</x:v>
      </x:c>
      <x:c r="S132">
        <x:v>0.13</x:v>
      </x:c>
    </x:row>
    <x:row r="133" ht="26" customHeight="1">
      <x:c r="K133" s="1" t="n">
        <x:v>33</x:v>
      </x:c>
      <x:c r="L133" s="1" t="str">
        <x:v>40+ среди посетителей: ×1.4</x:v>
      </x:c>
      <x:c r="M133" s="1" t="str">
        <x:v>S1</x:v>
      </x:c>
      <x:c r="N133" s="54">
        <x:v>1.5</x:v>
      </x:c>
      <x:c r="O133" s="54">
        <x:v>0.20000000000000001</x:v>
      </x:c>
      <x:c r="P133" s="54">
        <x:v>1</x:v>
      </x:c>
      <x:c r="Q133" s="54">
        <x:v>0.29999999999999999</x:v>
      </x:c>
      <x:c r="R133">
        <x:v>0.5385714285714287</x:v>
      </x:c>
      <x:c r="S133">
        <x:v>0.13</x:v>
      </x:c>
    </x:row>
    <x:row r="134" ht="26" customHeight="1">
      <x:c r="K134" s="1" t="n">
        <x:v>33</x:v>
      </x:c>
      <x:c r="L134" s="1" t="str">
        <x:v>40+ среди посетителей: ×1.4</x:v>
      </x:c>
      <x:c r="M134" s="1" t="str">
        <x:v>S2</x:v>
      </x:c>
      <x:c r="N134" s="54">
        <x:v>1.5</x:v>
      </x:c>
      <x:c r="O134" s="54">
        <x:v>0.20000000000000001</x:v>
      </x:c>
      <x:c r="P134" s="54">
        <x:v>1</x:v>
      </x:c>
      <x:c r="Q134" s="54">
        <x:v>0.29999999999999999</x:v>
      </x:c>
      <x:c r="R134">
        <x:v>0.90999999999999992</x:v>
      </x:c>
      <x:c r="S134">
        <x:v>0.13</x:v>
      </x:c>
    </x:row>
    <x:row r="135" ht="26" customHeight="1">
      <x:c r="K135" s="1" t="n">
        <x:v>33</x:v>
      </x:c>
      <x:c r="L135" s="1" t="str">
        <x:v>40+ среди посетителей: ×1.4</x:v>
      </x:c>
      <x:c r="M135" s="1" t="str">
        <x:v>S3</x:v>
      </x:c>
      <x:c r="N135" s="54">
        <x:v>1.5</x:v>
      </x:c>
      <x:c r="O135" s="54">
        <x:v>0.20000000000000001</x:v>
      </x:c>
      <x:c r="P135" s="54">
        <x:v>1</x:v>
      </x:c>
      <x:c r="Q135" s="54">
        <x:v>0.29999999999999999</x:v>
      </x:c>
      <x:c r="R135">
        <x:v>0.90999999999999992</x:v>
      </x:c>
      <x:c r="S135">
        <x:v>0.13</x:v>
      </x:c>
    </x:row>
    <x:row r="136" ht="26" customHeight="1">
      <x:c r="K136" s="1" t="n">
        <x:v>33</x:v>
      </x:c>
      <x:c r="L136" s="1" t="str">
        <x:v>40+ среди посетителей: ×1.4</x:v>
      </x:c>
      <x:c r="M136" s="1" t="str">
        <x:v>S4</x:v>
      </x:c>
      <x:c r="N136" s="54">
        <x:v>1.5</x:v>
      </x:c>
      <x:c r="O136" s="54">
        <x:v>0.20000000000000001</x:v>
      </x:c>
      <x:c r="P136" s="54">
        <x:v>1</x:v>
      </x:c>
      <x:c r="Q136" s="54">
        <x:v>0.29999999999999999</x:v>
      </x:c>
      <x:c r="R136">
        <x:v>0.5385714285714287</x:v>
      </x:c>
      <x:c r="S136">
        <x:v>0.13</x:v>
      </x:c>
    </x:row>
    <x:row r="137" ht="26" customHeight="1">
      <x:c r="K137" s="1" t="n">
        <x:v>34</x:v>
      </x:c>
      <x:c r="L137" s="1" t="str">
        <x:v>Охват H4: ×0.75</x:v>
      </x:c>
      <x:c r="M137" s="1" t="str">
        <x:v>S1</x:v>
      </x:c>
      <x:c r="N137" s="54">
        <x:v>1.5</x:v>
      </x:c>
      <x:c r="O137" s="54">
        <x:v>0.20000000000000001</x:v>
      </x:c>
      <x:c r="P137" s="54">
        <x:v>1</x:v>
      </x:c>
      <x:c r="Q137" s="54">
        <x:v>0.29999999999999999</x:v>
      </x:c>
      <x:c r="R137">
        <x:v>0.65000000000000002</x:v>
      </x:c>
      <x:c r="S137">
        <x:v>0.13</x:v>
      </x:c>
    </x:row>
    <x:row r="138" ht="26" customHeight="1">
      <x:c r="K138" s="1" t="n">
        <x:v>34</x:v>
      </x:c>
      <x:c r="L138" s="1" t="str">
        <x:v>Охват H4: ×0.75</x:v>
      </x:c>
      <x:c r="M138" s="1" t="str">
        <x:v>S2</x:v>
      </x:c>
      <x:c r="N138" s="54">
        <x:v>1.5</x:v>
      </x:c>
      <x:c r="O138" s="54">
        <x:v>0.20000000000000001</x:v>
      </x:c>
      <x:c r="P138" s="54">
        <x:v>1</x:v>
      </x:c>
      <x:c r="Q138" s="54">
        <x:v>0.29999999999999999</x:v>
      </x:c>
      <x:c r="R138">
        <x:v>0.65000000000000002</x:v>
      </x:c>
      <x:c r="S138">
        <x:v>0.13</x:v>
      </x:c>
    </x:row>
    <x:row r="139" ht="26" customHeight="1">
      <x:c r="K139" s="1" t="n">
        <x:v>34</x:v>
      </x:c>
      <x:c r="L139" s="1" t="str">
        <x:v>Охват H4: ×0.75</x:v>
      </x:c>
      <x:c r="M139" s="1" t="str">
        <x:v>S3</x:v>
      </x:c>
      <x:c r="N139" s="54">
        <x:v>1.5</x:v>
      </x:c>
      <x:c r="O139" s="54">
        <x:v>0.20000000000000001</x:v>
      </x:c>
      <x:c r="P139" s="54">
        <x:v>1</x:v>
      </x:c>
      <x:c r="Q139" s="54">
        <x:v>0.29999999999999999</x:v>
      </x:c>
      <x:c r="R139">
        <x:v>0.65000000000000002</x:v>
      </x:c>
      <x:c r="S139">
        <x:v>0.13</x:v>
      </x:c>
    </x:row>
    <x:row r="140" ht="26" customHeight="1">
      <x:c r="K140" s="1" t="n">
        <x:v>34</x:v>
      </x:c>
      <x:c r="L140" s="1" t="str">
        <x:v>Охват H4: ×0.75</x:v>
      </x:c>
      <x:c r="M140" s="1" t="str">
        <x:v>S4</x:v>
      </x:c>
      <x:c r="N140" s="54">
        <x:v>1.5</x:v>
      </x:c>
      <x:c r="O140" s="54">
        <x:v>0.20000000000000001</x:v>
      </x:c>
      <x:c r="P140" s="54">
        <x:v>1</x:v>
      </x:c>
      <x:c r="Q140" s="54">
        <x:v>0.29999999999999999</x:v>
      </x:c>
      <x:c r="R140">
        <x:v>0.65000000000000002</x:v>
      </x:c>
      <x:c r="S140">
        <x:v>0.13</x:v>
      </x:c>
    </x:row>
    <x:row r="141" ht="26" customHeight="1">
      <x:c r="K141" s="1" t="n">
        <x:v>35</x:v>
      </x:c>
      <x:c r="L141" s="1" t="str">
        <x:v>Охват H4: ×1.25</x:v>
      </x:c>
      <x:c r="M141" s="1" t="str">
        <x:v>S1</x:v>
      </x:c>
      <x:c r="N141" s="54">
        <x:v>1.5</x:v>
      </x:c>
      <x:c r="O141" s="54">
        <x:v>0.20000000000000001</x:v>
      </x:c>
      <x:c r="P141" s="54">
        <x:v>1</x:v>
      </x:c>
      <x:c r="Q141" s="54">
        <x:v>0.29999999999999999</x:v>
      </x:c>
      <x:c r="R141">
        <x:v>0.65000000000000002</x:v>
      </x:c>
      <x:c r="S141">
        <x:v>0.13</x:v>
      </x:c>
    </x:row>
    <x:row r="142" ht="26" customHeight="1">
      <x:c r="K142" s="1" t="n">
        <x:v>35</x:v>
      </x:c>
      <x:c r="L142" s="1" t="str">
        <x:v>Охват H4: ×1.25</x:v>
      </x:c>
      <x:c r="M142" s="1" t="str">
        <x:v>S2</x:v>
      </x:c>
      <x:c r="N142" s="54">
        <x:v>1.5</x:v>
      </x:c>
      <x:c r="O142" s="54">
        <x:v>0.20000000000000001</x:v>
      </x:c>
      <x:c r="P142" s="54">
        <x:v>1</x:v>
      </x:c>
      <x:c r="Q142" s="54">
        <x:v>0.29999999999999999</x:v>
      </x:c>
      <x:c r="R142">
        <x:v>0.65000000000000002</x:v>
      </x:c>
      <x:c r="S142">
        <x:v>0.13</x:v>
      </x:c>
    </x:row>
    <x:row r="143" ht="26" customHeight="1">
      <x:c r="K143" s="1" t="n">
        <x:v>35</x:v>
      </x:c>
      <x:c r="L143" s="1" t="str">
        <x:v>Охват H4: ×1.25</x:v>
      </x:c>
      <x:c r="M143" s="1" t="str">
        <x:v>S3</x:v>
      </x:c>
      <x:c r="N143" s="54">
        <x:v>1.5</x:v>
      </x:c>
      <x:c r="O143" s="54">
        <x:v>0.20000000000000001</x:v>
      </x:c>
      <x:c r="P143" s="54">
        <x:v>1</x:v>
      </x:c>
      <x:c r="Q143" s="54">
        <x:v>0.29999999999999999</x:v>
      </x:c>
      <x:c r="R143">
        <x:v>0.65000000000000002</x:v>
      </x:c>
      <x:c r="S143">
        <x:v>0.13</x:v>
      </x:c>
    </x:row>
    <x:row r="144" ht="26" customHeight="1">
      <x:c r="K144" s="1" t="n">
        <x:v>35</x:v>
      </x:c>
      <x:c r="L144" s="1" t="str">
        <x:v>Охват H4: ×1.25</x:v>
      </x:c>
      <x:c r="M144" s="1" t="str">
        <x:v>S4</x:v>
      </x:c>
      <x:c r="N144" s="54">
        <x:v>1.5</x:v>
      </x:c>
      <x:c r="O144" s="54">
        <x:v>0.20000000000000001</x:v>
      </x:c>
      <x:c r="P144" s="54">
        <x:v>1</x:v>
      </x:c>
      <x:c r="Q144" s="54">
        <x:v>0.29999999999999999</x:v>
      </x:c>
      <x:c r="R144">
        <x:v>0.65000000000000002</x:v>
      </x:c>
      <x:c r="S144">
        <x:v>0.13</x:v>
      </x:c>
    </x:row>
  </x:sheetData>
  <x:mergeCells>
    <x:mergeCell ref="A2:F2"/>
  </x:mergeCells>
  <x:pageMargins left="0.7" right="0.7" top="0.75" bottom="0.75" header="0.3" footer="0.3"/>
</x:worksheet>
</file>

<file path=xl/worksheets/sheet13.xml><?xml version="1.0" encoding="utf-8"?>
<x:worksheet xmlns:x="http://schemas.openxmlformats.org/spreadsheetml/2006/main">
  <x:sheetPr>
    <x:tabColor rgb="FF477A68"/>
  </x:sheetPr>
  <x:sheetViews>
    <x:sheetView showGridLines="0" workbookViewId="0">
      <x:pane xSplit="2" ySplit="5" topLeftCell="C6" activePane="bottomRight" state="frozen"/>
    </x:sheetView>
  </x:sheetViews>
  <x:sheetFormatPr defaultRowHeight="15"/>
  <x:cols>
    <x:col min="1" max="1" width="42" hidden="0" customWidth="1"/>
    <x:col min="2" max="2" width="32"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 min="11" max="11" width="16" hidden="0" customWidth="1"/>
    <x:col min="12" max="12" width="16" hidden="0" customWidth="1"/>
    <x:col min="13" max="13" width="16" hidden="0" customWidth="1"/>
    <x:col min="14" max="14" width="16" hidden="0" customWidth="1"/>
    <x:col min="15" max="15" width="16" hidden="0" customWidth="1"/>
    <x:col min="16" max="16" width="16" hidden="0" customWidth="1"/>
    <x:col min="17" max="17" width="16" hidden="0" customWidth="1"/>
    <x:col min="18" max="18" width="16" hidden="0" customWidth="1"/>
    <x:col min="19" max="19" width="16" hidden="0" customWidth="1"/>
  </x:cols>
  <x:sheetData>
    <x:row r="1" ht="26" customHeight="1">
      <x:c r="A1" s="1"/>
      <x:c r="B1" s="1"/>
      <x:c r="C1" s="1"/>
      <x:c r="D1" s="1"/>
      <x:c r="E1" s="1"/>
      <x:c r="F1" s="1"/>
      <x:c r="G1" s="1"/>
      <x:c r="H1" s="1"/>
      <x:c r="I1" s="1"/>
      <x:c r="J1" s="1"/>
      <x:c r="K1" s="1"/>
      <x:c r="L1" s="1"/>
      <x:c r="M1" s="1"/>
      <x:c r="N1" s="1"/>
      <x:c r="O1" s="1"/>
      <x:c r="P1" s="1"/>
      <x:c r="Q1" s="1"/>
      <x:c r="R1" s="1"/>
      <x:c r="S1" s="1"/>
    </x:row>
    <x:row r="2" ht="36" customHeight="1">
      <x:c r="A2" s="28" t="str">
        <x:v>Сравнение H1–H6 · сохранённые результаты всех сценариев</x:v>
      </x:c>
      <x:c r="B2" s="1"/>
      <x:c r="C2" s="1"/>
      <x:c r="D2" s="1"/>
      <x:c r="E2" s="1"/>
      <x:c r="F2" s="1"/>
      <x:c r="G2" s="1"/>
      <x:c r="H2" s="1"/>
      <x:c r="I2" s="1"/>
      <x:c r="J2" s="1"/>
      <x:c r="K2" s="1"/>
      <x:c r="L2" s="1"/>
      <x:c r="M2" s="1"/>
      <x:c r="N2" s="1"/>
      <x:c r="O2" s="1"/>
      <x:c r="P2" s="1"/>
      <x:c r="Q2" s="1"/>
      <x:c r="R2" s="1"/>
      <x:c r="S2" s="1"/>
    </x:row>
    <x:row r="3" ht="26" customHeight="1">
      <x:c r="A3" s="1" t="str">
        <x:v>Актуальность срезов</x:v>
      </x:c>
      <x:c r="B3" s="1" t="str">
        <x:f>'Версия срезов'!G2</x:f>
        <x:v>Актуально</x:v>
      </x:c>
      <x:c r="C3" s="1"/>
      <x:c r="D3" s="1"/>
      <x:c r="E3" s="1"/>
      <x:c r="F3" s="1"/>
      <x:c r="G3" s="1"/>
      <x:c r="H3" s="1"/>
      <x:c r="I3" s="1"/>
      <x:c r="J3" s="1"/>
      <x:c r="K3" s="1"/>
      <x:c r="L3" s="1"/>
      <x:c r="M3" s="1"/>
      <x:c r="N3" s="1"/>
      <x:c r="O3" s="1"/>
      <x:c r="P3" s="1"/>
      <x:c r="Q3" s="1"/>
      <x:c r="R3" s="1"/>
      <x:c r="S3" s="1"/>
    </x:row>
    <x:row r="4" ht="36" customHeight="1">
      <x:c r="A4" s="26" t="str">
        <x:v>Эффекты ниже: процентные пункты. Это сохранённое сравнение; при изменении входов обновите scripts/run.py.</x:v>
      </x:c>
      <x:c r="B4" s="1"/>
      <x:c r="C4" s="1"/>
      <x:c r="D4" s="1"/>
      <x:c r="E4" s="1"/>
      <x:c r="F4" s="1"/>
      <x:c r="G4" s="1"/>
      <x:c r="H4" s="1"/>
      <x:c r="I4" s="1"/>
      <x:c r="J4" s="1"/>
      <x:c r="K4" s="1"/>
      <x:c r="L4" s="1"/>
      <x:c r="M4" s="1"/>
      <x:c r="N4" s="1"/>
      <x:c r="O4" s="1"/>
      <x:c r="P4" s="1"/>
      <x:c r="Q4" s="1"/>
      <x:c r="R4" s="1"/>
      <x:c r="S4" s="1"/>
    </x:row>
    <x:row r="5" ht="26" customHeight="1">
      <x:c r="A5" s="1"/>
      <x:c r="B5" s="1"/>
      <x:c r="C5" s="1"/>
      <x:c r="D5" s="1"/>
      <x:c r="E5" s="1"/>
      <x:c r="F5" s="1"/>
      <x:c r="G5" s="1"/>
      <x:c r="H5" s="1"/>
      <x:c r="I5" s="1"/>
      <x:c r="J5" s="1"/>
      <x:c r="K5" s="1"/>
      <x:c r="L5" s="1"/>
      <x:c r="M5" s="1"/>
      <x:c r="N5" s="1"/>
      <x:c r="O5" s="1"/>
      <x:c r="P5" s="1"/>
      <x:c r="Q5" s="1"/>
      <x:c r="R5" s="1"/>
      <x:c r="S5" s="1"/>
    </x:row>
    <x:row r="6" ht="62" customHeight="1">
      <x:c r="A6" s="52" t="str">
        <x:v>H</x:v>
      </x:c>
      <x:c r="B6" s="52" t="str">
        <x:v>Решение</x:v>
      </x:c>
      <x:c r="C6" s="52" t="str">
        <x:v>Исходный контроль</x:v>
      </x:c>
      <x:c r="D6" s="52" t="str">
        <x:v>Корзины 40+: 11%</x:v>
      </x:c>
      <x:c r="E6" s="52" t="str">
        <x:v>Корзины 40+: 30%</x:v>
      </x:c>
      <x:c r="F6" s="52" t="str">
        <x:v>Корзины 40+: 49%</x:v>
      </x:c>
      <x:c r="G6" s="52" t="str">
        <x:v>Осторожный</x:v>
      </x:c>
      <x:c r="H6" s="52" t="str">
        <x:v>Благоприятный</x:v>
      </x:c>
      <x:c r="I6" s="52" t="str">
        <x:v>Нулевая польза</x:v>
      </x:c>
      <x:c r="J6" s="52" t="str">
        <x:v>Совместный негативный</x:v>
      </x:c>
      <x:c r="K6" s="1"/>
      <x:c r="L6" s="1"/>
      <x:c r="M6" s="1"/>
      <x:c r="N6" s="1"/>
      <x:c r="O6" s="1"/>
      <x:c r="P6" s="1"/>
      <x:c r="Q6" s="1"/>
      <x:c r="R6" s="1"/>
      <x:c r="S6" s="1"/>
    </x:row>
    <x:row r="7" ht="26" customHeight="1">
      <x:c r="A7" s="1" t="str">
        <x:v>H1</x:v>
      </x:c>
      <x:c r="B7" s="1" t="str">
        <x:v>Поиск и фильтры в Корзине</x:v>
      </x:c>
      <x:c r="C7" s="16">
        <x:v>0.15797396138092518</x:v>
      </x:c>
      <x:c r="D7" s="16">
        <x:v>0.015572587039203129</x:v>
      </x:c>
      <x:c r="E7" s="16">
        <x:v>0.052860517846693447</x:v>
      </x:c>
      <x:c r="F7" s="16">
        <x:v>0.10330889482153156</x:v>
      </x:c>
      <x:c r="G7" s="16">
        <x:v>-0.0041309985624372282</x:v>
      </x:c>
      <x:c r="H7" s="16">
        <x:v>0.15797396138092629</x:v>
      </x:c>
      <x:c r="I7" s="16">
        <x:v>0</x:v>
      </x:c>
      <x:c r="J7" s="16">
        <x:v>-0.030871474063781684</x:v>
      </x:c>
      <x:c r="K7" s="1"/>
      <x:c r="L7" s="1"/>
      <x:c r="M7" s="1"/>
      <x:c r="N7" s="1"/>
      <x:c r="O7" s="1"/>
      <x:c r="P7" s="1"/>
      <x:c r="Q7" s="1"/>
      <x:c r="R7" s="1"/>
      <x:c r="S7" s="1"/>
    </x:row>
    <x:row r="8" ht="26" customHeight="1">
      <x:c r="A8" s="1" t="str">
        <x:v>H2</x:v>
      </x:c>
      <x:c r="B8" s="1" t="str">
        <x:v>Сохранение выбранного SKU</x:v>
      </x:c>
      <x:c r="C8" s="16">
        <x:v>0.22217762580456837</x:v>
      </x:c>
      <x:c r="D8" s="16">
        <x:v>0.16580419836161786</x:v>
      </x:c>
      <x:c r="E8" s="16">
        <x:v>0.1658041983616115</x:v>
      </x:c>
      <x:c r="F8" s="16">
        <x:v>0.16580419836161572</x:v>
      </x:c>
      <x:c r="G8" s="16">
        <x:v>0.021968111082500862</x:v>
      </x:c>
      <x:c r="H8" s="16">
        <x:v>0.44214452896430789</x:v>
      </x:c>
      <x:c r="I8" s="16">
        <x:v>0</x:v>
      </x:c>
      <x:c r="J8" s="16">
        <x:v>0.081263383191923444</x:v>
      </x:c>
      <x:c r="K8" s="1"/>
      <x:c r="L8" s="1"/>
      <x:c r="M8" s="1"/>
      <x:c r="N8" s="1"/>
      <x:c r="O8" s="1"/>
      <x:c r="P8" s="1"/>
      <x:c r="Q8" s="1"/>
      <x:c r="R8" s="1"/>
      <x:c r="S8" s="1"/>
    </x:row>
    <x:row r="9" ht="26" customHeight="1">
      <x:c r="A9" s="1" t="str">
        <x:v>H3</x:v>
      </x:c>
      <x:c r="B9" s="1" t="str">
        <x:v>Купить сейчас / На потом</x:v>
      </x:c>
      <x:c r="C9" s="16">
        <x:v>0.22025215769455828</x:v>
      </x:c>
      <x:c r="D9" s="16">
        <x:v>0.087628460174079312</x:v>
      </x:c>
      <x:c r="E9" s="16">
        <x:v>0.11559440827969335</x:v>
      </x:c>
      <x:c r="F9" s="16">
        <x:v>0.15343069101082457</x:v>
      </x:c>
      <x:c r="G9" s="16">
        <x:v>0.0097455873801034279</x:v>
      </x:c>
      <x:c r="H9" s="16">
        <x:v>0.32101119075482715</x:v>
      </x:c>
      <x:c r="I9" s="16">
        <x:v>0</x:v>
      </x:c>
      <x:c r="J9" s="16">
        <x:v>0.031478414273693821</x:v>
      </x:c>
      <x:c r="K9" s="1"/>
      <x:c r="L9" s="1"/>
      <x:c r="M9" s="1"/>
      <x:c r="N9" s="1"/>
      <x:c r="O9" s="1"/>
      <x:c r="P9" s="1"/>
      <x:c r="Q9" s="1"/>
      <x:c r="R9" s="1"/>
      <x:c r="S9" s="1"/>
    </x:row>
    <x:row r="10" ht="26" customHeight="1">
      <x:c r="A10" s="1" t="str">
        <x:v>H4</x:v>
      </x:c>
      <x:c r="B10" s="1" t="str">
        <x:v>Сквозной поиск</x:v>
      </x:c>
      <x:c r="C10" s="16">
        <x:v>0.26032328847279496</x:v>
      </x:c>
      <x:c r="D10" s="16">
        <x:v>0.16566518384289336</x:v>
      </x:c>
      <x:c r="E10" s="16">
        <x:v>0.17609004900526382</x:v>
      </x:c>
      <x:c r="F10" s="16">
        <x:v>0.19019427834260066</x:v>
      </x:c>
      <x:c r="G10" s="16">
        <x:v>0.023590859106729149</x:v>
      </x:c>
      <x:c r="H10" s="16">
        <x:v>0.47432979812755838</x:v>
      </x:c>
      <x:c r="I10" s="16">
        <x:v>0</x:v>
      </x:c>
      <x:c r="J10" s="16">
        <x:v>0.091511444598446942</x:v>
      </x:c>
      <x:c r="K10" s="1"/>
      <x:c r="L10" s="1"/>
      <x:c r="M10" s="1"/>
      <x:c r="N10" s="1"/>
      <x:c r="O10" s="1"/>
      <x:c r="P10" s="1"/>
      <x:c r="Q10" s="1"/>
      <x:c r="R10" s="1"/>
      <x:c r="S10" s="1"/>
    </x:row>
    <x:row r="11" ht="26" customHeight="1">
      <x:c r="A11" s="1" t="str">
        <x:v>H5</x:v>
      </x:c>
      <x:c r="B11" s="1" t="str">
        <x:v>Ускоренная покупка из F</x:v>
      </x:c>
      <x:c r="C11" s="16">
        <x:v>0.042411644236395658</x:v>
      </x:c>
      <x:c r="D11" s="16">
        <x:v>0.032635400819194249</x:v>
      </x:c>
      <x:c r="E11" s="16">
        <x:v>0.032635400819192133</x:v>
      </x:c>
      <x:c r="F11" s="16">
        <x:v>0.032635400819194249</x:v>
      </x:c>
      <x:c r="G11" s="16">
        <x:v>-0.0062069923595102</x:v>
      </x:c>
      <x:c r="H11" s="16">
        <x:v>0.085302516091282643</x:v>
      </x:c>
      <x:c r="I11" s="16">
        <x:v>0</x:v>
      </x:c>
      <x:c r="J11" s="16">
        <x:v>-0.05125323177296668</x:v>
      </x:c>
      <x:c r="K11" s="1"/>
      <x:c r="L11" s="1"/>
      <x:c r="M11" s="1"/>
      <x:c r="N11" s="1"/>
      <x:c r="O11" s="1"/>
      <x:c r="P11" s="1"/>
      <x:c r="Q11" s="1"/>
      <x:c r="R11" s="1"/>
      <x:c r="S11" s="1"/>
    </x:row>
    <x:row r="12" ht="26" customHeight="1">
      <x:c r="A12" s="1" t="str">
        <x:v>H6.1</x:v>
      </x:c>
      <x:c r="B12" s="1" t="str">
        <x:v>Сравнение сохранённых</x:v>
      </x:c>
      <x:c r="C12" s="16">
        <x:v>0.024260898186072154</x:v>
      </x:c>
      <x:c r="D12" s="16">
        <x:v>0.018761761263899758</x:v>
      </x:c>
      <x:c r="E12" s="16">
        <x:v>0.018761761263895525</x:v>
      </x:c>
      <x:c r="F12" s="16">
        <x:v>0.018761761263897642</x:v>
      </x:c>
      <x:c r="G12" s="16">
        <x:v>-0.0092267747464018276</x:v>
      </x:c>
      <x:c r="H12" s="16">
        <x:v>0.048881217086016712</x:v>
      </x:c>
      <x:c r="I12" s="16">
        <x:v>0</x:v>
      </x:c>
      <x:c r="J12" s="16">
        <x:v>-0.064922730631950643</x:v>
      </x:c>
      <x:c r="K12" s="1"/>
      <x:c r="L12" s="1"/>
      <x:c r="M12" s="1"/>
      <x:c r="N12" s="1"/>
      <x:c r="O12" s="1"/>
      <x:c r="P12" s="1"/>
      <x:c r="Q12" s="1"/>
      <x:c r="R12" s="1"/>
      <x:c r="S12" s="1"/>
    </x:row>
    <x:row r="13" ht="26" customHeight="1">
      <x:c r="A13" s="1" t="str">
        <x:v>H6.2</x:v>
      </x:c>
      <x:c r="B13" s="1" t="str">
        <x:v>Отбор по условиям покупки</x:v>
      </x:c>
      <x:c r="C13" s="16">
        <x:v>0.024260898186072154</x:v>
      </x:c>
      <x:c r="D13" s="16">
        <x:v>0.018761761263899758</x:v>
      </x:c>
      <x:c r="E13" s="16">
        <x:v>0.018761761263895525</x:v>
      </x:c>
      <x:c r="F13" s="16">
        <x:v>0.018761761263897642</x:v>
      </x:c>
      <x:c r="G13" s="16">
        <x:v>-0.0092267747464018276</x:v>
      </x:c>
      <x:c r="H13" s="16">
        <x:v>0.048881217086016712</x:v>
      </x:c>
      <x:c r="I13" s="16">
        <x:v>0</x:v>
      </x:c>
      <x:c r="J13" s="16">
        <x:v>-0.064922730631950643</x:v>
      </x:c>
      <x:c r="K13" s="1"/>
      <x:c r="L13" s="1"/>
      <x:c r="M13" s="1"/>
      <x:c r="N13" s="1"/>
      <x:c r="O13" s="1"/>
      <x:c r="P13" s="1"/>
      <x:c r="Q13" s="1"/>
      <x:c r="R13" s="1"/>
      <x:c r="S13" s="1"/>
    </x:row>
    <x:row r="14" ht="26" customHeight="1">
      <x:c r="A14" s="1" t="str">
        <x:v>H6.3</x:v>
      </x:c>
      <x:c r="B14" s="1" t="str">
        <x:v>Шорт-лист фаворитов</x:v>
      </x:c>
      <x:c r="C14" s="16">
        <x:v>0.024260898186072154</x:v>
      </x:c>
      <x:c r="D14" s="16">
        <x:v>0.018761761263899758</x:v>
      </x:c>
      <x:c r="E14" s="16">
        <x:v>0.018761761263895525</x:v>
      </x:c>
      <x:c r="F14" s="16">
        <x:v>0.018761761263897642</x:v>
      </x:c>
      <x:c r="G14" s="16">
        <x:v>-0.0092267747464018276</x:v>
      </x:c>
      <x:c r="H14" s="16">
        <x:v>0.048881217086016712</x:v>
      </x:c>
      <x:c r="I14" s="16">
        <x:v>0</x:v>
      </x:c>
      <x:c r="J14" s="16">
        <x:v>-0.064922730631950643</x:v>
      </x:c>
      <x:c r="K14" s="1"/>
      <x:c r="L14" s="1"/>
      <x:c r="M14" s="1"/>
      <x:c r="N14" s="1"/>
      <x:c r="O14" s="1"/>
      <x:c r="P14" s="1"/>
      <x:c r="Q14" s="1"/>
      <x:c r="R14" s="1"/>
      <x:c r="S14" s="1"/>
    </x:row>
    <x:row r="15" ht="26" customHeight="1">
      <x:c r="A15" s="1"/>
      <x:c r="B15" s="1"/>
      <x:c r="C15" s="1"/>
      <x:c r="D15" s="1"/>
      <x:c r="E15" s="1"/>
      <x:c r="F15" s="1"/>
      <x:c r="G15" s="1"/>
      <x:c r="H15" s="1"/>
      <x:c r="I15" s="1"/>
      <x:c r="J15" s="1"/>
      <x:c r="K15" s="1"/>
      <x:c r="L15" s="1"/>
      <x:c r="M15" s="1"/>
      <x:c r="N15" s="1"/>
      <x:c r="O15" s="1"/>
      <x:c r="P15" s="1"/>
      <x:c r="Q15" s="1"/>
      <x:c r="R15" s="1"/>
      <x:c r="S15" s="1"/>
    </x:row>
    <x:row r="16" ht="26" customHeight="1">
      <x:c r="A16" s="1"/>
      <x:c r="B16" s="1"/>
      <x:c r="C16" s="1"/>
      <x:c r="D16" s="1"/>
      <x:c r="E16" s="1"/>
      <x:c r="F16" s="1"/>
      <x:c r="G16" s="1"/>
      <x:c r="H16" s="1"/>
      <x:c r="I16" s="1"/>
      <x:c r="J16" s="1"/>
      <x:c r="K16" s="1"/>
      <x:c r="L16" s="1"/>
      <x:c r="M16" s="1"/>
      <x:c r="N16" s="1"/>
      <x:c r="O16" s="1"/>
      <x:c r="P16" s="1"/>
      <x:c r="Q16" s="1"/>
      <x:c r="R16" s="1"/>
      <x:c r="S16" s="1"/>
    </x:row>
    <x:row r="17" ht="26" customHeight="1">
      <x:c r="A17" s="1"/>
      <x:c r="B17" s="1"/>
      <x:c r="C17" s="1"/>
      <x:c r="D17" s="1"/>
      <x:c r="E17" s="1"/>
      <x:c r="F17" s="1"/>
      <x:c r="G17" s="1"/>
      <x:c r="H17" s="1"/>
      <x:c r="I17" s="1"/>
      <x:c r="J17" s="1"/>
      <x:c r="K17" s="1"/>
      <x:c r="L17" s="1"/>
      <x:c r="M17" s="1"/>
      <x:c r="N17" s="1"/>
      <x:c r="O17" s="1"/>
      <x:c r="P17" s="1"/>
      <x:c r="Q17" s="1"/>
      <x:c r="R17" s="1"/>
      <x:c r="S17" s="1"/>
    </x:row>
    <x:row r="18" ht="62" customHeight="1">
      <x:c r="A18" s="52" t="str">
        <x:v>Сценарий</x:v>
      </x:c>
      <x:c r="B18" s="52" t="str">
        <x:v>H</x:v>
      </x:c>
      <x:c r="C18" s="52" t="str">
        <x:v>CR0</x:v>
      </x:c>
      <x:c r="D18" s="52" t="str">
        <x:v>Δ CR, п.п.</x:v>
      </x:c>
      <x:c r="E18" s="52" t="str">
        <x:v>Δ CR относит.</x:v>
      </x:c>
      <x:c r="F18" s="52" t="str">
        <x:v>Δ покупателей</x:v>
      </x:c>
      <x:c r="G18" s="52" t="str">
        <x:v>Цель, людей</x:v>
      </x:c>
      <x:c r="H18" s="52" t="str">
        <x:v>CR C0</x:v>
      </x:c>
      <x:c r="I18" s="52" t="str">
        <x:v>CR C1</x:v>
      </x:c>
      <x:c r="J18" s="52" t="str">
        <x:v>CR F0</x:v>
      </x:c>
      <x:c r="K18" s="52" t="str">
        <x:v>CR F1</x:v>
      </x:c>
      <x:c r="L18" s="52" t="str">
        <x:v>ARPU0, у.е.</x:v>
      </x:c>
      <x:c r="M18" s="52" t="str">
        <x:v>ARPU1, у.е.</x:v>
      </x:c>
      <x:c r="N18" s="52" t="str">
        <x:v>ARPU1, индекс</x:v>
      </x:c>
      <x:c r="O18" s="52" t="str">
        <x:v>Guard C</x:v>
      </x:c>
      <x:c r="P18" s="52" t="str">
        <x:v>Guard F</x:v>
      </x:c>
      <x:c r="Q18" s="52" t="str">
        <x:v>Guard ARPU</x:v>
      </x:c>
      <x:c r="R18" s="52" t="str">
        <x:v>Плюс и безопасно</x:v>
      </x:c>
      <x:c r="S18" s="52" t="str">
        <x:v>Условия Ozon</x:v>
      </x:c>
    </x:row>
    <x:row r="19" ht="26" customHeight="1">
      <x:c r="A19" s="1" t="inlineStr">
        <x:is>
          <x:t>Мало китов</x:t>
        </x:is>
      </x:c>
      <x:c r="B19" s="1" t="inlineStr">
        <x:is>
          <x:t>H1</x:t>
        </x:is>
      </x:c>
      <x:c r="C19" s="8">
        <x:v>0.13750000000000001</x:v>
      </x:c>
      <x:c r="D19" s="16">
        <x:v>0.098227399063780474</x:v>
      </x:c>
      <x:c r="E19" s="8">
        <x:v>0.0071438108410022145</x:v>
      </x:c>
      <x:c r="F19" s="12">
        <x:v>98.227399063780467</x:v>
      </x:c>
      <x:c r="G19" s="12">
        <x:v>13000</x:v>
      </x:c>
      <x:c r="H19" s="8">
        <x:v>0.19041349717183537</x:v>
      </x:c>
      <x:c r="I19" s="8">
        <x:v>0.19192468792666276</x:v>
      </x:c>
      <x:c r="J19" s="8">
        <x:v>0.1126389701579871</x:v>
      </x:c>
      <x:c r="K19" s="8">
        <x:v>0.11349034523112932</x:v>
      </x:c>
      <x:c r="L19" s="16">
        <x:v>137.49999999999997</x:v>
      </x:c>
      <x:c r="M19" s="16">
        <x:v>138.48227399063779</x:v>
      </x:c>
      <x:c r="N19" s="16">
        <x:v>100.71438108410021</x:v>
      </x:c>
      <x:c r="O19" s="1" t="inlineStr">
        <x:is>
          <x:t>Да</x:t>
        </x:is>
      </x:c>
      <x:c r="P19" s="1" t="inlineStr">
        <x:is>
          <x:t>Да</x:t>
        </x:is>
      </x:c>
      <x:c r="Q19" s="1" t="inlineStr">
        <x:is>
          <x:t>Да</x:t>
        </x:is>
      </x:c>
      <x:c r="R19" s="1" t="inlineStr">
        <x:is>
          <x:t>Да</x:t>
        </x:is>
      </x:c>
      <x:c r="S19" s="1" t="inlineStr">
        <x:is>
          <x:t>Да</x:t>
        </x:is>
      </x:c>
    </x:row>
    <x:row r="20" ht="26" customHeight="1">
      <x:c r="A20" s="1" t="inlineStr">
        <x:is>
          <x:t>Мало китов</x:t>
        </x:is>
      </x:c>
      <x:c r="B20" s="1" t="inlineStr">
        <x:is>
          <x:t>H2</x:t>
        </x:is>
      </x:c>
      <x:c r="C20" s="8">
        <x:v>0.13750000000000001</x:v>
      </x:c>
      <x:c r="D20" s="16">
        <x:v>0.15198718183147686</x:v>
      </x:c>
      <x:c r="E20" s="8">
        <x:v>0.011053613224107405</x:v>
      </x:c>
      <x:c r="F20" s="12">
        <x:v>151.98718183147685</x:v>
      </x:c>
      <x:c r="G20" s="12">
        <x:v>15210</x:v>
      </x:c>
      <x:c r="H20" s="8">
        <x:v>0.19041349717183537</x:v>
      </x:c>
      <x:c r="I20" s="8">
        <x:v>0.19273667593134386</x:v>
      </x:c>
      <x:c r="J20" s="8">
        <x:v>0.1126389701579871</x:v>
      </x:c>
      <x:c r="K20" s="8">
        <x:v>0.11482637873025162</x:v>
      </x:c>
      <x:c r="L20" s="16">
        <x:v>137.49999999999997</x:v>
      </x:c>
      <x:c r="M20" s="16">
        <x:v>139.01987181831478</x:v>
      </x:c>
      <x:c r="N20" s="16">
        <x:v>101.10536132241077</x:v>
      </x:c>
      <x:c r="O20" s="1" t="inlineStr">
        <x:is>
          <x:t>Да</x:t>
        </x:is>
      </x:c>
      <x:c r="P20" s="1" t="inlineStr">
        <x:is>
          <x:t>Да</x:t>
        </x:is>
      </x:c>
      <x:c r="Q20" s="1" t="inlineStr">
        <x:is>
          <x:t>Да</x:t>
        </x:is>
      </x:c>
      <x:c r="R20" s="1" t="inlineStr">
        <x:is>
          <x:t>Да</x:t>
        </x:is>
      </x:c>
      <x:c r="S20" s="1" t="inlineStr">
        <x:is>
          <x:t>Да</x:t>
        </x:is>
      </x:c>
    </x:row>
    <x:row r="21" ht="26" customHeight="1">
      <x:c r="A21" s="1" t="inlineStr">
        <x:is>
          <x:t>Мало китов</x:t>
        </x:is>
      </x:c>
      <x:c r="B21" s="1" t="inlineStr">
        <x:is>
          <x:t>H3</x:t>
        </x:is>
      </x:c>
      <x:c r="C21" s="8">
        <x:v>0.13750000000000001</x:v>
      </x:c>
      <x:c r="D21" s="16">
        <x:v>0.14329048420128673</x:v>
      </x:c>
      <x:c r="E21" s="8">
        <x:v>0.010421126123729944</x:v>
      </x:c>
      <x:c r="F21" s="12">
        <x:v>143.29048420128674</x:v>
      </x:c>
      <x:c r="G21" s="12">
        <x:v>16250</x:v>
      </x:c>
      <x:c r="H21" s="8">
        <x:v>0.19041349717183537</x:v>
      </x:c>
      <x:c r="I21" s="8">
        <x:v>0.19261796615954746</x:v>
      </x:c>
      <x:c r="J21" s="8">
        <x:v>0.1126389701579871</x:v>
      </x:c>
      <x:c r="K21" s="8">
        <x:v>0.11388092451726153</x:v>
      </x:c>
      <x:c r="L21" s="16">
        <x:v>137.49999999999997</x:v>
      </x:c>
      <x:c r="M21" s="16">
        <x:v>138.93290484201285</x:v>
      </x:c>
      <x:c r="N21" s="16">
        <x:v>101.04211261237299</x:v>
      </x:c>
      <x:c r="O21" s="1" t="inlineStr">
        <x:is>
          <x:t>Да</x:t>
        </x:is>
      </x:c>
      <x:c r="P21" s="1" t="inlineStr">
        <x:is>
          <x:t>Да</x:t>
        </x:is>
      </x:c>
      <x:c r="Q21" s="1" t="inlineStr">
        <x:is>
          <x:t>Да</x:t>
        </x:is>
      </x:c>
      <x:c r="R21" s="1" t="inlineStr">
        <x:is>
          <x:t>Да</x:t>
        </x:is>
      </x:c>
      <x:c r="S21" s="1" t="inlineStr">
        <x:is>
          <x:t>Да</x:t>
        </x:is>
      </x:c>
    </x:row>
    <x:row r="22" ht="26" customHeight="1">
      <x:c r="A22" s="1" t="inlineStr">
        <x:is>
          <x:t>Мало китов</x:t>
        </x:is>
      </x:c>
      <x:c r="B22" s="1" t="inlineStr">
        <x:is>
          <x:t>H4</x:t>
        </x:is>
      </x:c>
      <x:c r="C22" s="8">
        <x:v>0.13750000000000001</x:v>
      </x:c>
      <x:c r="D22" s="16">
        <x:v>0.17533098668811728</x:v>
      </x:c>
      <x:c r="E22" s="8">
        <x:v>0.012751344486408526</x:v>
      </x:c>
      <x:c r="F22" s="12">
        <x:v>175.33098668811726</x:v>
      </x:c>
      <x:c r="G22" s="12">
        <x:v>18460</x:v>
      </x:c>
      <x:c r="H22" s="8">
        <x:v>0.19041349717183537</x:v>
      </x:c>
      <x:c r="I22" s="8">
        <x:v>0.19309670006826604</x:v>
      </x:c>
      <x:c r="J22" s="8">
        <x:v>0.1126389701579871</x:v>
      </x:c>
      <x:c r="K22" s="8">
        <x:v>0.11494591135166764</x:v>
      </x:c>
      <x:c r="L22" s="16">
        <x:v>137.49999999999997</x:v>
      </x:c>
      <x:c r="M22" s="16">
        <x:v>139.25330986688121</x:v>
      </x:c>
      <x:c r="N22" s="16">
        <x:v>101.27513444864088</x:v>
      </x:c>
      <x:c r="O22" s="1" t="inlineStr">
        <x:is>
          <x:t>Да</x:t>
        </x:is>
      </x:c>
      <x:c r="P22" s="1" t="inlineStr">
        <x:is>
          <x:t>Да</x:t>
        </x:is>
      </x:c>
      <x:c r="Q22" s="1" t="inlineStr">
        <x:is>
          <x:t>Да</x:t>
        </x:is>
      </x:c>
      <x:c r="R22" s="1" t="inlineStr">
        <x:is>
          <x:t>Да</x:t>
        </x:is>
      </x:c>
      <x:c r="S22" s="1" t="inlineStr">
        <x:is>
          <x:t>Да</x:t>
        </x:is>
      </x:c>
    </x:row>
    <x:row r="23" ht="26" customHeight="1">
      <x:c r="A23" s="1" t="inlineStr">
        <x:is>
          <x:t>Мало китов</x:t>
        </x:is>
      </x:c>
      <x:c r="B23" s="1" t="inlineStr">
        <x:is>
          <x:t>H5</x:t>
        </x:is>
      </x:c>
      <x:c r="C23" s="8">
        <x:v>0.13750000000000001</x:v>
      </x:c>
      <x:c r="D23" s="16">
        <x:v>0.02527925687536299</x:v>
      </x:c>
      <x:c r="E23" s="8">
        <x:v>0.001838491409117308</x:v>
      </x:c>
      <x:c r="F23" s="12">
        <x:v>25.279256875362989</x:v>
      </x:c>
      <x:c r="G23" s="12">
        <x:v>3575</x:v>
      </x:c>
      <x:c r="H23" s="8">
        <x:v>0.19041349717183537</x:v>
      </x:c>
      <x:c r="I23" s="8">
        <x:v>0.19078388921396525</x:v>
      </x:c>
      <x:c r="J23" s="8">
        <x:v>0.1126389701579871</x:v>
      </x:c>
      <x:c r="K23" s="8">
        <x:v>0.11458352837916909</x:v>
      </x:c>
      <x:c r="L23" s="16">
        <x:v>137.49999999999997</x:v>
      </x:c>
      <x:c r="M23" s="16">
        <x:v>137.75279256875362</x:v>
      </x:c>
      <x:c r="N23" s="16">
        <x:v>100.18384914091175</x:v>
      </x:c>
      <x:c r="O23" s="1" t="inlineStr">
        <x:is>
          <x:t>Да</x:t>
        </x:is>
      </x:c>
      <x:c r="P23" s="1" t="inlineStr">
        <x:is>
          <x:t>Да</x:t>
        </x:is>
      </x:c>
      <x:c r="Q23" s="1" t="inlineStr">
        <x:is>
          <x:t>Да</x:t>
        </x:is>
      </x:c>
      <x:c r="R23" s="1" t="inlineStr">
        <x:is>
          <x:t>Да</x:t>
        </x:is>
      </x:c>
      <x:c r="S23" s="1" t="inlineStr">
        <x:is>
          <x:t>Да</x:t>
        </x:is>
      </x:c>
    </x:row>
    <x:row r="24" ht="26" customHeight="1">
      <x:c r="A24" s="1" t="inlineStr">
        <x:is>
          <x:t>Мало китов</x:t>
        </x:is>
      </x:c>
      <x:c r="B24" s="1" t="inlineStr">
        <x:is>
          <x:t>H6.1</x:t>
        </x:is>
      </x:c>
      <x:c r="C24" s="8">
        <x:v>0.13750000000000001</x:v>
      </x:c>
      <x:c r="D24" s="16">
        <x:v>0.014107263019308449</x:v>
      </x:c>
      <x:c r="E24" s="8">
        <x:v>0.0010259827650406143</x:v>
      </x:c>
      <x:c r="F24" s="12">
        <x:v>14.107263019308448</x:v>
      </x:c>
      <x:c r="G24" s="12">
        <x:v>1950</x:v>
      </x:c>
      <x:c r="H24" s="8">
        <x:v>0.19041349717183537</x:v>
      </x:c>
      <x:c r="I24" s="8">
        <x:v>0.19062019699629409</x:v>
      </x:c>
      <x:c r="J24" s="8">
        <x:v>0.1126389701579871</x:v>
      </x:c>
      <x:c r="K24" s="8">
        <x:v>0.11372414423639554</x:v>
      </x:c>
      <x:c r="L24" s="16">
        <x:v>137.49999999999997</x:v>
      </x:c>
      <x:c r="M24" s="16">
        <x:v>137.64107263019307</x:v>
      </x:c>
      <x:c r="N24" s="16">
        <x:v>100.10259827650407</x:v>
      </x:c>
      <x:c r="O24" s="1" t="inlineStr">
        <x:is>
          <x:t>Да</x:t>
        </x:is>
      </x:c>
      <x:c r="P24" s="1" t="inlineStr">
        <x:is>
          <x:t>Да</x:t>
        </x:is>
      </x:c>
      <x:c r="Q24" s="1" t="inlineStr">
        <x:is>
          <x:t>Да</x:t>
        </x:is>
      </x:c>
      <x:c r="R24" s="1" t="inlineStr">
        <x:is>
          <x:t>Да</x:t>
        </x:is>
      </x:c>
      <x:c r="S24" s="1" t="inlineStr">
        <x:is>
          <x:t>Да</x:t>
        </x:is>
      </x:c>
    </x:row>
    <x:row r="25" ht="26" customHeight="1">
      <x:c r="A25" s="1" t="inlineStr">
        <x:is>
          <x:t>Мало китов</x:t>
        </x:is>
      </x:c>
      <x:c r="B25" s="1" t="inlineStr">
        <x:is>
          <x:t>H6.2</x:t>
        </x:is>
      </x:c>
      <x:c r="C25" s="8">
        <x:v>0.13750000000000001</x:v>
      </x:c>
      <x:c r="D25" s="16">
        <x:v>0.014107263019308449</x:v>
      </x:c>
      <x:c r="E25" s="8">
        <x:v>0.0010259827650406143</x:v>
      </x:c>
      <x:c r="F25" s="12">
        <x:v>14.107263019308448</x:v>
      </x:c>
      <x:c r="G25" s="12">
        <x:v>1950</x:v>
      </x:c>
      <x:c r="H25" s="8">
        <x:v>0.19041349717183537</x:v>
      </x:c>
      <x:c r="I25" s="8">
        <x:v>0.19062019699629409</x:v>
      </x:c>
      <x:c r="J25" s="8">
        <x:v>0.1126389701579871</x:v>
      </x:c>
      <x:c r="K25" s="8">
        <x:v>0.11372414423639554</x:v>
      </x:c>
      <x:c r="L25" s="16">
        <x:v>137.49999999999997</x:v>
      </x:c>
      <x:c r="M25" s="16">
        <x:v>137.64107263019307</x:v>
      </x:c>
      <x:c r="N25" s="16">
        <x:v>100.10259827650407</x:v>
      </x:c>
      <x:c r="O25" s="1" t="inlineStr">
        <x:is>
          <x:t>Да</x:t>
        </x:is>
      </x:c>
      <x:c r="P25" s="1" t="inlineStr">
        <x:is>
          <x:t>Да</x:t>
        </x:is>
      </x:c>
      <x:c r="Q25" s="1" t="inlineStr">
        <x:is>
          <x:t>Да</x:t>
        </x:is>
      </x:c>
      <x:c r="R25" s="1" t="inlineStr">
        <x:is>
          <x:t>Да</x:t>
        </x:is>
      </x:c>
      <x:c r="S25" s="1" t="inlineStr">
        <x:is>
          <x:t>Да</x:t>
        </x:is>
      </x:c>
    </x:row>
    <x:row r="26" ht="26" customHeight="1">
      <x:c r="A26" s="1" t="inlineStr">
        <x:is>
          <x:t>Мало китов</x:t>
        </x:is>
      </x:c>
      <x:c r="B26" s="1" t="inlineStr">
        <x:is>
          <x:t>H6.3</x:t>
        </x:is>
      </x:c>
      <x:c r="C26" s="8">
        <x:v>0.13750000000000001</x:v>
      </x:c>
      <x:c r="D26" s="16">
        <x:v>0.014107263019308449</x:v>
      </x:c>
      <x:c r="E26" s="8">
        <x:v>0.0010259827650406143</x:v>
      </x:c>
      <x:c r="F26" s="12">
        <x:v>14.107263019308448</x:v>
      </x:c>
      <x:c r="G26" s="12">
        <x:v>1950</x:v>
      </x:c>
      <x:c r="H26" s="8">
        <x:v>0.19041349717183537</x:v>
      </x:c>
      <x:c r="I26" s="8">
        <x:v>0.19062019699629409</x:v>
      </x:c>
      <x:c r="J26" s="8">
        <x:v>0.1126389701579871</x:v>
      </x:c>
      <x:c r="K26" s="8">
        <x:v>0.11372414423639554</x:v>
      </x:c>
      <x:c r="L26" s="16">
        <x:v>137.49999999999997</x:v>
      </x:c>
      <x:c r="M26" s="16">
        <x:v>137.64107263019307</x:v>
      </x:c>
      <x:c r="N26" s="16">
        <x:v>100.10259827650407</x:v>
      </x:c>
      <x:c r="O26" s="1" t="inlineStr">
        <x:is>
          <x:t>Да</x:t>
        </x:is>
      </x:c>
      <x:c r="P26" s="1" t="inlineStr">
        <x:is>
          <x:t>Да</x:t>
        </x:is>
      </x:c>
      <x:c r="Q26" s="1" t="inlineStr">
        <x:is>
          <x:t>Да</x:t>
        </x:is>
      </x:c>
      <x:c r="R26" s="1" t="inlineStr">
        <x:is>
          <x:t>Да</x:t>
        </x:is>
      </x:c>
      <x:c r="S26" s="1" t="inlineStr">
        <x:is>
          <x:t>Да</x:t>
        </x:is>
      </x:c>
    </x:row>
    <x:row r="27" ht="26" customHeight="1">
      <x:c r="A27" s="1" t="inlineStr">
        <x:is>
          <x:t>Исходный контроль</x:t>
        </x:is>
      </x:c>
      <x:c r="B27" s="1" t="inlineStr">
        <x:is>
          <x:t>H1</x:t>
        </x:is>
      </x:c>
      <x:c r="C27" s="8">
        <x:v>0.20099999999999996</x:v>
      </x:c>
      <x:c r="D27" s="16">
        <x:v>0.15797396138092518</x:v>
      </x:c>
      <x:c r="E27" s="8">
        <x:v>0.0078594010637276224</x:v>
      </x:c>
      <x:c r="F27" s="12">
        <x:v>157.97396138092518</x:v>
      </x:c>
      <x:c r="G27" s="12">
        <x:v>13000</x:v>
      </x:c>
      <x:c r="H27" s="8">
        <x:v>0.27834991222937389</x:v>
      </x:c>
      <x:c r="I27" s="8">
        <x:v>0.28078028086600343</x:v>
      </x:c>
      <x:c r="J27" s="8">
        <x:v>0.16465769455822118</x:v>
      </x:c>
      <x:c r="K27" s="8">
        <x:v>0.16602691632533645</x:v>
      </x:c>
      <x:c r="L27" s="16">
        <x:v>200.99999999999991</x:v>
      </x:c>
      <x:c r="M27" s="16">
        <x:v>202.57973961380921</x:v>
      </x:c>
      <x:c r="N27" s="16">
        <x:v>100.78594010637278</x:v>
      </x:c>
      <x:c r="O27" s="1" t="inlineStr">
        <x:is>
          <x:t>Да</x:t>
        </x:is>
      </x:c>
      <x:c r="P27" s="1" t="inlineStr">
        <x:is>
          <x:t>Да</x:t>
        </x:is>
      </x:c>
      <x:c r="Q27" s="1" t="inlineStr">
        <x:is>
          <x:t>Да</x:t>
        </x:is>
      </x:c>
      <x:c r="R27" s="1" t="inlineStr">
        <x:is>
          <x:t>Да</x:t>
        </x:is>
      </x:c>
      <x:c r="S27" s="1" t="inlineStr">
        <x:is>
          <x:t>Да</x:t>
        </x:is>
      </x:c>
    </x:row>
    <x:row r="28" ht="26" customHeight="1">
      <x:c r="A28" s="1" t="inlineStr">
        <x:is>
          <x:t>Исходный контроль</x:t>
        </x:is>
      </x:c>
      <x:c r="B28" s="1" t="inlineStr">
        <x:is>
          <x:t>H2</x:t>
        </x:is>
      </x:c>
      <x:c r="C28" s="8">
        <x:v>0.20099999999999996</x:v>
      </x:c>
      <x:c r="D28" s="16">
        <x:v>0.22217762580456837</x:v>
      </x:c>
      <x:c r="E28" s="8">
        <x:v>0.011053613224107882</x:v>
      </x:c>
      <x:c r="F28" s="12">
        <x:v>222.17762580456838</x:v>
      </x:c>
      <x:c r="G28" s="12">
        <x:v>15210</x:v>
      </x:c>
      <x:c r="H28" s="8">
        <x:v>0.27834991222937389</x:v>
      </x:c>
      <x:c r="I28" s="8">
        <x:v>0.28174597717963717</x:v>
      </x:c>
      <x:c r="J28" s="8">
        <x:v>0.16465769455822118</x:v>
      </x:c>
      <x:c r="K28" s="8">
        <x:v>0.16785528818022236</x:v>
      </x:c>
      <x:c r="L28" s="16">
        <x:v>200.99999999999991</x:v>
      </x:c>
      <x:c r="M28" s="16">
        <x:v>203.22177625804562</x:v>
      </x:c>
      <x:c r="N28" s="16">
        <x:v>101.1053613224108</x:v>
      </x:c>
      <x:c r="O28" s="1" t="inlineStr">
        <x:is>
          <x:t>Да</x:t>
        </x:is>
      </x:c>
      <x:c r="P28" s="1" t="inlineStr">
        <x:is>
          <x:t>Да</x:t>
        </x:is>
      </x:c>
      <x:c r="Q28" s="1" t="inlineStr">
        <x:is>
          <x:t>Да</x:t>
        </x:is>
      </x:c>
      <x:c r="R28" s="1" t="inlineStr">
        <x:is>
          <x:t>Да</x:t>
        </x:is>
      </x:c>
      <x:c r="S28" s="1" t="inlineStr">
        <x:is>
          <x:t>Да</x:t>
        </x:is>
      </x:c>
    </x:row>
    <x:row r="29" ht="26" customHeight="1">
      <x:c r="A29" s="1" t="inlineStr">
        <x:is>
          <x:t>Исходный контроль</x:t>
        </x:is>
      </x:c>
      <x:c r="B29" s="1" t="inlineStr">
        <x:is>
          <x:t>H3</x:t>
        </x:is>
      </x:c>
      <x:c r="C29" s="8">
        <x:v>0.20099999999999996</x:v>
      </x:c>
      <x:c r="D29" s="16">
        <x:v>0.22025215769455828</x:v>
      </x:c>
      <x:c r="E29" s="8">
        <x:v>0.010957818790774045</x:v>
      </x:c>
      <x:c r="F29" s="12">
        <x:v>220.25215769455826</x:v>
      </x:c>
      <x:c r="G29" s="12">
        <x:v>16250</x:v>
      </x:c>
      <x:c r="H29" s="8">
        <x:v>0.27834991222937389</x:v>
      </x:c>
      <x:c r="I29" s="8">
        <x:v>0.28173840696313629</x:v>
      </x:c>
      <x:c r="J29" s="8">
        <x:v>0.16465769455822118</x:v>
      </x:c>
      <x:c r="K29" s="8">
        <x:v>0.16656670567583384</x:v>
      </x:c>
      <x:c r="L29" s="16">
        <x:v>200.99999999999991</x:v>
      </x:c>
      <x:c r="M29" s="16">
        <x:v>203.20252157694557</x:v>
      </x:c>
      <x:c r="N29" s="16">
        <x:v>101.09578187907744</x:v>
      </x:c>
      <x:c r="O29" s="1" t="inlineStr">
        <x:is>
          <x:t>Да</x:t>
        </x:is>
      </x:c>
      <x:c r="P29" s="1" t="inlineStr">
        <x:is>
          <x:t>Да</x:t>
        </x:is>
      </x:c>
      <x:c r="Q29" s="1" t="inlineStr">
        <x:is>
          <x:t>Да</x:t>
        </x:is>
      </x:c>
      <x:c r="R29" s="1" t="inlineStr">
        <x:is>
          <x:t>Да</x:t>
        </x:is>
      </x:c>
      <x:c r="S29" s="1" t="inlineStr">
        <x:is>
          <x:t>Да</x:t>
        </x:is>
      </x:c>
    </x:row>
    <x:row r="30" ht="26" customHeight="1">
      <x:c r="A30" s="1" t="inlineStr">
        <x:is>
          <x:t>Исходный контроль</x:t>
        </x:is>
      </x:c>
      <x:c r="B30" s="1" t="inlineStr">
        <x:is>
          <x:t>H4</x:t>
        </x:is>
      </x:c>
      <x:c r="C30" s="8">
        <x:v>0.20099999999999996</x:v>
      </x:c>
      <x:c r="D30" s="16">
        <x:v>0.26032328847279496</x:v>
      </x:c>
      <x:c r="E30" s="8">
        <x:v>0.012951407386706219</x:v>
      </x:c>
      <x:c r="F30" s="12">
        <x:v>260.32328847279496</x:v>
      </x:c>
      <x:c r="G30" s="12">
        <x:v>18460</x:v>
      </x:c>
      <x:c r="H30" s="8">
        <x:v>0.27834991222937389</x:v>
      </x:c>
      <x:c r="I30" s="8">
        <x:v>0.28233382094792275</x:v>
      </x:c>
      <x:c r="J30" s="8">
        <x:v>0.16465769455822118</x:v>
      </x:c>
      <x:c r="K30" s="8">
        <x:v>0.16809391456992392</x:v>
      </x:c>
      <x:c r="L30" s="16">
        <x:v>200.99999999999991</x:v>
      </x:c>
      <x:c r="M30" s="16">
        <x:v>203.60323288472793</x:v>
      </x:c>
      <x:c r="N30" s="16">
        <x:v>101.29514073867065</x:v>
      </x:c>
      <x:c r="O30" s="1" t="inlineStr">
        <x:is>
          <x:t>Да</x:t>
        </x:is>
      </x:c>
      <x:c r="P30" s="1" t="inlineStr">
        <x:is>
          <x:t>Да</x:t>
        </x:is>
      </x:c>
      <x:c r="Q30" s="1" t="inlineStr">
        <x:is>
          <x:t>Да</x:t>
        </x:is>
      </x:c>
      <x:c r="R30" s="1" t="inlineStr">
        <x:is>
          <x:t>Да</x:t>
        </x:is>
      </x:c>
      <x:c r="S30" s="1" t="inlineStr">
        <x:is>
          <x:t>Да</x:t>
        </x:is>
      </x:c>
    </x:row>
    <x:row r="31" ht="26" customHeight="1">
      <x:c r="A31" s="1" t="inlineStr">
        <x:is>
          <x:t>Исходный контроль</x:t>
        </x:is>
      </x:c>
      <x:c r="B31" s="1" t="inlineStr">
        <x:is>
          <x:t>H5</x:t>
        </x:is>
      </x:c>
      <x:c r="C31" s="8">
        <x:v>0.20099999999999996</x:v>
      </x:c>
      <x:c r="D31" s="16">
        <x:v>0.042411644236395658</x:v>
      </x:c>
      <x:c r="E31" s="8">
        <x:v>0.0021100320515619734</x:v>
      </x:c>
      <x:c r="F31" s="12">
        <x:v>42.411644236395659</x:v>
      </x:c>
      <x:c r="G31" s="12">
        <x:v>4160</x:v>
      </x:c>
      <x:c r="H31" s="8">
        <x:v>0.27834991222937389</x:v>
      </x:c>
      <x:c r="I31" s="8">
        <x:v>0.27897132826214155</x:v>
      </x:c>
      <x:c r="J31" s="8">
        <x:v>0.16465769455822118</x:v>
      </x:c>
      <x:c r="K31" s="8">
        <x:v>0.16792012873025158</x:v>
      </x:c>
      <x:c r="L31" s="16">
        <x:v>200.99999999999991</x:v>
      </x:c>
      <x:c r="M31" s="16">
        <x:v>201.42411644236392</x:v>
      </x:c>
      <x:c r="N31" s="16">
        <x:v>100.21100320515622</x:v>
      </x:c>
      <x:c r="O31" s="1" t="inlineStr">
        <x:is>
          <x:t>Да</x:t>
        </x:is>
      </x:c>
      <x:c r="P31" s="1" t="inlineStr">
        <x:is>
          <x:t>Да</x:t>
        </x:is>
      </x:c>
      <x:c r="Q31" s="1" t="inlineStr">
        <x:is>
          <x:t>Да</x:t>
        </x:is>
      </x:c>
      <x:c r="R31" s="1" t="inlineStr">
        <x:is>
          <x:t>Да</x:t>
        </x:is>
      </x:c>
      <x:c r="S31" s="1" t="inlineStr">
        <x:is>
          <x:t>Да</x:t>
        </x:is>
      </x:c>
    </x:row>
    <x:row r="32" ht="26" customHeight="1">
      <x:c r="A32" s="1" t="inlineStr">
        <x:is>
          <x:t>Исходный контроль</x:t>
        </x:is>
      </x:c>
      <x:c r="B32" s="1" t="inlineStr">
        <x:is>
          <x:t>H6.1</x:t>
        </x:is>
      </x:c>
      <x:c r="C32" s="8">
        <x:v>0.20099999999999996</x:v>
      </x:c>
      <x:c r="D32" s="16">
        <x:v>0.024260898186072154</x:v>
      </x:c>
      <x:c r="E32" s="8">
        <x:v>0.00120700986000359</x:v>
      </x:c>
      <x:c r="F32" s="12">
        <x:v>24.260898186072154</x:v>
      </x:c>
      <x:c r="G32" s="12">
        <x:v>2340</x:v>
      </x:c>
      <x:c r="H32" s="8">
        <x:v>0.27834991222937389</x:v>
      </x:c>
      <x:c r="I32" s="8">
        <x:v>0.27870538326506722</x:v>
      </x:c>
      <x:c r="J32" s="8">
        <x:v>0.16465769455822118</x:v>
      </x:c>
      <x:c r="K32" s="8">
        <x:v>0.16652391749561146</x:v>
      </x:c>
      <x:c r="L32" s="16">
        <x:v>200.99999999999991</x:v>
      </x:c>
      <x:c r="M32" s="16">
        <x:v>201.24260898186074</x:v>
      </x:c>
      <x:c r="N32" s="16">
        <x:v>100.1207009860004</x:v>
      </x:c>
      <x:c r="O32" s="1" t="inlineStr">
        <x:is>
          <x:t>Да</x:t>
        </x:is>
      </x:c>
      <x:c r="P32" s="1" t="inlineStr">
        <x:is>
          <x:t>Да</x:t>
        </x:is>
      </x:c>
      <x:c r="Q32" s="1" t="inlineStr">
        <x:is>
          <x:t>Да</x:t>
        </x:is>
      </x:c>
      <x:c r="R32" s="1" t="inlineStr">
        <x:is>
          <x:t>Да</x:t>
        </x:is>
      </x:c>
      <x:c r="S32" s="1" t="inlineStr">
        <x:is>
          <x:t>Да</x:t>
        </x:is>
      </x:c>
    </x:row>
    <x:row r="33" ht="26" customHeight="1">
      <x:c r="A33" s="1" t="inlineStr">
        <x:is>
          <x:t>Исходный контроль</x:t>
        </x:is>
      </x:c>
      <x:c r="B33" s="1" t="inlineStr">
        <x:is>
          <x:t>H6.2</x:t>
        </x:is>
      </x:c>
      <x:c r="C33" s="8">
        <x:v>0.20099999999999996</x:v>
      </x:c>
      <x:c r="D33" s="16">
        <x:v>0.024260898186072154</x:v>
      </x:c>
      <x:c r="E33" s="8">
        <x:v>0.00120700986000359</x:v>
      </x:c>
      <x:c r="F33" s="12">
        <x:v>24.260898186072154</x:v>
      </x:c>
      <x:c r="G33" s="12">
        <x:v>2340</x:v>
      </x:c>
      <x:c r="H33" s="8">
        <x:v>0.27834991222937389</x:v>
      </x:c>
      <x:c r="I33" s="8">
        <x:v>0.27870538326506722</x:v>
      </x:c>
      <x:c r="J33" s="8">
        <x:v>0.16465769455822118</x:v>
      </x:c>
      <x:c r="K33" s="8">
        <x:v>0.16652391749561146</x:v>
      </x:c>
      <x:c r="L33" s="16">
        <x:v>200.99999999999991</x:v>
      </x:c>
      <x:c r="M33" s="16">
        <x:v>201.24260898186074</x:v>
      </x:c>
      <x:c r="N33" s="16">
        <x:v>100.1207009860004</x:v>
      </x:c>
      <x:c r="O33" s="1" t="inlineStr">
        <x:is>
          <x:t>Да</x:t>
        </x:is>
      </x:c>
      <x:c r="P33" s="1" t="inlineStr">
        <x:is>
          <x:t>Да</x:t>
        </x:is>
      </x:c>
      <x:c r="Q33" s="1" t="inlineStr">
        <x:is>
          <x:t>Да</x:t>
        </x:is>
      </x:c>
      <x:c r="R33" s="1" t="inlineStr">
        <x:is>
          <x:t>Да</x:t>
        </x:is>
      </x:c>
      <x:c r="S33" s="1" t="inlineStr">
        <x:is>
          <x:t>Да</x:t>
        </x:is>
      </x:c>
    </x:row>
    <x:row r="34" ht="26" customHeight="1">
      <x:c r="A34" s="1" t="inlineStr">
        <x:is>
          <x:t>Исходный контроль</x:t>
        </x:is>
      </x:c>
      <x:c r="B34" s="1" t="inlineStr">
        <x:is>
          <x:t>H6.3</x:t>
        </x:is>
      </x:c>
      <x:c r="C34" s="8">
        <x:v>0.20099999999999996</x:v>
      </x:c>
      <x:c r="D34" s="16">
        <x:v>0.024260898186072154</x:v>
      </x:c>
      <x:c r="E34" s="8">
        <x:v>0.00120700986000359</x:v>
      </x:c>
      <x:c r="F34" s="12">
        <x:v>24.260898186072154</x:v>
      </x:c>
      <x:c r="G34" s="12">
        <x:v>2340</x:v>
      </x:c>
      <x:c r="H34" s="8">
        <x:v>0.27834991222937389</x:v>
      </x:c>
      <x:c r="I34" s="8">
        <x:v>0.27870538326506722</x:v>
      </x:c>
      <x:c r="J34" s="8">
        <x:v>0.16465769455822118</x:v>
      </x:c>
      <x:c r="K34" s="8">
        <x:v>0.16652391749561146</x:v>
      </x:c>
      <x:c r="L34" s="16">
        <x:v>200.99999999999991</x:v>
      </x:c>
      <x:c r="M34" s="16">
        <x:v>201.24260898186074</x:v>
      </x:c>
      <x:c r="N34" s="16">
        <x:v>100.1207009860004</x:v>
      </x:c>
      <x:c r="O34" s="1" t="inlineStr">
        <x:is>
          <x:t>Да</x:t>
        </x:is>
      </x:c>
      <x:c r="P34" s="1" t="inlineStr">
        <x:is>
          <x:t>Да</x:t>
        </x:is>
      </x:c>
      <x:c r="Q34" s="1" t="inlineStr">
        <x:is>
          <x:t>Да</x:t>
        </x:is>
      </x:c>
      <x:c r="R34" s="1" t="inlineStr">
        <x:is>
          <x:t>Да</x:t>
        </x:is>
      </x:c>
      <x:c r="S34" s="1" t="inlineStr">
        <x:is>
          <x:t>Да</x:t>
        </x:is>
      </x:c>
    </x:row>
    <x:row r="35" ht="26" customHeight="1">
      <x:c r="A35" s="1" t="inlineStr">
        <x:is>
          <x:t>Много китов</x:t>
        </x:is>
      </x:c>
      <x:c r="B35" s="1" t="inlineStr">
        <x:is>
          <x:t>H1</x:t>
        </x:is>
      </x:c>
      <x:c r="C35" s="8">
        <x:v>0.31450000000000006</x:v>
      </x:c>
      <x:c r="D35" s="16">
        <x:v>0.26835320362785209</x:v>
      </x:c>
      <x:c r="E35" s="8">
        <x:v>0.0085326932791049935</x:v>
      </x:c>
      <x:c r="F35" s="12">
        <x:v>268.35320362785205</x:v>
      </x:c>
      <x:c r="G35" s="12">
        <x:v>13000.000000000002</x:v>
      </x:c>
      <x:c r="H35" s="8">
        <x:v>0.43552759898576171</x:v>
      </x:c>
      <x:c r="I35" s="8">
        <x:v>0.43965610981080561</x:v>
      </x:c>
      <x:c r="J35" s="8">
        <x:v>0.25763604447045058</x:v>
      </x:c>
      <x:c r="K35" s="8">
        <x:v>0.2599619660620246</x:v>
      </x:c>
      <x:c r="L35" s="16">
        <x:v>314.5</x:v>
      </x:c>
      <x:c r="M35" s="16">
        <x:v>317.18353203627856</x:v>
      </x:c>
      <x:c r="N35" s="16">
        <x:v>100.85326932791051</x:v>
      </x:c>
      <x:c r="O35" s="1" t="inlineStr">
        <x:is>
          <x:t>Да</x:t>
        </x:is>
      </x:c>
      <x:c r="P35" s="1" t="inlineStr">
        <x:is>
          <x:t>Да</x:t>
        </x:is>
      </x:c>
      <x:c r="Q35" s="1" t="inlineStr">
        <x:is>
          <x:t>Да</x:t>
        </x:is>
      </x:c>
      <x:c r="R35" s="1" t="inlineStr">
        <x:is>
          <x:t>Да</x:t>
        </x:is>
      </x:c>
      <x:c r="S35" s="1" t="inlineStr">
        <x:is>
          <x:t>Да</x:t>
        </x:is>
      </x:c>
    </x:row>
    <x:row r="36" ht="26" customHeight="1">
      <x:c r="A36" s="1" t="inlineStr">
        <x:is>
          <x:t>Много китов</x:t>
        </x:is>
      </x:c>
      <x:c r="B36" s="1" t="inlineStr">
        <x:is>
          <x:t>H2</x:t>
        </x:is>
      </x:c>
      <x:c r="C36" s="8">
        <x:v>0.31450000000000006</x:v>
      </x:c>
      <x:c r="D36" s="16">
        <x:v>0.34763613589819214</x:v>
      </x:c>
      <x:c r="E36" s="8">
        <x:v>0.011053613224107858</x:v>
      </x:c>
      <x:c r="F36" s="12">
        <x:v>347.63613589819215</x:v>
      </x:c>
      <x:c r="G36" s="12">
        <x:v>15210</x:v>
      </x:c>
      <x:c r="H36" s="8">
        <x:v>0.43552759898576171</x:v>
      </x:c>
      <x:c r="I36" s="8">
        <x:v>0.4408413424029648</x:v>
      </x:c>
      <x:c r="J36" s="8">
        <x:v>0.25763604447045058</x:v>
      </x:c>
      <x:c r="K36" s="8">
        <x:v>0.2626392444411938</x:v>
      </x:c>
      <x:c r="L36" s="16">
        <x:v>314.5</x:v>
      </x:c>
      <x:c r="M36" s="16">
        <x:v>317.97636135898193</x:v>
      </x:c>
      <x:c r="N36" s="16">
        <x:v>101.10536132241077</x:v>
      </x:c>
      <x:c r="O36" s="1" t="inlineStr">
        <x:is>
          <x:t>Да</x:t>
        </x:is>
      </x:c>
      <x:c r="P36" s="1" t="inlineStr">
        <x:is>
          <x:t>Да</x:t>
        </x:is>
      </x:c>
      <x:c r="Q36" s="1" t="inlineStr">
        <x:is>
          <x:t>Да</x:t>
        </x:is>
      </x:c>
      <x:c r="R36" s="1" t="inlineStr">
        <x:is>
          <x:t>Да</x:t>
        </x:is>
      </x:c>
      <x:c r="S36" s="1" t="inlineStr">
        <x:is>
          <x:t>Да</x:t>
        </x:is>
      </x:c>
    </x:row>
    <x:row r="37" ht="26" customHeight="1">
      <x:c r="A37" s="1" t="inlineStr">
        <x:is>
          <x:t>Много китов</x:t>
        </x:is>
      </x:c>
      <x:c r="B37" s="1" t="inlineStr">
        <x:is>
          <x:t>H3</x:t>
        </x:is>
      </x:c>
      <x:c r="C37" s="8">
        <x:v>0.31450000000000006</x:v>
      </x:c>
      <x:c r="D37" s="16">
        <x:v>0.36050468110006478</x:v>
      </x:c>
      <x:c r="E37" s="8">
        <x:v>0.011462787952307305</x:v>
      </x:c>
      <x:c r="F37" s="12">
        <x:v>360.50468110006477</x:v>
      </x:c>
      <x:c r="G37" s="12">
        <x:v>16250.000000000004</x:v>
      </x:c>
      <x:c r="H37" s="8">
        <x:v>0.43552759898576171</x:v>
      </x:c>
      <x:c r="I37" s="8">
        <x:v>0.44107382484883961</x:v>
      </x:c>
      <x:c r="J37" s="8">
        <x:v>0.25763604447045058</x:v>
      </x:c>
      <x:c r="K37" s="8">
        <x:v>0.26076067875950859</x:v>
      </x:c>
      <x:c r="L37" s="16">
        <x:v>314.5</x:v>
      </x:c>
      <x:c r="M37" s="16">
        <x:v>318.10504681100065</x:v>
      </x:c>
      <x:c r="N37" s="16">
        <x:v>101.14627879523073</x:v>
      </x:c>
      <x:c r="O37" s="1" t="inlineStr">
        <x:is>
          <x:t>Да</x:t>
        </x:is>
      </x:c>
      <x:c r="P37" s="1" t="inlineStr">
        <x:is>
          <x:t>Да</x:t>
        </x:is>
      </x:c>
      <x:c r="Q37" s="1" t="inlineStr">
        <x:is>
          <x:t>Да</x:t>
        </x:is>
      </x:c>
      <x:c r="R37" s="1" t="inlineStr">
        <x:is>
          <x:t>Да</x:t>
        </x:is>
      </x:c>
      <x:c r="S37" s="1" t="inlineStr">
        <x:is>
          <x:t>Да</x:t>
        </x:is>
      </x:c>
    </x:row>
    <x:row r="38" ht="26" customHeight="1">
      <x:c r="A38" s="1" t="inlineStr">
        <x:is>
          <x:t>Много китов</x:t>
        </x:is>
      </x:c>
      <x:c r="B38" s="1" t="inlineStr">
        <x:is>
          <x:t>H4</x:t>
        </x:is>
      </x:c>
      <x:c r="C38" s="8">
        <x:v>0.31450000000000006</x:v>
      </x:c>
      <x:c r="D38" s="16">
        <x:v>0.41324182636044493</x:v>
      </x:c>
      <x:c r="E38" s="8">
        <x:v>0.013139644717343241</x:v>
      </x:c>
      <x:c r="F38" s="12">
        <x:v>413.24182636044497</x:v>
      </x:c>
      <x:c r="G38" s="12">
        <x:v>18460</x:v>
      </x:c>
      <x:c r="H38" s="8">
        <x:v>0.43552759898576171</x:v>
      </x:c>
      <x:c r="I38" s="8">
        <x:v>0.44185174687926665</x:v>
      </x:c>
      <x:c r="J38" s="8">
        <x:v>0.25763604447045058</x:v>
      </x:c>
      <x:c r="K38" s="8">
        <x:v>0.26310667788180231</x:v>
      </x:c>
      <x:c r="L38" s="16">
        <x:v>314.5</x:v>
      </x:c>
      <x:c r="M38" s="16">
        <x:v>318.63241826360456</x:v>
      </x:c>
      <x:c r="N38" s="16">
        <x:v>101.31396447173435</x:v>
      </x:c>
      <x:c r="O38" s="1" t="inlineStr">
        <x:is>
          <x:t>Да</x:t>
        </x:is>
      </x:c>
      <x:c r="P38" s="1" t="inlineStr">
        <x:is>
          <x:t>Да</x:t>
        </x:is>
      </x:c>
      <x:c r="Q38" s="1" t="inlineStr">
        <x:is>
          <x:t>Да</x:t>
        </x:is>
      </x:c>
      <x:c r="R38" s="1" t="inlineStr">
        <x:is>
          <x:t>Да</x:t>
        </x:is>
      </x:c>
      <x:c r="S38" s="1" t="inlineStr">
        <x:is>
          <x:t>Да</x:t>
        </x:is>
      </x:c>
    </x:row>
    <x:row r="39" ht="26" customHeight="1">
      <x:c r="A39" s="1" t="inlineStr">
        <x:is>
          <x:t>Много китов</x:t>
        </x:is>
      </x:c>
      <x:c r="B39" s="1" t="inlineStr">
        <x:is>
          <x:t>H5</x:t>
        </x:is>
      </x:c>
      <x:c r="C39" s="8">
        <x:v>0.31450000000000006</x:v>
      </x:c>
      <x:c r="D39" s="16">
        <x:v>0.073172066998242372</x:v>
      </x:c>
      <x:c r="E39" s="8">
        <x:v>0.0023266158028057986</x:v>
      </x:c>
      <x:c r="F39" s="12">
        <x:v>73.172066998242371</x:v>
      </x:c>
      <x:c r="G39" s="12">
        <x:v>4745</x:v>
      </x:c>
      <x:c r="H39" s="8">
        <x:v>0.43552759898576171</x:v>
      </x:c>
      <x:c r="I39" s="8">
        <x:v>0.43659971718353813</x:v>
      </x:c>
      <x:c r="J39" s="8">
        <x:v>0.25763604447045058</x:v>
      </x:c>
      <x:c r="K39" s="8">
        <x:v>0.2632646650087771</x:v>
      </x:c>
      <x:c r="L39" s="16">
        <x:v>314.5</x:v>
      </x:c>
      <x:c r="M39" s="16">
        <x:v>315.23172066998251</x:v>
      </x:c>
      <x:c r="N39" s="16">
        <x:v>100.23266158028062</x:v>
      </x:c>
      <x:c r="O39" s="1" t="inlineStr">
        <x:is>
          <x:t>Да</x:t>
        </x:is>
      </x:c>
      <x:c r="P39" s="1" t="inlineStr">
        <x:is>
          <x:t>Да</x:t>
        </x:is>
      </x:c>
      <x:c r="Q39" s="1" t="inlineStr">
        <x:is>
          <x:t>Да</x:t>
        </x:is>
      </x:c>
      <x:c r="R39" s="1" t="inlineStr">
        <x:is>
          <x:t>Да</x:t>
        </x:is>
      </x:c>
      <x:c r="S39" s="1" t="inlineStr">
        <x:is>
          <x:t>Да</x:t>
        </x:is>
      </x:c>
    </x:row>
    <x:row r="40" ht="26" customHeight="1">
      <x:c r="A40" s="1" t="inlineStr">
        <x:is>
          <x:t>Много китов</x:t>
        </x:is>
      </x:c>
      <x:c r="B40" s="1" t="inlineStr">
        <x:is>
          <x:t>H6.1</x:t>
        </x:is>
      </x:c>
      <x:c r="C40" s="8">
        <x:v>0.31450000000000006</x:v>
      </x:c>
      <x:c r="D40" s="16">
        <x:v>0.042501499414858701</x:v>
      </x:c>
      <x:c r="E40" s="8">
        <x:v>0.0013513990274994815</x:v>
      </x:c>
      <x:c r="F40" s="12">
        <x:v>42.501499414858699</x:v>
      </x:c>
      <x:c r="G40" s="12">
        <x:v>2730</x:v>
      </x:c>
      <x:c r="H40" s="8">
        <x:v>0.43552759898576171</x:v>
      </x:c>
      <x:c r="I40" s="8">
        <x:v>0.43615033157792082</x:v>
      </x:c>
      <x:c r="J40" s="8">
        <x:v>0.25763604447045058</x:v>
      </x:c>
      <x:c r="K40" s="8">
        <x:v>0.26090539057928619</x:v>
      </x:c>
      <x:c r="L40" s="16">
        <x:v>314.5</x:v>
      </x:c>
      <x:c r="M40" s="16">
        <x:v>314.92501499414863</x:v>
      </x:c>
      <x:c r="N40" s="16">
        <x:v>100.13513990274997</x:v>
      </x:c>
      <x:c r="O40" s="1" t="inlineStr">
        <x:is>
          <x:t>Да</x:t>
        </x:is>
      </x:c>
      <x:c r="P40" s="1" t="inlineStr">
        <x:is>
          <x:t>Да</x:t>
        </x:is>
      </x:c>
      <x:c r="Q40" s="1" t="inlineStr">
        <x:is>
          <x:t>Да</x:t>
        </x:is>
      </x:c>
      <x:c r="R40" s="1" t="inlineStr">
        <x:is>
          <x:t>Да</x:t>
        </x:is>
      </x:c>
      <x:c r="S40" s="1" t="inlineStr">
        <x:is>
          <x:t>Да</x:t>
        </x:is>
      </x:c>
    </x:row>
    <x:row r="41" ht="26" customHeight="1">
      <x:c r="A41" s="1" t="inlineStr">
        <x:is>
          <x:t>Много китов</x:t>
        </x:is>
      </x:c>
      <x:c r="B41" s="1" t="inlineStr">
        <x:is>
          <x:t>H6.2</x:t>
        </x:is>
      </x:c>
      <x:c r="C41" s="8">
        <x:v>0.31450000000000006</x:v>
      </x:c>
      <x:c r="D41" s="16">
        <x:v>0.042501499414858701</x:v>
      </x:c>
      <x:c r="E41" s="8">
        <x:v>0.0013513990274994815</x:v>
      </x:c>
      <x:c r="F41" s="12">
        <x:v>42.501499414858699</x:v>
      </x:c>
      <x:c r="G41" s="12">
        <x:v>2730</x:v>
      </x:c>
      <x:c r="H41" s="8">
        <x:v>0.43552759898576171</x:v>
      </x:c>
      <x:c r="I41" s="8">
        <x:v>0.43615033157792082</x:v>
      </x:c>
      <x:c r="J41" s="8">
        <x:v>0.25763604447045058</x:v>
      </x:c>
      <x:c r="K41" s="8">
        <x:v>0.26090539057928619</x:v>
      </x:c>
      <x:c r="L41" s="16">
        <x:v>314.5</x:v>
      </x:c>
      <x:c r="M41" s="16">
        <x:v>314.92501499414863</x:v>
      </x:c>
      <x:c r="N41" s="16">
        <x:v>100.13513990274997</x:v>
      </x:c>
      <x:c r="O41" s="1" t="inlineStr">
        <x:is>
          <x:t>Да</x:t>
        </x:is>
      </x:c>
      <x:c r="P41" s="1" t="inlineStr">
        <x:is>
          <x:t>Да</x:t>
        </x:is>
      </x:c>
      <x:c r="Q41" s="1" t="inlineStr">
        <x:is>
          <x:t>Да</x:t>
        </x:is>
      </x:c>
      <x:c r="R41" s="1" t="inlineStr">
        <x:is>
          <x:t>Да</x:t>
        </x:is>
      </x:c>
      <x:c r="S41" s="1" t="inlineStr">
        <x:is>
          <x:t>Да</x:t>
        </x:is>
      </x:c>
    </x:row>
    <x:row r="42" ht="26" customHeight="1">
      <x:c r="A42" s="1" t="inlineStr">
        <x:is>
          <x:t>Много китов</x:t>
        </x:is>
      </x:c>
      <x:c r="B42" s="1" t="inlineStr">
        <x:is>
          <x:t>H6.3</x:t>
        </x:is>
      </x:c>
      <x:c r="C42" s="8">
        <x:v>0.31450000000000006</x:v>
      </x:c>
      <x:c r="D42" s="16">
        <x:v>0.042501499414858701</x:v>
      </x:c>
      <x:c r="E42" s="8">
        <x:v>0.0013513990274994815</x:v>
      </x:c>
      <x:c r="F42" s="12">
        <x:v>42.501499414858699</x:v>
      </x:c>
      <x:c r="G42" s="12">
        <x:v>2730</x:v>
      </x:c>
      <x:c r="H42" s="8">
        <x:v>0.43552759898576171</x:v>
      </x:c>
      <x:c r="I42" s="8">
        <x:v>0.43615033157792082</x:v>
      </x:c>
      <x:c r="J42" s="8">
        <x:v>0.25763604447045058</x:v>
      </x:c>
      <x:c r="K42" s="8">
        <x:v>0.26090539057928619</x:v>
      </x:c>
      <x:c r="L42" s="16">
        <x:v>314.5</x:v>
      </x:c>
      <x:c r="M42" s="16">
        <x:v>314.92501499414863</x:v>
      </x:c>
      <x:c r="N42" s="16">
        <x:v>100.13513990274997</x:v>
      </x:c>
      <x:c r="O42" s="1" t="inlineStr">
        <x:is>
          <x:t>Да</x:t>
        </x:is>
      </x:c>
      <x:c r="P42" s="1" t="inlineStr">
        <x:is>
          <x:t>Да</x:t>
        </x:is>
      </x:c>
      <x:c r="Q42" s="1" t="inlineStr">
        <x:is>
          <x:t>Да</x:t>
        </x:is>
      </x:c>
      <x:c r="R42" s="1" t="inlineStr">
        <x:is>
          <x:t>Да</x:t>
        </x:is>
      </x:c>
      <x:c r="S42" s="1" t="inlineStr">
        <x:is>
          <x:t>Да</x:t>
        </x:is>
      </x:c>
    </x:row>
    <x:row r="43" ht="26" customHeight="1">
      <x:c r="A43" s="1" t="inlineStr">
        <x:is>
          <x:t>Корзины 40+: 11%</x:t>
        </x:is>
      </x:c>
      <x:c r="B43" s="1" t="inlineStr">
        <x:is>
          <x:t>H1</x:t>
        </x:is>
      </x:c>
      <x:c r="C43" s="8">
        <x:v>0.14999999999999997</x:v>
      </x:c>
      <x:c r="D43" s="16">
        <x:v>0.015572587039203129</x:v>
      </x:c>
      <x:c r="E43" s="8">
        <x:v>0.0010381724692802088</x:v>
      </x:c>
      <x:c r="F43" s="12">
        <x:v>6851.9382972493768</x:v>
      </x:c>
      <x:c r="G43" s="12">
        <x:v>1258400.0000000002</x:v>
      </x:c>
      <x:c r="H43" s="8">
        <x:v>0.20772381509654764</x:v>
      </x:c>
      <x:c r="I43" s="8">
        <x:v>0.20796339335868924</x:v>
      </x:c>
      <x:c r="J43" s="8">
        <x:v>0.12287887653598591</x:v>
      </x:c>
      <x:c r="K43" s="8">
        <x:v>0.12301385020479808</x:v>
      </x:c>
      <x:c r="L43" s="16">
        <x:v>0.14999999999999997</x:v>
      </x:c>
      <x:c r="M43" s="16">
        <x:v>0.150155725870392</x:v>
      </x:c>
      <x:c r="N43" s="16">
        <x:v>100.10381724692803</x:v>
      </x:c>
      <x:c r="O43" s="1" t="inlineStr">
        <x:is>
          <x:t>Да</x:t>
        </x:is>
      </x:c>
      <x:c r="P43" s="1" t="inlineStr">
        <x:is>
          <x:t>Да</x:t>
        </x:is>
      </x:c>
      <x:c r="Q43" s="1" t="inlineStr">
        <x:is>
          <x:t>Да</x:t>
        </x:is>
      </x:c>
      <x:c r="R43" s="1" t="inlineStr">
        <x:is>
          <x:t>Да</x:t>
        </x:is>
      </x:c>
      <x:c r="S43" s="1" t="inlineStr">
        <x:is>
          <x:t>Да</x:t>
        </x:is>
      </x:c>
    </x:row>
    <x:row r="44" ht="26" customHeight="1">
      <x:c r="A44" s="1" t="inlineStr">
        <x:is>
          <x:t>Корзины 40+: 11%</x:t>
        </x:is>
      </x:c>
      <x:c r="B44" s="1" t="inlineStr">
        <x:is>
          <x:t>H2</x:t>
        </x:is>
      </x:c>
      <x:c r="C44" s="8">
        <x:v>0.14999999999999997</x:v>
      </x:c>
      <x:c r="D44" s="16">
        <x:v>0.16580419836161786</x:v>
      </x:c>
      <x:c r="E44" s="8">
        <x:v>0.011053613224107859</x:v>
      </x:c>
      <x:c r="F44" s="12">
        <x:v>72953.847279111855</x:v>
      </x:c>
      <x:c r="G44" s="12">
        <x:v>6692400.0000000019</x:v>
      </x:c>
      <x:c r="H44" s="8">
        <x:v>0.20772381509654764</x:v>
      </x:c>
      <x:c r="I44" s="8">
        <x:v>0.21025819192510239</x:v>
      </x:c>
      <x:c r="J44" s="8">
        <x:v>0.12287887653598591</x:v>
      </x:c>
      <x:c r="K44" s="8">
        <x:v>0.12526514043300171</x:v>
      </x:c>
      <x:c r="L44" s="16">
        <x:v>0.14999999999999997</x:v>
      </x:c>
      <x:c r="M44" s="16">
        <x:v>0.15165804198361613</x:v>
      </x:c>
      <x:c r="N44" s="16">
        <x:v>101.10536132241079</x:v>
      </x:c>
      <x:c r="O44" s="1" t="inlineStr">
        <x:is>
          <x:t>Да</x:t>
        </x:is>
      </x:c>
      <x:c r="P44" s="1" t="inlineStr">
        <x:is>
          <x:t>Да</x:t>
        </x:is>
      </x:c>
      <x:c r="Q44" s="1" t="inlineStr">
        <x:is>
          <x:t>Да</x:t>
        </x:is>
      </x:c>
      <x:c r="R44" s="1" t="inlineStr">
        <x:is>
          <x:t>Да</x:t>
        </x:is>
      </x:c>
      <x:c r="S44" s="1" t="inlineStr">
        <x:is>
          <x:t>Да</x:t>
        </x:is>
      </x:c>
    </x:row>
    <x:row r="45" ht="26" customHeight="1">
      <x:c r="A45" s="1" t="inlineStr">
        <x:is>
          <x:t>Корзины 40+: 11%</x:t>
        </x:is>
      </x:c>
      <x:c r="B45" s="1" t="inlineStr">
        <x:is>
          <x:t>H3</x:t>
        </x:is>
      </x:c>
      <x:c r="C45" s="8">
        <x:v>0.14999999999999997</x:v>
      </x:c>
      <x:c r="D45" s="16">
        <x:v>0.087628460174079312</x:v>
      </x:c>
      <x:c r="E45" s="8">
        <x:v>0.0058418973449386223</x:v>
      </x:c>
      <x:c r="F45" s="12">
        <x:v>38556.522476594895</x:v>
      </x:c>
      <x:c r="G45" s="12">
        <x:v>3803800.0000000005</x:v>
      </x:c>
      <x:c r="H45" s="8">
        <x:v>0.20772381509654764</x:v>
      </x:c>
      <x:c r="I45" s="8">
        <x:v>0.20907194525307193</x:v>
      </x:c>
      <x:c r="J45" s="8">
        <x:v>0.12287887653598591</x:v>
      </x:c>
      <x:c r="K45" s="8">
        <x:v>0.12363838648332354</x:v>
      </x:c>
      <x:c r="L45" s="16">
        <x:v>0.14999999999999997</x:v>
      </x:c>
      <x:c r="M45" s="16">
        <x:v>0.15087628460174074</x:v>
      </x:c>
      <x:c r="N45" s="16">
        <x:v>100.58418973449386</x:v>
      </x:c>
      <x:c r="O45" s="1" t="inlineStr">
        <x:is>
          <x:t>Да</x:t>
        </x:is>
      </x:c>
      <x:c r="P45" s="1" t="inlineStr">
        <x:is>
          <x:t>Да</x:t>
        </x:is>
      </x:c>
      <x:c r="Q45" s="1" t="inlineStr">
        <x:is>
          <x:t>Да</x:t>
        </x:is>
      </x:c>
      <x:c r="R45" s="1" t="inlineStr">
        <x:is>
          <x:t>Да</x:t>
        </x:is>
      </x:c>
      <x:c r="S45" s="1" t="inlineStr">
        <x:is>
          <x:t>Да</x:t>
        </x:is>
      </x:c>
    </x:row>
    <x:row r="46" ht="26" customHeight="1">
      <x:c r="A46" s="1" t="inlineStr">
        <x:is>
          <x:t>Корзины 40+: 11%</x:t>
        </x:is>
      </x:c>
      <x:c r="B46" s="1" t="inlineStr">
        <x:is>
          <x:t>H4</x:t>
        </x:is>
      </x:c>
      <x:c r="C46" s="8">
        <x:v>0.14999999999999997</x:v>
      </x:c>
      <x:c r="D46" s="16">
        <x:v>0.16566518384289336</x:v>
      </x:c>
      <x:c r="E46" s="8">
        <x:v>0.011044345589526227</x:v>
      </x:c>
      <x:c r="F46" s="12">
        <x:v>72892.680890873075</x:v>
      </x:c>
      <x:c r="G46" s="12">
        <x:v>6783920.0000000019</x:v>
      </x:c>
      <x:c r="H46" s="8">
        <x:v>0.20772381509654764</x:v>
      </x:c>
      <x:c r="I46" s="8">
        <x:v>0.21025900720450552</x:v>
      </x:c>
      <x:c r="J46" s="8">
        <x:v>0.12287887653598591</x:v>
      </x:c>
      <x:c r="K46" s="8">
        <x:v>0.12498871759801049</x:v>
      </x:c>
      <x:c r="L46" s="16">
        <x:v>0.14999999999999997</x:v>
      </x:c>
      <x:c r="M46" s="16">
        <x:v>0.15165665183842889</x:v>
      </x:c>
      <x:c r="N46" s="16">
        <x:v>101.10443455895262</x:v>
      </x:c>
      <x:c r="O46" s="1" t="inlineStr">
        <x:is>
          <x:t>Да</x:t>
        </x:is>
      </x:c>
      <x:c r="P46" s="1" t="inlineStr">
        <x:is>
          <x:t>Да</x:t>
        </x:is>
      </x:c>
      <x:c r="Q46" s="1" t="inlineStr">
        <x:is>
          <x:t>Да</x:t>
        </x:is>
      </x:c>
      <x:c r="R46" s="1" t="inlineStr">
        <x:is>
          <x:t>Да</x:t>
        </x:is>
      </x:c>
      <x:c r="S46" s="1" t="inlineStr">
        <x:is>
          <x:t>Да</x:t>
        </x:is>
      </x:c>
    </x:row>
    <x:row r="47" ht="26" customHeight="1">
      <x:c r="A47" s="1" t="inlineStr">
        <x:is>
          <x:t>Корзины 40+: 11%</x:t>
        </x:is>
      </x:c>
      <x:c r="B47" s="1" t="inlineStr">
        <x:is>
          <x:t>H5</x:t>
        </x:is>
      </x:c>
      <x:c r="C47" s="8">
        <x:v>0.14999999999999997</x:v>
      </x:c>
      <x:c r="D47" s="16">
        <x:v>0.032635400819194249</x:v>
      </x:c>
      <x:c r="E47" s="8">
        <x:v>0.0021756933879462838</x:v>
      </x:c>
      <x:c r="F47" s="12">
        <x:v>14359.57636044547</x:v>
      </x:c>
      <x:c r="G47" s="12">
        <x:v>1830400.0000000002</x:v>
      </x:c>
      <x:c r="H47" s="8">
        <x:v>0.20772381509654764</x:v>
      </x:c>
      <x:c r="I47" s="8">
        <x:v>0.20820198946752486</x:v>
      </x:c>
      <x:c r="J47" s="8">
        <x:v>0.12287887653598591</x:v>
      </x:c>
      <x:c r="K47" s="8">
        <x:v>0.12538929198361609</x:v>
      </x:c>
      <x:c r="L47" s="16">
        <x:v>0.14999999999999997</x:v>
      </x:c>
      <x:c r="M47" s="16">
        <x:v>0.15032635400819189</x:v>
      </x:c>
      <x:c r="N47" s="16">
        <x:v>100.21756933879463</x:v>
      </x:c>
      <x:c r="O47" s="1" t="inlineStr">
        <x:is>
          <x:t>Да</x:t>
        </x:is>
      </x:c>
      <x:c r="P47" s="1" t="inlineStr">
        <x:is>
          <x:t>Да</x:t>
        </x:is>
      </x:c>
      <x:c r="Q47" s="1" t="inlineStr">
        <x:is>
          <x:t>Да</x:t>
        </x:is>
      </x:c>
      <x:c r="R47" s="1" t="inlineStr">
        <x:is>
          <x:t>Да</x:t>
        </x:is>
      </x:c>
      <x:c r="S47" s="1" t="inlineStr">
        <x:is>
          <x:t>Да</x:t>
        </x:is>
      </x:c>
    </x:row>
    <x:row r="48" ht="26" customHeight="1">
      <x:c r="A48" s="1" t="inlineStr">
        <x:is>
          <x:t>Корзины 40+: 11%</x:t>
        </x:is>
      </x:c>
      <x:c r="B48" s="1" t="inlineStr">
        <x:is>
          <x:t>H6.1</x:t>
        </x:is>
      </x:c>
      <x:c r="C48" s="8">
        <x:v>0.14999999999999997</x:v>
      </x:c>
      <x:c r="D48" s="16">
        <x:v>0.018761761263899758</x:v>
      </x:c>
      <x:c r="E48" s="8">
        <x:v>0.0012507840842599842</x:v>
      </x:c>
      <x:c r="F48" s="12">
        <x:v>8255.174956115894</x:v>
      </x:c>
      <x:c r="G48" s="12">
        <x:v>1029600</x:v>
      </x:c>
      <x:c r="H48" s="8">
        <x:v>0.20772381509654764</x:v>
      </x:c>
      <x:c r="I48" s="8">
        <x:v>0.20799871269748388</x:v>
      </x:c>
      <x:c r="J48" s="8">
        <x:v>0.12287887653598591</x:v>
      </x:c>
      <x:c r="K48" s="8">
        <x:v>0.12432208894090105</x:v>
      </x:c>
      <x:c r="L48" s="16">
        <x:v>0.14999999999999997</x:v>
      </x:c>
      <x:c r="M48" s="16">
        <x:v>0.15018761761263896</x:v>
      </x:c>
      <x:c r="N48" s="16">
        <x:v>100.12507840842601</x:v>
      </x:c>
      <x:c r="O48" s="1" t="inlineStr">
        <x:is>
          <x:t>Да</x:t>
        </x:is>
      </x:c>
      <x:c r="P48" s="1" t="inlineStr">
        <x:is>
          <x:t>Да</x:t>
        </x:is>
      </x:c>
      <x:c r="Q48" s="1" t="inlineStr">
        <x:is>
          <x:t>Да</x:t>
        </x:is>
      </x:c>
      <x:c r="R48" s="1" t="inlineStr">
        <x:is>
          <x:t>Да</x:t>
        </x:is>
      </x:c>
      <x:c r="S48" s="1" t="inlineStr">
        <x:is>
          <x:t>Да</x:t>
        </x:is>
      </x:c>
    </x:row>
    <x:row r="49" ht="26" customHeight="1">
      <x:c r="A49" s="1" t="inlineStr">
        <x:is>
          <x:t>Корзины 40+: 11%</x:t>
        </x:is>
      </x:c>
      <x:c r="B49" s="1" t="inlineStr">
        <x:is>
          <x:t>H6.2</x:t>
        </x:is>
      </x:c>
      <x:c r="C49" s="8">
        <x:v>0.14999999999999997</x:v>
      </x:c>
      <x:c r="D49" s="16">
        <x:v>0.018761761263899758</x:v>
      </x:c>
      <x:c r="E49" s="8">
        <x:v>0.0012507840842599842</x:v>
      </x:c>
      <x:c r="F49" s="12">
        <x:v>8255.174956115894</x:v>
      </x:c>
      <x:c r="G49" s="12">
        <x:v>1029600</x:v>
      </x:c>
      <x:c r="H49" s="8">
        <x:v>0.20772381509654764</x:v>
      </x:c>
      <x:c r="I49" s="8">
        <x:v>0.20799871269748388</x:v>
      </x:c>
      <x:c r="J49" s="8">
        <x:v>0.12287887653598591</x:v>
      </x:c>
      <x:c r="K49" s="8">
        <x:v>0.12432208894090105</x:v>
      </x:c>
      <x:c r="L49" s="16">
        <x:v>0.14999999999999997</x:v>
      </x:c>
      <x:c r="M49" s="16">
        <x:v>0.15018761761263896</x:v>
      </x:c>
      <x:c r="N49" s="16">
        <x:v>100.12507840842601</x:v>
      </x:c>
      <x:c r="O49" s="1" t="inlineStr">
        <x:is>
          <x:t>Да</x:t>
        </x:is>
      </x:c>
      <x:c r="P49" s="1" t="inlineStr">
        <x:is>
          <x:t>Да</x:t>
        </x:is>
      </x:c>
      <x:c r="Q49" s="1" t="inlineStr">
        <x:is>
          <x:t>Да</x:t>
        </x:is>
      </x:c>
      <x:c r="R49" s="1" t="inlineStr">
        <x:is>
          <x:t>Да</x:t>
        </x:is>
      </x:c>
      <x:c r="S49" s="1" t="inlineStr">
        <x:is>
          <x:t>Да</x:t>
        </x:is>
      </x:c>
    </x:row>
    <x:row r="50" ht="26" customHeight="1">
      <x:c r="A50" s="1" t="inlineStr">
        <x:is>
          <x:t>Корзины 40+: 11%</x:t>
        </x:is>
      </x:c>
      <x:c r="B50" s="1" t="inlineStr">
        <x:is>
          <x:t>H6.3</x:t>
        </x:is>
      </x:c>
      <x:c r="C50" s="8">
        <x:v>0.14999999999999997</x:v>
      </x:c>
      <x:c r="D50" s="16">
        <x:v>0.018761761263899758</x:v>
      </x:c>
      <x:c r="E50" s="8">
        <x:v>0.0012507840842599842</x:v>
      </x:c>
      <x:c r="F50" s="12">
        <x:v>8255.174956115894</x:v>
      </x:c>
      <x:c r="G50" s="12">
        <x:v>1029600</x:v>
      </x:c>
      <x:c r="H50" s="8">
        <x:v>0.20772381509654764</x:v>
      </x:c>
      <x:c r="I50" s="8">
        <x:v>0.20799871269748388</x:v>
      </x:c>
      <x:c r="J50" s="8">
        <x:v>0.12287887653598591</x:v>
      </x:c>
      <x:c r="K50" s="8">
        <x:v>0.12432208894090105</x:v>
      </x:c>
      <x:c r="L50" s="16">
        <x:v>0.14999999999999997</x:v>
      </x:c>
      <x:c r="M50" s="16">
        <x:v>0.15018761761263896</x:v>
      </x:c>
      <x:c r="N50" s="16">
        <x:v>100.12507840842601</x:v>
      </x:c>
      <x:c r="O50" s="1" t="inlineStr">
        <x:is>
          <x:t>Да</x:t>
        </x:is>
      </x:c>
      <x:c r="P50" s="1" t="inlineStr">
        <x:is>
          <x:t>Да</x:t>
        </x:is>
      </x:c>
      <x:c r="Q50" s="1" t="inlineStr">
        <x:is>
          <x:t>Да</x:t>
        </x:is>
      </x:c>
      <x:c r="R50" s="1" t="inlineStr">
        <x:is>
          <x:t>Да</x:t>
        </x:is>
      </x:c>
      <x:c r="S50" s="1" t="inlineStr">
        <x:is>
          <x:t>Да</x:t>
        </x:is>
      </x:c>
    </x:row>
    <x:row r="51" ht="26" customHeight="1">
      <x:c r="A51" s="1" t="inlineStr">
        <x:is>
          <x:t>Корзины 40+: 20%</x:t>
        </x:is>
      </x:c>
      <x:c r="B51" s="1" t="inlineStr">
        <x:is>
          <x:t>H1</x:t>
        </x:is>
      </x:c>
      <x:c r="C51" s="8">
        <x:v>0.14999999999999997</x:v>
      </x:c>
      <x:c r="D51" s="16">
        <x:v>0.031594792276184835</x:v>
      </x:c>
      <x:c r="E51" s="8">
        <x:v>0.0021063194850789893</x:v>
      </x:c>
      <x:c r="F51" s="12">
        <x:v>13901.708601521328</x:v>
      </x:c>
      <x:c r="G51" s="12">
        <x:v>2288000</x:v>
      </x:c>
      <x:c r="H51" s="8">
        <x:v>0.20772381509654764</x:v>
      </x:c>
      <x:c r="I51" s="8">
        <x:v>0.20820988882387356</x:v>
      </x:c>
      <x:c r="J51" s="8">
        <x:v>0.12287887653598592</x:v>
      </x:c>
      <x:c r="K51" s="8">
        <x:v>0.12315272088940898</x:v>
      </x:c>
      <x:c r="L51" s="16">
        <x:v>0.14999999999999997</x:v>
      </x:c>
      <x:c r="M51" s="16">
        <x:v>0.15031594792276182</x:v>
      </x:c>
      <x:c r="N51" s="16">
        <x:v>100.2106319485079</x:v>
      </x:c>
      <x:c r="O51" s="1" t="inlineStr">
        <x:is>
          <x:t>Да</x:t>
        </x:is>
      </x:c>
      <x:c r="P51" s="1" t="inlineStr">
        <x:is>
          <x:t>Да</x:t>
        </x:is>
      </x:c>
      <x:c r="Q51" s="1" t="inlineStr">
        <x:is>
          <x:t>Да</x:t>
        </x:is>
      </x:c>
      <x:c r="R51" s="1" t="inlineStr">
        <x:is>
          <x:t>Да</x:t>
        </x:is>
      </x:c>
      <x:c r="S51" s="1" t="inlineStr">
        <x:is>
          <x:t>Да</x:t>
        </x:is>
      </x:c>
    </x:row>
    <x:row r="52" ht="26" customHeight="1">
      <x:c r="A52" s="1" t="inlineStr">
        <x:is>
          <x:t>Корзины 40+: 20%</x:t>
        </x:is>
      </x:c>
      <x:c r="B52" s="1" t="inlineStr">
        <x:is>
          <x:t>H2</x:t>
        </x:is>
      </x:c>
      <x:c r="C52" s="8">
        <x:v>0.14999999999999997</x:v>
      </x:c>
      <x:c r="D52" s="16">
        <x:v>0.16580419836161572</x:v>
      </x:c>
      <x:c r="E52" s="8">
        <x:v>0.011053613224107717</x:v>
      </x:c>
      <x:c r="F52" s="12">
        <x:v>72953.847279110923</x:v>
      </x:c>
      <x:c r="G52" s="12">
        <x:v>6692400</x:v>
      </x:c>
      <x:c r="H52" s="8">
        <x:v>0.20772381509654764</x:v>
      </x:c>
      <x:c r="I52" s="8">
        <x:v>0.21025819192510239</x:v>
      </x:c>
      <x:c r="J52" s="8">
        <x:v>0.12287887653598592</x:v>
      </x:c>
      <x:c r="K52" s="8">
        <x:v>0.12526514043300174</x:v>
      </x:c>
      <x:c r="L52" s="16">
        <x:v>0.14999999999999997</x:v>
      </x:c>
      <x:c r="M52" s="16">
        <x:v>0.15165804198361613</x:v>
      </x:c>
      <x:c r="N52" s="16">
        <x:v>101.10536132241077</x:v>
      </x:c>
      <x:c r="O52" s="1" t="inlineStr">
        <x:is>
          <x:t>Да</x:t>
        </x:is>
      </x:c>
      <x:c r="P52" s="1" t="inlineStr">
        <x:is>
          <x:t>Да</x:t>
        </x:is>
      </x:c>
      <x:c r="Q52" s="1" t="inlineStr">
        <x:is>
          <x:t>Да</x:t>
        </x:is>
      </x:c>
      <x:c r="R52" s="1" t="inlineStr">
        <x:is>
          <x:t>Да</x:t>
        </x:is>
      </x:c>
      <x:c r="S52" s="1" t="inlineStr">
        <x:is>
          <x:t>Да</x:t>
        </x:is>
      </x:c>
    </x:row>
    <x:row r="53" ht="26" customHeight="1">
      <x:c r="A53" s="1" t="inlineStr">
        <x:is>
          <x:t>Корзины 40+: 20%</x:t>
        </x:is>
      </x:c>
      <x:c r="B53" s="1" t="inlineStr">
        <x:is>
          <x:t>H3</x:t>
        </x:is>
      </x:c>
      <x:c r="C53" s="8">
        <x:v>0.14999999999999997</x:v>
      </x:c>
      <x:c r="D53" s="16">
        <x:v>0.099645114101814522</x:v>
      </x:c>
      <x:c r="E53" s="8">
        <x:v>0.006643007606787636</x:v>
      </x:c>
      <x:c r="F53" s="12">
        <x:v>43843.850204798393</x:v>
      </x:c>
      <x:c r="G53" s="12">
        <x:v>4576000</x:v>
      </x:c>
      <x:c r="H53" s="8">
        <x:v>0.20772381509654764</x:v>
      </x:c>
      <x:c r="I53" s="8">
        <x:v>0.20925681685196015</x:v>
      </x:c>
      <x:c r="J53" s="8">
        <x:v>0.12287887653598592</x:v>
      </x:c>
      <x:c r="K53" s="8">
        <x:v>0.12374253949678171</x:v>
      </x:c>
      <x:c r="L53" s="16">
        <x:v>0.14999999999999997</x:v>
      </x:c>
      <x:c r="M53" s="16">
        <x:v>0.15099645114101812</x:v>
      </x:c>
      <x:c r="N53" s="16">
        <x:v>100.66430076067877</x:v>
      </x:c>
      <x:c r="O53" s="1" t="inlineStr">
        <x:is>
          <x:t>Да</x:t>
        </x:is>
      </x:c>
      <x:c r="P53" s="1" t="inlineStr">
        <x:is>
          <x:t>Да</x:t>
        </x:is>
      </x:c>
      <x:c r="Q53" s="1" t="inlineStr">
        <x:is>
          <x:t>Да</x:t>
        </x:is>
      </x:c>
      <x:c r="R53" s="1" t="inlineStr">
        <x:is>
          <x:t>Да</x:t>
        </x:is>
      </x:c>
      <x:c r="S53" s="1" t="inlineStr">
        <x:is>
          <x:t>Да</x:t>
        </x:is>
      </x:c>
    </x:row>
    <x:row r="54" ht="26" customHeight="1">
      <x:c r="A54" s="1" t="inlineStr">
        <x:is>
          <x:t>Корзины 40+: 20%</x:t>
        </x:is>
      </x:c>
      <x:c r="B54" s="1" t="inlineStr">
        <x:is>
          <x:t>H4</x:t>
        </x:is>
      </x:c>
      <x:c r="C54" s="8">
        <x:v>0.14999999999999997</x:v>
      </x:c>
      <x:c r="D54" s="16">
        <x:v>0.17014463136337105</x:v>
      </x:c>
      <x:c r="E54" s="8">
        <x:v>0.011342975424224739</x:v>
      </x:c>
      <x:c r="F54" s="12">
        <x:v>74863.637799883261</x:v>
      </x:c>
      <x:c r="G54" s="12">
        <x:v>7092800</x:v>
      </x:c>
      <x:c r="H54" s="8">
        <x:v>0.20772381509654764</x:v>
      </x:c>
      <x:c r="I54" s="8">
        <x:v>0.21032757460503218</x:v>
      </x:c>
      <x:c r="J54" s="8">
        <x:v>0.12287887653598592</x:v>
      </x:c>
      <x:c r="K54" s="8">
        <x:v>0.12505988882387359</x:v>
      </x:c>
      <x:c r="L54" s="16">
        <x:v>0.14999999999999997</x:v>
      </x:c>
      <x:c r="M54" s="16">
        <x:v>0.15170144631363369</x:v>
      </x:c>
      <x:c r="N54" s="16">
        <x:v>101.13429754242249</x:v>
      </x:c>
      <x:c r="O54" s="1" t="inlineStr">
        <x:is>
          <x:t>Да</x:t>
        </x:is>
      </x:c>
      <x:c r="P54" s="1" t="inlineStr">
        <x:is>
          <x:t>Да</x:t>
        </x:is>
      </x:c>
      <x:c r="Q54" s="1" t="inlineStr">
        <x:is>
          <x:t>Да</x:t>
        </x:is>
      </x:c>
      <x:c r="R54" s="1" t="inlineStr">
        <x:is>
          <x:t>Да</x:t>
        </x:is>
      </x:c>
      <x:c r="S54" s="1" t="inlineStr">
        <x:is>
          <x:t>Да</x:t>
        </x:is>
      </x:c>
    </x:row>
    <x:row r="55" ht="26" customHeight="1">
      <x:c r="A55" s="1" t="inlineStr">
        <x:is>
          <x:t>Корзины 40+: 20%</x:t>
        </x:is>
      </x:c>
      <x:c r="B55" s="1" t="inlineStr">
        <x:is>
          <x:t>H5</x:t>
        </x:is>
      </x:c>
      <x:c r="C55" s="8">
        <x:v>0.14999999999999997</x:v>
      </x:c>
      <x:c r="D55" s="16">
        <x:v>0.032635400819192133</x:v>
      </x:c>
      <x:c r="E55" s="8">
        <x:v>0.0021756933879461425</x:v>
      </x:c>
      <x:c r="F55" s="12">
        <x:v>14359.576360444538</x:v>
      </x:c>
      <x:c r="G55" s="12">
        <x:v>1830400.0000000002</x:v>
      </x:c>
      <x:c r="H55" s="8">
        <x:v>0.20772381509654764</x:v>
      </x:c>
      <x:c r="I55" s="8">
        <x:v>0.20820198946752486</x:v>
      </x:c>
      <x:c r="J55" s="8">
        <x:v>0.12287887653598592</x:v>
      </x:c>
      <x:c r="K55" s="8">
        <x:v>0.12538929198361612</x:v>
      </x:c>
      <x:c r="L55" s="16">
        <x:v>0.14999999999999997</x:v>
      </x:c>
      <x:c r="M55" s="16">
        <x:v>0.15032635400819189</x:v>
      </x:c>
      <x:c r="N55" s="16">
        <x:v>100.21756933879462</x:v>
      </x:c>
      <x:c r="O55" s="1" t="inlineStr">
        <x:is>
          <x:t>Да</x:t>
        </x:is>
      </x:c>
      <x:c r="P55" s="1" t="inlineStr">
        <x:is>
          <x:t>Да</x:t>
        </x:is>
      </x:c>
      <x:c r="Q55" s="1" t="inlineStr">
        <x:is>
          <x:t>Да</x:t>
        </x:is>
      </x:c>
      <x:c r="R55" s="1" t="inlineStr">
        <x:is>
          <x:t>Да</x:t>
        </x:is>
      </x:c>
      <x:c r="S55" s="1" t="inlineStr">
        <x:is>
          <x:t>Да</x:t>
        </x:is>
      </x:c>
    </x:row>
    <x:row r="56" ht="26" customHeight="1">
      <x:c r="A56" s="1" t="inlineStr">
        <x:is>
          <x:t>Корзины 40+: 20%</x:t>
        </x:is>
      </x:c>
      <x:c r="B56" s="1" t="inlineStr">
        <x:is>
          <x:t>H6.1</x:t>
        </x:is>
      </x:c>
      <x:c r="C56" s="8">
        <x:v>0.14999999999999997</x:v>
      </x:c>
      <x:c r="D56" s="16">
        <x:v>0.018761761263899758</x:v>
      </x:c>
      <x:c r="E56" s="8">
        <x:v>0.0012507840842599842</x:v>
      </x:c>
      <x:c r="F56" s="12">
        <x:v>8255.174956115894</x:v>
      </x:c>
      <x:c r="G56" s="12">
        <x:v>1029600</x:v>
      </x:c>
      <x:c r="H56" s="8">
        <x:v>0.20772381509654764</x:v>
      </x:c>
      <x:c r="I56" s="8">
        <x:v>0.20799871269748382</x:v>
      </x:c>
      <x:c r="J56" s="8">
        <x:v>0.12287887653598592</x:v>
      </x:c>
      <x:c r="K56" s="8">
        <x:v>0.12432208894090108</x:v>
      </x:c>
      <x:c r="L56" s="16">
        <x:v>0.14999999999999997</x:v>
      </x:c>
      <x:c r="M56" s="16">
        <x:v>0.15018761761263896</x:v>
      </x:c>
      <x:c r="N56" s="16">
        <x:v>100.12507840842601</x:v>
      </x:c>
      <x:c r="O56" s="1" t="inlineStr">
        <x:is>
          <x:t>Да</x:t>
        </x:is>
      </x:c>
      <x:c r="P56" s="1" t="inlineStr">
        <x:is>
          <x:t>Да</x:t>
        </x:is>
      </x:c>
      <x:c r="Q56" s="1" t="inlineStr">
        <x:is>
          <x:t>Да</x:t>
        </x:is>
      </x:c>
      <x:c r="R56" s="1" t="inlineStr">
        <x:is>
          <x:t>Да</x:t>
        </x:is>
      </x:c>
      <x:c r="S56" s="1" t="inlineStr">
        <x:is>
          <x:t>Да</x:t>
        </x:is>
      </x:c>
    </x:row>
    <x:row r="57" ht="26" customHeight="1">
      <x:c r="A57" s="1" t="inlineStr">
        <x:is>
          <x:t>Корзины 40+: 20%</x:t>
        </x:is>
      </x:c>
      <x:c r="B57" s="1" t="inlineStr">
        <x:is>
          <x:t>H6.2</x:t>
        </x:is>
      </x:c>
      <x:c r="C57" s="8">
        <x:v>0.14999999999999997</x:v>
      </x:c>
      <x:c r="D57" s="16">
        <x:v>0.018761761263899758</x:v>
      </x:c>
      <x:c r="E57" s="8">
        <x:v>0.0012507840842599842</x:v>
      </x:c>
      <x:c r="F57" s="12">
        <x:v>8255.174956115894</x:v>
      </x:c>
      <x:c r="G57" s="12">
        <x:v>1029600</x:v>
      </x:c>
      <x:c r="H57" s="8">
        <x:v>0.20772381509654764</x:v>
      </x:c>
      <x:c r="I57" s="8">
        <x:v>0.20799871269748382</x:v>
      </x:c>
      <x:c r="J57" s="8">
        <x:v>0.12287887653598592</x:v>
      </x:c>
      <x:c r="K57" s="8">
        <x:v>0.12432208894090108</x:v>
      </x:c>
      <x:c r="L57" s="16">
        <x:v>0.14999999999999997</x:v>
      </x:c>
      <x:c r="M57" s="16">
        <x:v>0.15018761761263896</x:v>
      </x:c>
      <x:c r="N57" s="16">
        <x:v>100.12507840842601</x:v>
      </x:c>
      <x:c r="O57" s="1" t="inlineStr">
        <x:is>
          <x:t>Да</x:t>
        </x:is>
      </x:c>
      <x:c r="P57" s="1" t="inlineStr">
        <x:is>
          <x:t>Да</x:t>
        </x:is>
      </x:c>
      <x:c r="Q57" s="1" t="inlineStr">
        <x:is>
          <x:t>Да</x:t>
        </x:is>
      </x:c>
      <x:c r="R57" s="1" t="inlineStr">
        <x:is>
          <x:t>Да</x:t>
        </x:is>
      </x:c>
      <x:c r="S57" s="1" t="inlineStr">
        <x:is>
          <x:t>Да</x:t>
        </x:is>
      </x:c>
    </x:row>
    <x:row r="58" ht="26" customHeight="1">
      <x:c r="A58" s="1" t="inlineStr">
        <x:is>
          <x:t>Корзины 40+: 20%</x:t>
        </x:is>
      </x:c>
      <x:c r="B58" s="1" t="inlineStr">
        <x:is>
          <x:t>H6.3</x:t>
        </x:is>
      </x:c>
      <x:c r="C58" s="8">
        <x:v>0.14999999999999997</x:v>
      </x:c>
      <x:c r="D58" s="16">
        <x:v>0.018761761263899758</x:v>
      </x:c>
      <x:c r="E58" s="8">
        <x:v>0.0012507840842599842</x:v>
      </x:c>
      <x:c r="F58" s="12">
        <x:v>8255.174956115894</x:v>
      </x:c>
      <x:c r="G58" s="12">
        <x:v>1029600</x:v>
      </x:c>
      <x:c r="H58" s="8">
        <x:v>0.20772381509654764</x:v>
      </x:c>
      <x:c r="I58" s="8">
        <x:v>0.20799871269748382</x:v>
      </x:c>
      <x:c r="J58" s="8">
        <x:v>0.12287887653598592</x:v>
      </x:c>
      <x:c r="K58" s="8">
        <x:v>0.12432208894090108</x:v>
      </x:c>
      <x:c r="L58" s="16">
        <x:v>0.14999999999999997</x:v>
      </x:c>
      <x:c r="M58" s="16">
        <x:v>0.15018761761263896</x:v>
      </x:c>
      <x:c r="N58" s="16">
        <x:v>100.12507840842601</x:v>
      </x:c>
      <x:c r="O58" s="1" t="inlineStr">
        <x:is>
          <x:t>Да</x:t>
        </x:is>
      </x:c>
      <x:c r="P58" s="1" t="inlineStr">
        <x:is>
          <x:t>Да</x:t>
        </x:is>
      </x:c>
      <x:c r="Q58" s="1" t="inlineStr">
        <x:is>
          <x:t>Да</x:t>
        </x:is>
      </x:c>
      <x:c r="R58" s="1" t="inlineStr">
        <x:is>
          <x:t>Да</x:t>
        </x:is>
      </x:c>
      <x:c r="S58" s="1" t="inlineStr">
        <x:is>
          <x:t>Да</x:t>
        </x:is>
      </x:c>
    </x:row>
    <x:row r="59" ht="26" customHeight="1">
      <x:c r="A59" s="1" t="inlineStr">
        <x:is>
          <x:t>Корзины 40+: 30%</x:t>
        </x:is>
      </x:c>
      <x:c r="B59" s="1" t="inlineStr">
        <x:is>
          <x:t>H1</x:t>
        </x:is>
      </x:c>
      <x:c r="C59" s="8">
        <x:v>0.14999999999999997</x:v>
      </x:c>
      <x:c r="D59" s="16">
        <x:v>0.052860517846693447</x:v>
      </x:c>
      <x:c r="E59" s="8">
        <x:v>0.0035240345231128973</x:v>
      </x:c>
      <x:c r="F59" s="12">
        <x:v>23258.62785254512</x:v>
      </x:c>
      <x:c r="G59" s="12">
        <x:v>3432000</x:v>
      </x:c>
      <x:c r="H59" s="8">
        <x:v>0.20772381509654764</x:v>
      </x:c>
      <x:c r="I59" s="8">
        <x:v>0.20853705383265062</x:v>
      </x:c>
      <x:c r="J59" s="8">
        <x:v>0.12287887653598596</x:v>
      </x:c>
      <x:c r="K59" s="8">
        <x:v>0.12333703920421298</x:v>
      </x:c>
      <x:c r="L59" s="16">
        <x:v>0.14999999999999997</x:v>
      </x:c>
      <x:c r="M59" s="16">
        <x:v>0.15052860517846692</x:v>
      </x:c>
      <x:c r="N59" s="16">
        <x:v>100.35240345231129</x:v>
      </x:c>
      <x:c r="O59" s="1" t="inlineStr">
        <x:is>
          <x:t>Да</x:t>
        </x:is>
      </x:c>
      <x:c r="P59" s="1" t="inlineStr">
        <x:is>
          <x:t>Да</x:t>
        </x:is>
      </x:c>
      <x:c r="Q59" s="1" t="inlineStr">
        <x:is>
          <x:t>Да</x:t>
        </x:is>
      </x:c>
      <x:c r="R59" s="1" t="inlineStr">
        <x:is>
          <x:t>Да</x:t>
        </x:is>
      </x:c>
      <x:c r="S59" s="1" t="inlineStr">
        <x:is>
          <x:t>Да</x:t>
        </x:is>
      </x:c>
    </x:row>
    <x:row r="60" ht="26" customHeight="1">
      <x:c r="A60" s="1" t="inlineStr">
        <x:is>
          <x:t>Корзины 40+: 30%</x:t>
        </x:is>
      </x:c>
      <x:c r="B60" s="1" t="inlineStr">
        <x:is>
          <x:t>H2</x:t>
        </x:is>
      </x:c>
      <x:c r="C60" s="8">
        <x:v>0.14999999999999997</x:v>
      </x:c>
      <x:c r="D60" s="16">
        <x:v>0.1658041983616115</x:v>
      </x:c>
      <x:c r="E60" s="8">
        <x:v>0.011053613224107434</x:v>
      </x:c>
      <x:c r="F60" s="12">
        <x:v>72953.847279109061</x:v>
      </x:c>
      <x:c r="G60" s="12">
        <x:v>6692400</x:v>
      </x:c>
      <x:c r="H60" s="8">
        <x:v>0.20772381509654764</x:v>
      </x:c>
      <x:c r="I60" s="8">
        <x:v>0.21025819192510231</x:v>
      </x:c>
      <x:c r="J60" s="8">
        <x:v>0.12287887653598596</x:v>
      </x:c>
      <x:c r="K60" s="8">
        <x:v>0.12526514043300177</x:v>
      </x:c>
      <x:c r="L60" s="16">
        <x:v>0.14999999999999997</x:v>
      </x:c>
      <x:c r="M60" s="16">
        <x:v>0.1516580419836161</x:v>
      </x:c>
      <x:c r="N60" s="16">
        <x:v>101.10536132241073</x:v>
      </x:c>
      <x:c r="O60" s="1" t="inlineStr">
        <x:is>
          <x:t>Да</x:t>
        </x:is>
      </x:c>
      <x:c r="P60" s="1" t="inlineStr">
        <x:is>
          <x:t>Да</x:t>
        </x:is>
      </x:c>
      <x:c r="Q60" s="1" t="inlineStr">
        <x:is>
          <x:t>Да</x:t>
        </x:is>
      </x:c>
      <x:c r="R60" s="1" t="inlineStr">
        <x:is>
          <x:t>Да</x:t>
        </x:is>
      </x:c>
      <x:c r="S60" s="1" t="inlineStr">
        <x:is>
          <x:t>Да</x:t>
        </x:is>
      </x:c>
    </x:row>
    <x:row r="61" ht="26" customHeight="1">
      <x:c r="A61" s="1" t="inlineStr">
        <x:is>
          <x:t>Корзины 40+: 30%</x:t>
        </x:is>
      </x:c>
      <x:c r="B61" s="1" t="inlineStr">
        <x:is>
          <x:t>H3</x:t>
        </x:is>
      </x:c>
      <x:c r="C61" s="8">
        <x:v>0.14999999999999997</x:v>
      </x:c>
      <x:c r="D61" s="16">
        <x:v>0.11559440827969335</x:v>
      </x:c>
      <x:c r="E61" s="8">
        <x:v>0.007706293885312891</x:v>
      </x:c>
      <x:c r="F61" s="12">
        <x:v>50861.539643065073</x:v>
      </x:c>
      <x:c r="G61" s="12">
        <x:v>5434000</x:v>
      </x:c>
      <x:c r="H61" s="8">
        <x:v>0.20772381509654764</x:v>
      </x:c>
      <x:c r="I61" s="8">
        <x:v>0.20950219060854297</x:v>
      </x:c>
      <x:c r="J61" s="8">
        <x:v>0.12287887653598596</x:v>
      </x:c>
      <x:c r="K61" s="8">
        <x:v>0.12388077823288472</x:v>
      </x:c>
      <x:c r="L61" s="16">
        <x:v>0.14999999999999997</x:v>
      </x:c>
      <x:c r="M61" s="16">
        <x:v>0.15115594408279692</x:v>
      </x:c>
      <x:c r="N61" s="16">
        <x:v>100.77062938853128</x:v>
      </x:c>
      <x:c r="O61" s="1" t="inlineStr">
        <x:is>
          <x:t>Да</x:t>
        </x:is>
      </x:c>
      <x:c r="P61" s="1" t="inlineStr">
        <x:is>
          <x:t>Да</x:t>
        </x:is>
      </x:c>
      <x:c r="Q61" s="1" t="inlineStr">
        <x:is>
          <x:t>Да</x:t>
        </x:is>
      </x:c>
      <x:c r="R61" s="1" t="inlineStr">
        <x:is>
          <x:t>Да</x:t>
        </x:is>
      </x:c>
      <x:c r="S61" s="1" t="inlineStr">
        <x:is>
          <x:t>Да</x:t>
        </x:is>
      </x:c>
    </x:row>
    <x:row r="62" ht="26" customHeight="1">
      <x:c r="A62" s="1" t="inlineStr">
        <x:is>
          <x:t>Корзины 40+: 30%</x:t>
        </x:is>
      </x:c>
      <x:c r="B62" s="1" t="inlineStr">
        <x:is>
          <x:t>H4</x:t>
        </x:is>
      </x:c>
      <x:c r="C62" s="8">
        <x:v>0.14999999999999997</x:v>
      </x:c>
      <x:c r="D62" s="16">
        <x:v>0.17609004900526382</x:v>
      </x:c>
      <x:c r="E62" s="8">
        <x:v>0.011739336600350923</x:v>
      </x:c>
      <x:c r="F62" s="12">
        <x:v>77479.621562316082</x:v>
      </x:c>
      <x:c r="G62" s="12">
        <x:v>7436000</x:v>
      </x:c>
      <x:c r="H62" s="8">
        <x:v>0.20772381509654764</x:v>
      </x:c>
      <x:c r="I62" s="8">
        <x:v>0.21041858177296657</x:v>
      </x:c>
      <x:c r="J62" s="8">
        <x:v>0.12287887653598596</x:v>
      </x:c>
      <x:c r="K62" s="8">
        <x:v>0.12515435196021063</x:v>
      </x:c>
      <x:c r="L62" s="16">
        <x:v>0.14999999999999997</x:v>
      </x:c>
      <x:c r="M62" s="16">
        <x:v>0.15176090049005261</x:v>
      </x:c>
      <x:c r="N62" s="16">
        <x:v>101.17393366003509</x:v>
      </x:c>
      <x:c r="O62" s="1" t="inlineStr">
        <x:is>
          <x:t>Да</x:t>
        </x:is>
      </x:c>
      <x:c r="P62" s="1" t="inlineStr">
        <x:is>
          <x:t>Да</x:t>
        </x:is>
      </x:c>
      <x:c r="Q62" s="1" t="inlineStr">
        <x:is>
          <x:t>Да</x:t>
        </x:is>
      </x:c>
      <x:c r="R62" s="1" t="inlineStr">
        <x:is>
          <x:t>Да</x:t>
        </x:is>
      </x:c>
      <x:c r="S62" s="1" t="inlineStr">
        <x:is>
          <x:t>Да</x:t>
        </x:is>
      </x:c>
    </x:row>
    <x:row r="63" ht="26" customHeight="1">
      <x:c r="A63" s="1" t="inlineStr">
        <x:is>
          <x:t>Корзины 40+: 30%</x:t>
        </x:is>
      </x:c>
      <x:c r="B63" s="1" t="inlineStr">
        <x:is>
          <x:t>H5</x:t>
        </x:is>
      </x:c>
      <x:c r="C63" s="8">
        <x:v>0.14999999999999997</x:v>
      </x:c>
      <x:c r="D63" s="16">
        <x:v>0.032635400819192133</x:v>
      </x:c>
      <x:c r="E63" s="8">
        <x:v>0.0021756933879461425</x:v>
      </x:c>
      <x:c r="F63" s="12">
        <x:v>14359.576360444538</x:v>
      </x:c>
      <x:c r="G63" s="12">
        <x:v>1830400</x:v>
      </x:c>
      <x:c r="H63" s="8">
        <x:v>0.20772381509654764</x:v>
      </x:c>
      <x:c r="I63" s="8">
        <x:v>0.20820198946752486</x:v>
      </x:c>
      <x:c r="J63" s="8">
        <x:v>0.12287887653598596</x:v>
      </x:c>
      <x:c r="K63" s="8">
        <x:v>0.12538929198361612</x:v>
      </x:c>
      <x:c r="L63" s="16">
        <x:v>0.14999999999999997</x:v>
      </x:c>
      <x:c r="M63" s="16">
        <x:v>0.15032635400819189</x:v>
      </x:c>
      <x:c r="N63" s="16">
        <x:v>100.21756933879462</x:v>
      </x:c>
      <x:c r="O63" s="1" t="inlineStr">
        <x:is>
          <x:t>Да</x:t>
        </x:is>
      </x:c>
      <x:c r="P63" s="1" t="inlineStr">
        <x:is>
          <x:t>Да</x:t>
        </x:is>
      </x:c>
      <x:c r="Q63" s="1" t="inlineStr">
        <x:is>
          <x:t>Да</x:t>
        </x:is>
      </x:c>
      <x:c r="R63" s="1" t="inlineStr">
        <x:is>
          <x:t>Да</x:t>
        </x:is>
      </x:c>
      <x:c r="S63" s="1" t="inlineStr">
        <x:is>
          <x:t>Да</x:t>
        </x:is>
      </x:c>
    </x:row>
    <x:row r="64" ht="26" customHeight="1">
      <x:c r="A64" s="1" t="inlineStr">
        <x:is>
          <x:t>Корзины 40+: 30%</x:t>
        </x:is>
      </x:c>
      <x:c r="B64" s="1" t="inlineStr">
        <x:is>
          <x:t>H6.1</x:t>
        </x:is>
      </x:c>
      <x:c r="C64" s="8">
        <x:v>0.14999999999999997</x:v>
      </x:c>
      <x:c r="D64" s="16">
        <x:v>0.018761761263895525</x:v>
      </x:c>
      <x:c r="E64" s="8">
        <x:v>0.0012507840842597019</x:v>
      </x:c>
      <x:c r="F64" s="12">
        <x:v>8255.1749561140314</x:v>
      </x:c>
      <x:c r="G64" s="12">
        <x:v>1029600</x:v>
      </x:c>
      <x:c r="H64" s="8">
        <x:v>0.20772381509654764</x:v>
      </x:c>
      <x:c r="I64" s="8">
        <x:v>0.20799871269748388</x:v>
      </x:c>
      <x:c r="J64" s="8">
        <x:v>0.12287887653598596</x:v>
      </x:c>
      <x:c r="K64" s="8">
        <x:v>0.12432208894090108</x:v>
      </x:c>
      <x:c r="L64" s="16">
        <x:v>0.14999999999999997</x:v>
      </x:c>
      <x:c r="M64" s="16">
        <x:v>0.15018761761263894</x:v>
      </x:c>
      <x:c r="N64" s="16">
        <x:v>100.12507840842596</x:v>
      </x:c>
      <x:c r="O64" s="1" t="inlineStr">
        <x:is>
          <x:t>Да</x:t>
        </x:is>
      </x:c>
      <x:c r="P64" s="1" t="inlineStr">
        <x:is>
          <x:t>Да</x:t>
        </x:is>
      </x:c>
      <x:c r="Q64" s="1" t="inlineStr">
        <x:is>
          <x:t>Да</x:t>
        </x:is>
      </x:c>
      <x:c r="R64" s="1" t="inlineStr">
        <x:is>
          <x:t>Да</x:t>
        </x:is>
      </x:c>
      <x:c r="S64" s="1" t="inlineStr">
        <x:is>
          <x:t>Да</x:t>
        </x:is>
      </x:c>
    </x:row>
    <x:row r="65" ht="26" customHeight="1">
      <x:c r="A65" s="1" t="inlineStr">
        <x:is>
          <x:t>Корзины 40+: 30%</x:t>
        </x:is>
      </x:c>
      <x:c r="B65" s="1" t="inlineStr">
        <x:is>
          <x:t>H6.2</x:t>
        </x:is>
      </x:c>
      <x:c r="C65" s="8">
        <x:v>0.14999999999999997</x:v>
      </x:c>
      <x:c r="D65" s="16">
        <x:v>0.018761761263895525</x:v>
      </x:c>
      <x:c r="E65" s="8">
        <x:v>0.0012507840842597019</x:v>
      </x:c>
      <x:c r="F65" s="12">
        <x:v>8255.1749561140314</x:v>
      </x:c>
      <x:c r="G65" s="12">
        <x:v>1029600</x:v>
      </x:c>
      <x:c r="H65" s="8">
        <x:v>0.20772381509654764</x:v>
      </x:c>
      <x:c r="I65" s="8">
        <x:v>0.20799871269748388</x:v>
      </x:c>
      <x:c r="J65" s="8">
        <x:v>0.12287887653598596</x:v>
      </x:c>
      <x:c r="K65" s="8">
        <x:v>0.12432208894090108</x:v>
      </x:c>
      <x:c r="L65" s="16">
        <x:v>0.14999999999999997</x:v>
      </x:c>
      <x:c r="M65" s="16">
        <x:v>0.15018761761263894</x:v>
      </x:c>
      <x:c r="N65" s="16">
        <x:v>100.12507840842596</x:v>
      </x:c>
      <x:c r="O65" s="1" t="inlineStr">
        <x:is>
          <x:t>Да</x:t>
        </x:is>
      </x:c>
      <x:c r="P65" s="1" t="inlineStr">
        <x:is>
          <x:t>Да</x:t>
        </x:is>
      </x:c>
      <x:c r="Q65" s="1" t="inlineStr">
        <x:is>
          <x:t>Да</x:t>
        </x:is>
      </x:c>
      <x:c r="R65" s="1" t="inlineStr">
        <x:is>
          <x:t>Да</x:t>
        </x:is>
      </x:c>
      <x:c r="S65" s="1" t="inlineStr">
        <x:is>
          <x:t>Да</x:t>
        </x:is>
      </x:c>
    </x:row>
    <x:row r="66" ht="26" customHeight="1">
      <x:c r="A66" s="1" t="inlineStr">
        <x:is>
          <x:t>Корзины 40+: 30%</x:t>
        </x:is>
      </x:c>
      <x:c r="B66" s="1" t="inlineStr">
        <x:is>
          <x:t>H6.3</x:t>
        </x:is>
      </x:c>
      <x:c r="C66" s="8">
        <x:v>0.14999999999999997</x:v>
      </x:c>
      <x:c r="D66" s="16">
        <x:v>0.018761761263895525</x:v>
      </x:c>
      <x:c r="E66" s="8">
        <x:v>0.0012507840842597019</x:v>
      </x:c>
      <x:c r="F66" s="12">
        <x:v>8255.1749561140314</x:v>
      </x:c>
      <x:c r="G66" s="12">
        <x:v>1029600</x:v>
      </x:c>
      <x:c r="H66" s="8">
        <x:v>0.20772381509654764</x:v>
      </x:c>
      <x:c r="I66" s="8">
        <x:v>0.20799871269748388</x:v>
      </x:c>
      <x:c r="J66" s="8">
        <x:v>0.12287887653598596</x:v>
      </x:c>
      <x:c r="K66" s="8">
        <x:v>0.12432208894090108</x:v>
      </x:c>
      <x:c r="L66" s="16">
        <x:v>0.14999999999999997</x:v>
      </x:c>
      <x:c r="M66" s="16">
        <x:v>0.15018761761263894</x:v>
      </x:c>
      <x:c r="N66" s="16">
        <x:v>100.12507840842596</x:v>
      </x:c>
      <x:c r="O66" s="1" t="inlineStr">
        <x:is>
          <x:t>Да</x:t>
        </x:is>
      </x:c>
      <x:c r="P66" s="1" t="inlineStr">
        <x:is>
          <x:t>Да</x:t>
        </x:is>
      </x:c>
      <x:c r="Q66" s="1" t="inlineStr">
        <x:is>
          <x:t>Да</x:t>
        </x:is>
      </x:c>
      <x:c r="R66" s="1" t="inlineStr">
        <x:is>
          <x:t>Да</x:t>
        </x:is>
      </x:c>
      <x:c r="S66" s="1" t="inlineStr">
        <x:is>
          <x:t>Да</x:t>
        </x:is>
      </x:c>
    </x:row>
    <x:row r="67" ht="26" customHeight="1">
      <x:c r="A67" s="1" t="inlineStr">
        <x:is>
          <x:t>Корзины 40+: 40%</x:t>
        </x:is>
      </x:c>
      <x:c r="B67" s="1" t="inlineStr">
        <x:is>
          <x:t>H1</x:t>
        </x:is>
      </x:c>
      <x:c r="C67" s="8">
        <x:v>0.14999999999999999</x:v>
      </x:c>
      <x:c r="D67" s="16">
        <x:v>0.077771796372147609</x:v>
      </x:c>
      <x:c r="E67" s="8">
        <x:v>0.0051847864248098412</x:v>
      </x:c>
      <x:c r="F67" s="12">
        <x:v>34219.590403744951</x:v>
      </x:c>
      <x:c r="G67" s="12">
        <x:v>4576000</x:v>
      </x:c>
      <x:c r="H67" s="8">
        <x:v>0.20772381509654766</x:v>
      </x:c>
      <x:c r="I67" s="8">
        <x:v>0.20892030427150379</x:v>
      </x:c>
      <x:c r="J67" s="8">
        <x:v>0.12287887653598596</x:v>
      </x:c>
      <x:c r="K67" s="8">
        <x:v>0.12355295494441192</x:v>
      </x:c>
      <x:c r="L67" s="16">
        <x:v>0.14999999999999999</x:v>
      </x:c>
      <x:c r="M67" s="16">
        <x:v>0.15077771796372147</x:v>
      </x:c>
      <x:c r="N67" s="16">
        <x:v>100.51847864248099</x:v>
      </x:c>
      <x:c r="O67" s="1" t="inlineStr">
        <x:is>
          <x:t>Да</x:t>
        </x:is>
      </x:c>
      <x:c r="P67" s="1" t="inlineStr">
        <x:is>
          <x:t>Да</x:t>
        </x:is>
      </x:c>
      <x:c r="Q67" s="1" t="inlineStr">
        <x:is>
          <x:t>Да</x:t>
        </x:is>
      </x:c>
      <x:c r="R67" s="1" t="inlineStr">
        <x:is>
          <x:t>Да</x:t>
        </x:is>
      </x:c>
      <x:c r="S67" s="1" t="inlineStr">
        <x:is>
          <x:t>Да</x:t>
        </x:is>
      </x:c>
    </x:row>
    <x:row r="68" ht="26" customHeight="1">
      <x:c r="A68" s="1" t="inlineStr">
        <x:is>
          <x:t>Корзины 40+: 40%</x:t>
        </x:is>
      </x:c>
      <x:c r="B68" s="1" t="inlineStr">
        <x:is>
          <x:t>H2</x:t>
        </x:is>
      </x:c>
      <x:c r="C68" s="8">
        <x:v>0.14999999999999999</x:v>
      </x:c>
      <x:c r="D68" s="16">
        <x:v>0.16580419836161361</x:v>
      </x:c>
      <x:c r="E68" s="8">
        <x:v>0.011053613224107575</x:v>
      </x:c>
      <x:c r="F68" s="12">
        <x:v>72953.847279109992</x:v>
      </x:c>
      <x:c r="G68" s="12">
        <x:v>6692400</x:v>
      </x:c>
      <x:c r="H68" s="8">
        <x:v>0.20772381509654766</x:v>
      </x:c>
      <x:c r="I68" s="8">
        <x:v>0.21025819192510239</x:v>
      </x:c>
      <x:c r="J68" s="8">
        <x:v>0.12287887653598596</x:v>
      </x:c>
      <x:c r="K68" s="8">
        <x:v>0.12526514043300177</x:v>
      </x:c>
      <x:c r="L68" s="16">
        <x:v>0.14999999999999999</x:v>
      </x:c>
      <x:c r="M68" s="16">
        <x:v>0.15165804198361613</x:v>
      </x:c>
      <x:c r="N68" s="16">
        <x:v>101.10536132241076</x:v>
      </x:c>
      <x:c r="O68" s="1" t="inlineStr">
        <x:is>
          <x:t>Да</x:t>
        </x:is>
      </x:c>
      <x:c r="P68" s="1" t="inlineStr">
        <x:is>
          <x:t>Да</x:t>
        </x:is>
      </x:c>
      <x:c r="Q68" s="1" t="inlineStr">
        <x:is>
          <x:t>Да</x:t>
        </x:is>
      </x:c>
      <x:c r="R68" s="1" t="inlineStr">
        <x:is>
          <x:t>Да</x:t>
        </x:is>
      </x:c>
      <x:c r="S68" s="1" t="inlineStr">
        <x:is>
          <x:t>Да</x:t>
        </x:is>
      </x:c>
    </x:row>
    <x:row r="69" ht="26" customHeight="1">
      <x:c r="A69" s="1" t="inlineStr">
        <x:is>
          <x:t>Корзины 40+: 40%</x:t>
        </x:is>
      </x:c>
      <x:c r="B69" s="1" t="inlineStr">
        <x:is>
          <x:t>H3</x:t>
        </x:is>
      </x:c>
      <x:c r="C69" s="8">
        <x:v>0.14999999999999999</x:v>
      </x:c>
      <x:c r="D69" s="16">
        <x:v>0.13427786717378451</x:v>
      </x:c>
      <x:c r="E69" s="8">
        <x:v>0.0089518578115856326</x:v>
      </x:c>
      <x:c r="F69" s="12">
        <x:v>59082.261556465179</x:v>
      </x:c>
      <x:c r="G69" s="12">
        <x:v>6292000</x:v>
      </x:c>
      <x:c r="H69" s="8">
        <x:v>0.20772381509654766</x:v>
      </x:c>
      <x:c r="I69" s="8">
        <x:v>0.20978962843768287</x:v>
      </x:c>
      <x:c r="J69" s="8">
        <x:v>0.12287887653598596</x:v>
      </x:c>
      <x:c r="K69" s="8">
        <x:v>0.12404271503803393</x:v>
      </x:c>
      <x:c r="L69" s="16">
        <x:v>0.14999999999999999</x:v>
      </x:c>
      <x:c r="M69" s="16">
        <x:v>0.15134277867173784</x:v>
      </x:c>
      <x:c r="N69" s="16">
        <x:v>100.89518578115857</x:v>
      </x:c>
      <x:c r="O69" s="1" t="inlineStr">
        <x:is>
          <x:t>Да</x:t>
        </x:is>
      </x:c>
      <x:c r="P69" s="1" t="inlineStr">
        <x:is>
          <x:t>Да</x:t>
        </x:is>
      </x:c>
      <x:c r="Q69" s="1" t="inlineStr">
        <x:is>
          <x:t>Да</x:t>
        </x:is>
      </x:c>
      <x:c r="R69" s="1" t="inlineStr">
        <x:is>
          <x:t>Да</x:t>
        </x:is>
      </x:c>
      <x:c r="S69" s="1" t="inlineStr">
        <x:is>
          <x:t>Да</x:t>
        </x:is>
      </x:c>
    </x:row>
    <x:row r="70" ht="26" customHeight="1">
      <x:c r="A70" s="1" t="inlineStr">
        <x:is>
          <x:t>Корзины 40+: 40%</x:t>
        </x:is>
      </x:c>
      <x:c r="B70" s="1" t="inlineStr">
        <x:is>
          <x:t>H4</x:t>
        </x:is>
      </x:c>
      <x:c r="C70" s="8">
        <x:v>0.14999999999999999</x:v>
      </x:c>
      <x:c r="D70" s="16">
        <x:v>0.18305468110005921</x:v>
      </x:c>
      <x:c r="E70" s="8">
        <x:v>0.012203645406670615</x:v>
      </x:c>
      <x:c r="F70" s="12">
        <x:v>80544.059684026055</x:v>
      </x:c>
      <x:c r="G70" s="12">
        <x:v>7779200</x:v>
      </x:c>
      <x:c r="H70" s="8">
        <x:v>0.20772381509654766</x:v>
      </x:c>
      <x:c r="I70" s="8">
        <x:v>0.21052519016968987</x:v>
      </x:c>
      <x:c r="J70" s="8">
        <x:v>0.12287887653598596</x:v>
      </x:c>
      <x:c r="K70" s="8">
        <x:v>0.12526500877706262</x:v>
      </x:c>
      <x:c r="L70" s="16">
        <x:v>0.14999999999999999</x:v>
      </x:c>
      <x:c r="M70" s="16">
        <x:v>0.15183054681100058</x:v>
      </x:c>
      <x:c r="N70" s="16">
        <x:v>101.22036454066706</x:v>
      </x:c>
      <x:c r="O70" s="1" t="inlineStr">
        <x:is>
          <x:t>Да</x:t>
        </x:is>
      </x:c>
      <x:c r="P70" s="1" t="inlineStr">
        <x:is>
          <x:t>Да</x:t>
        </x:is>
      </x:c>
      <x:c r="Q70" s="1" t="inlineStr">
        <x:is>
          <x:t>Да</x:t>
        </x:is>
      </x:c>
      <x:c r="R70" s="1" t="inlineStr">
        <x:is>
          <x:t>Да</x:t>
        </x:is>
      </x:c>
      <x:c r="S70" s="1" t="inlineStr">
        <x:is>
          <x:t>Да</x:t>
        </x:is>
      </x:c>
    </x:row>
    <x:row r="71" ht="26" customHeight="1">
      <x:c r="A71" s="1" t="inlineStr">
        <x:is>
          <x:t>Корзины 40+: 40%</x:t>
        </x:is>
      </x:c>
      <x:c r="B71" s="1" t="inlineStr">
        <x:is>
          <x:t>H5</x:t>
        </x:is>
      </x:c>
      <x:c r="C71" s="8">
        <x:v>0.14999999999999999</x:v>
      </x:c>
      <x:c r="D71" s="16">
        <x:v>0.032635400819192133</x:v>
      </x:c>
      <x:c r="E71" s="8">
        <x:v>0.002175693387946142</x:v>
      </x:c>
      <x:c r="F71" s="12">
        <x:v>14359.576360444538</x:v>
      </x:c>
      <x:c r="G71" s="12">
        <x:v>1830400</x:v>
      </x:c>
      <x:c r="H71" s="8">
        <x:v>0.20772381509654766</x:v>
      </x:c>
      <x:c r="I71" s="8">
        <x:v>0.20820198946752486</x:v>
      </x:c>
      <x:c r="J71" s="8">
        <x:v>0.12287887653598596</x:v>
      </x:c>
      <x:c r="K71" s="8">
        <x:v>0.12538929198361615</x:v>
      </x:c>
      <x:c r="L71" s="16">
        <x:v>0.14999999999999999</x:v>
      </x:c>
      <x:c r="M71" s="16">
        <x:v>0.15032635400819191</x:v>
      </x:c>
      <x:c r="N71" s="16">
        <x:v>100.21756933879462</x:v>
      </x:c>
      <x:c r="O71" s="1" t="inlineStr">
        <x:is>
          <x:t>Да</x:t>
        </x:is>
      </x:c>
      <x:c r="P71" s="1" t="inlineStr">
        <x:is>
          <x:t>Да</x:t>
        </x:is>
      </x:c>
      <x:c r="Q71" s="1" t="inlineStr">
        <x:is>
          <x:t>Да</x:t>
        </x:is>
      </x:c>
      <x:c r="R71" s="1" t="inlineStr">
        <x:is>
          <x:t>Да</x:t>
        </x:is>
      </x:c>
      <x:c r="S71" s="1" t="inlineStr">
        <x:is>
          <x:t>Да</x:t>
        </x:is>
      </x:c>
    </x:row>
    <x:row r="72" ht="26" customHeight="1">
      <x:c r="A72" s="1" t="inlineStr">
        <x:is>
          <x:t>Корзины 40+: 40%</x:t>
        </x:is>
      </x:c>
      <x:c r="B72" s="1" t="inlineStr">
        <x:is>
          <x:t>H6.1</x:t>
        </x:is>
      </x:c>
      <x:c r="C72" s="8">
        <x:v>0.14999999999999999</x:v>
      </x:c>
      <x:c r="D72" s="16">
        <x:v>0.018761761263895525</x:v>
      </x:c>
      <x:c r="E72" s="8">
        <x:v>0.0012507840842597017</x:v>
      </x:c>
      <x:c r="F72" s="12">
        <x:v>8255.1749561140314</x:v>
      </x:c>
      <x:c r="G72" s="12">
        <x:v>1029600</x:v>
      </x:c>
      <x:c r="H72" s="8">
        <x:v>0.20772381509654766</x:v>
      </x:c>
      <x:c r="I72" s="8">
        <x:v>0.20799871269748391</x:v>
      </x:c>
      <x:c r="J72" s="8">
        <x:v>0.12287887653598596</x:v>
      </x:c>
      <x:c r="K72" s="8">
        <x:v>0.1243220889409011</x:v>
      </x:c>
      <x:c r="L72" s="16">
        <x:v>0.14999999999999999</x:v>
      </x:c>
      <x:c r="M72" s="16">
        <x:v>0.15018761761263896</x:v>
      </x:c>
      <x:c r="N72" s="16">
        <x:v>100.12507840842598</x:v>
      </x:c>
      <x:c r="O72" s="1" t="inlineStr">
        <x:is>
          <x:t>Да</x:t>
        </x:is>
      </x:c>
      <x:c r="P72" s="1" t="inlineStr">
        <x:is>
          <x:t>Да</x:t>
        </x:is>
      </x:c>
      <x:c r="Q72" s="1" t="inlineStr">
        <x:is>
          <x:t>Да</x:t>
        </x:is>
      </x:c>
      <x:c r="R72" s="1" t="inlineStr">
        <x:is>
          <x:t>Да</x:t>
        </x:is>
      </x:c>
      <x:c r="S72" s="1" t="inlineStr">
        <x:is>
          <x:t>Да</x:t>
        </x:is>
      </x:c>
    </x:row>
    <x:row r="73" ht="26" customHeight="1">
      <x:c r="A73" s="1" t="inlineStr">
        <x:is>
          <x:t>Корзины 40+: 40%</x:t>
        </x:is>
      </x:c>
      <x:c r="B73" s="1" t="inlineStr">
        <x:is>
          <x:t>H6.2</x:t>
        </x:is>
      </x:c>
      <x:c r="C73" s="8">
        <x:v>0.14999999999999999</x:v>
      </x:c>
      <x:c r="D73" s="16">
        <x:v>0.018761761263895525</x:v>
      </x:c>
      <x:c r="E73" s="8">
        <x:v>0.0012507840842597017</x:v>
      </x:c>
      <x:c r="F73" s="12">
        <x:v>8255.1749561140314</x:v>
      </x:c>
      <x:c r="G73" s="12">
        <x:v>1029600</x:v>
      </x:c>
      <x:c r="H73" s="8">
        <x:v>0.20772381509654766</x:v>
      </x:c>
      <x:c r="I73" s="8">
        <x:v>0.20799871269748391</x:v>
      </x:c>
      <x:c r="J73" s="8">
        <x:v>0.12287887653598596</x:v>
      </x:c>
      <x:c r="K73" s="8">
        <x:v>0.1243220889409011</x:v>
      </x:c>
      <x:c r="L73" s="16">
        <x:v>0.14999999999999999</x:v>
      </x:c>
      <x:c r="M73" s="16">
        <x:v>0.15018761761263896</x:v>
      </x:c>
      <x:c r="N73" s="16">
        <x:v>100.12507840842598</x:v>
      </x:c>
      <x:c r="O73" s="1" t="inlineStr">
        <x:is>
          <x:t>Да</x:t>
        </x:is>
      </x:c>
      <x:c r="P73" s="1" t="inlineStr">
        <x:is>
          <x:t>Да</x:t>
        </x:is>
      </x:c>
      <x:c r="Q73" s="1" t="inlineStr">
        <x:is>
          <x:t>Да</x:t>
        </x:is>
      </x:c>
      <x:c r="R73" s="1" t="inlineStr">
        <x:is>
          <x:t>Да</x:t>
        </x:is>
      </x:c>
      <x:c r="S73" s="1" t="inlineStr">
        <x:is>
          <x:t>Да</x:t>
        </x:is>
      </x:c>
    </x:row>
    <x:row r="74" ht="26" customHeight="1">
      <x:c r="A74" s="1" t="inlineStr">
        <x:is>
          <x:t>Корзины 40+: 40%</x:t>
        </x:is>
      </x:c>
      <x:c r="B74" s="1" t="inlineStr">
        <x:is>
          <x:t>H6.3</x:t>
        </x:is>
      </x:c>
      <x:c r="C74" s="8">
        <x:v>0.14999999999999999</x:v>
      </x:c>
      <x:c r="D74" s="16">
        <x:v>0.018761761263895525</x:v>
      </x:c>
      <x:c r="E74" s="8">
        <x:v>0.0012507840842597017</x:v>
      </x:c>
      <x:c r="F74" s="12">
        <x:v>8255.1749561140314</x:v>
      </x:c>
      <x:c r="G74" s="12">
        <x:v>1029600</x:v>
      </x:c>
      <x:c r="H74" s="8">
        <x:v>0.20772381509654766</x:v>
      </x:c>
      <x:c r="I74" s="8">
        <x:v>0.20799871269748391</x:v>
      </x:c>
      <x:c r="J74" s="8">
        <x:v>0.12287887653598596</x:v>
      </x:c>
      <x:c r="K74" s="8">
        <x:v>0.1243220889409011</x:v>
      </x:c>
      <x:c r="L74" s="16">
        <x:v>0.14999999999999999</x:v>
      </x:c>
      <x:c r="M74" s="16">
        <x:v>0.15018761761263896</x:v>
      </x:c>
      <x:c r="N74" s="16">
        <x:v>100.12507840842598</x:v>
      </x:c>
      <x:c r="O74" s="1" t="inlineStr">
        <x:is>
          <x:t>Да</x:t>
        </x:is>
      </x:c>
      <x:c r="P74" s="1" t="inlineStr">
        <x:is>
          <x:t>Да</x:t>
        </x:is>
      </x:c>
      <x:c r="Q74" s="1" t="inlineStr">
        <x:is>
          <x:t>Да</x:t>
        </x:is>
      </x:c>
      <x:c r="R74" s="1" t="inlineStr">
        <x:is>
          <x:t>Да</x:t>
        </x:is>
      </x:c>
      <x:c r="S74" s="1" t="inlineStr">
        <x:is>
          <x:t>Да</x:t>
        </x:is>
      </x:c>
    </x:row>
    <x:row r="75" ht="26" customHeight="1">
      <x:c r="A75" s="1" t="inlineStr">
        <x:is>
          <x:t>Корзины 40+: 49%</x:t>
        </x:is>
      </x:c>
      <x:c r="B75" s="1" t="inlineStr">
        <x:is>
          <x:t>H1</x:t>
        </x:is>
      </x:c>
      <x:c r="C75" s="8">
        <x:v>0.14999999999999997</x:v>
      </x:c>
      <x:c r="D75" s="16">
        <x:v>0.10330889482153156</x:v>
      </x:c>
      <x:c r="E75" s="8">
        <x:v>0.0068872596547687728</x:v>
      </x:c>
      <x:c r="F75" s="12">
        <x:v>45455.913721473888</x:v>
      </x:c>
      <x:c r="G75" s="12">
        <x:v>5605600</x:v>
      </x:c>
      <x:c r="H75" s="8">
        <x:v>0.20772381509654764</x:v>
      </x:c>
      <x:c r="I75" s="8">
        <x:v>0.20931318270918661</x:v>
      </x:c>
      <x:c r="J75" s="8">
        <x:v>0.12287887653598593</x:v>
      </x:c>
      <x:c r="K75" s="8">
        <x:v>0.12377429490930368</x:v>
      </x:c>
      <x:c r="L75" s="16">
        <x:v>0.14999999999999997</x:v>
      </x:c>
      <x:c r="M75" s="16">
        <x:v>0.15103308894821527</x:v>
      </x:c>
      <x:c r="N75" s="16">
        <x:v>100.68872596547688</x:v>
      </x:c>
      <x:c r="O75" s="1" t="inlineStr">
        <x:is>
          <x:t>Да</x:t>
        </x:is>
      </x:c>
      <x:c r="P75" s="1" t="inlineStr">
        <x:is>
          <x:t>Да</x:t>
        </x:is>
      </x:c>
      <x:c r="Q75" s="1" t="inlineStr">
        <x:is>
          <x:t>Да</x:t>
        </x:is>
      </x:c>
      <x:c r="R75" s="1" t="inlineStr">
        <x:is>
          <x:t>Да</x:t>
        </x:is>
      </x:c>
      <x:c r="S75" s="1" t="inlineStr">
        <x:is>
          <x:t>Да</x:t>
        </x:is>
      </x:c>
    </x:row>
    <x:row r="76" ht="26" customHeight="1">
      <x:c r="A76" s="1" t="inlineStr">
        <x:is>
          <x:t>Корзины 40+: 49%</x:t>
        </x:is>
      </x:c>
      <x:c r="B76" s="1" t="inlineStr">
        <x:is>
          <x:t>H2</x:t>
        </x:is>
      </x:c>
      <x:c r="C76" s="8">
        <x:v>0.14999999999999997</x:v>
      </x:c>
      <x:c r="D76" s="16">
        <x:v>0.16580419836161572</x:v>
      </x:c>
      <x:c r="E76" s="8">
        <x:v>0.011053613224107719</x:v>
      </x:c>
      <x:c r="F76" s="12">
        <x:v>72953.847279110923</x:v>
      </x:c>
      <x:c r="G76" s="12">
        <x:v>6692400</x:v>
      </x:c>
      <x:c r="H76" s="8">
        <x:v>0.20772381509654764</x:v>
      </x:c>
      <x:c r="I76" s="8">
        <x:v>0.21025819192510234</x:v>
      </x:c>
      <x:c r="J76" s="8">
        <x:v>0.12287887653598593</x:v>
      </x:c>
      <x:c r="K76" s="8">
        <x:v>0.12526514043300174</x:v>
      </x:c>
      <x:c r="L76" s="16">
        <x:v>0.14999999999999997</x:v>
      </x:c>
      <x:c r="M76" s="16">
        <x:v>0.15165804198361613</x:v>
      </x:c>
      <x:c r="N76" s="16">
        <x:v>101.10536132241077</x:v>
      </x:c>
      <x:c r="O76" s="1" t="inlineStr">
        <x:is>
          <x:t>Да</x:t>
        </x:is>
      </x:c>
      <x:c r="P76" s="1" t="inlineStr">
        <x:is>
          <x:t>Да</x:t>
        </x:is>
      </x:c>
      <x:c r="Q76" s="1" t="inlineStr">
        <x:is>
          <x:t>Да</x:t>
        </x:is>
      </x:c>
      <x:c r="R76" s="1" t="inlineStr">
        <x:is>
          <x:t>Да</x:t>
        </x:is>
      </x:c>
      <x:c r="S76" s="1" t="inlineStr">
        <x:is>
          <x:t>Да</x:t>
        </x:is>
      </x:c>
    </x:row>
    <x:row r="77" ht="26" customHeight="1">
      <x:c r="A77" s="1" t="inlineStr">
        <x:is>
          <x:t>Корзины 40+: 49%</x:t>
        </x:is>
      </x:c>
      <x:c r="B77" s="1" t="inlineStr">
        <x:is>
          <x:t>H3</x:t>
        </x:is>
      </x:c>
      <x:c r="C77" s="8">
        <x:v>0.14999999999999997</x:v>
      </x:c>
      <x:c r="D77" s="16">
        <x:v>0.15343069101082457</x:v>
      </x:c>
      <x:c r="E77" s="8">
        <x:v>0.010228712734054974</x:v>
      </x:c>
      <x:c r="F77" s="12">
        <x:v>67509.504044762813</x:v>
      </x:c>
      <x:c r="G77" s="12">
        <x:v>7064200</x:v>
      </x:c>
      <x:c r="H77" s="8">
        <x:v>0.20772381509654764</x:v>
      </x:c>
      <x:c r="I77" s="8">
        <x:v>0.21008428726594497</x:v>
      </x:c>
      <x:c r="J77" s="8">
        <x:v>0.12287887653598593</x:v>
      </x:c>
      <x:c r="K77" s="8">
        <x:v>0.12420872001170274</x:v>
      </x:c>
      <x:c r="L77" s="16">
        <x:v>0.14999999999999997</x:v>
      </x:c>
      <x:c r="M77" s="16">
        <x:v>0.15153430691010819</x:v>
      </x:c>
      <x:c r="N77" s="16">
        <x:v>101.02287127340549</x:v>
      </x:c>
      <x:c r="O77" s="1" t="inlineStr">
        <x:is>
          <x:t>Да</x:t>
        </x:is>
      </x:c>
      <x:c r="P77" s="1" t="inlineStr">
        <x:is>
          <x:t>Да</x:t>
        </x:is>
      </x:c>
      <x:c r="Q77" s="1" t="inlineStr">
        <x:is>
          <x:t>Да</x:t>
        </x:is>
      </x:c>
      <x:c r="R77" s="1" t="inlineStr">
        <x:is>
          <x:t>Да</x:t>
        </x:is>
      </x:c>
      <x:c r="S77" s="1" t="inlineStr">
        <x:is>
          <x:t>Да</x:t>
        </x:is>
      </x:c>
    </x:row>
    <x:row r="78" ht="26" customHeight="1">
      <x:c r="A78" s="1" t="inlineStr">
        <x:is>
          <x:t>Корзины 40+: 49%</x:t>
        </x:is>
      </x:c>
      <x:c r="B78" s="1" t="inlineStr">
        <x:is>
          <x:t>H4</x:t>
        </x:is>
      </x:c>
      <x:c r="C78" s="8">
        <x:v>0.14999999999999997</x:v>
      </x:c>
      <x:c r="D78" s="16">
        <x:v>0.19019427834260066</x:v>
      </x:c>
      <x:c r="E78" s="8">
        <x:v>0.01267961855617338</x:v>
      </x:c>
      <x:c r="F78" s="12">
        <x:v>83685.482470744289</x:v>
      </x:c>
      <x:c r="G78" s="12">
        <x:v>8088080</x:v>
      </x:c>
      <x:c r="H78" s="8">
        <x:v>0.20772381509654764</x:v>
      </x:c>
      <x:c r="I78" s="8">
        <x:v>0.21063447677735514</x:v>
      </x:c>
      <x:c r="J78" s="8">
        <x:v>0.12287887653598593</x:v>
      </x:c>
      <x:c r="K78" s="8">
        <x:v>0.12537844550906962</x:v>
      </x:c>
      <x:c r="L78" s="16">
        <x:v>0.14999999999999997</x:v>
      </x:c>
      <x:c r="M78" s="16">
        <x:v>0.15190194278342598</x:v>
      </x:c>
      <x:c r="N78" s="16">
        <x:v>101.26796185561734</x:v>
      </x:c>
      <x:c r="O78" s="1" t="inlineStr">
        <x:is>
          <x:t>Да</x:t>
        </x:is>
      </x:c>
      <x:c r="P78" s="1" t="inlineStr">
        <x:is>
          <x:t>Да</x:t>
        </x:is>
      </x:c>
      <x:c r="Q78" s="1" t="inlineStr">
        <x:is>
          <x:t>Да</x:t>
        </x:is>
      </x:c>
      <x:c r="R78" s="1" t="inlineStr">
        <x:is>
          <x:t>Да</x:t>
        </x:is>
      </x:c>
      <x:c r="S78" s="1" t="inlineStr">
        <x:is>
          <x:t>Да</x:t>
        </x:is>
      </x:c>
    </x:row>
    <x:row r="79" ht="26" customHeight="1">
      <x:c r="A79" s="1" t="inlineStr">
        <x:is>
          <x:t>Корзины 40+: 49%</x:t>
        </x:is>
      </x:c>
      <x:c r="B79" s="1" t="inlineStr">
        <x:is>
          <x:t>H5</x:t>
        </x:is>
      </x:c>
      <x:c r="C79" s="8">
        <x:v>0.14999999999999997</x:v>
      </x:c>
      <x:c r="D79" s="16">
        <x:v>0.032635400819194249</x:v>
      </x:c>
      <x:c r="E79" s="8">
        <x:v>0.0021756933879462838</x:v>
      </x:c>
      <x:c r="F79" s="12">
        <x:v>14359.57636044547</x:v>
      </x:c>
      <x:c r="G79" s="12">
        <x:v>1830400</x:v>
      </x:c>
      <x:c r="H79" s="8">
        <x:v>0.20772381509654764</x:v>
      </x:c>
      <x:c r="I79" s="8">
        <x:v>0.20820198946752486</x:v>
      </x:c>
      <x:c r="J79" s="8">
        <x:v>0.12287887653598593</x:v>
      </x:c>
      <x:c r="K79" s="8">
        <x:v>0.12538929198361615</x:v>
      </x:c>
      <x:c r="L79" s="16">
        <x:v>0.14999999999999997</x:v>
      </x:c>
      <x:c r="M79" s="16">
        <x:v>0.15032635400819189</x:v>
      </x:c>
      <x:c r="N79" s="16">
        <x:v>100.21756933879463</x:v>
      </x:c>
      <x:c r="O79" s="1" t="inlineStr">
        <x:is>
          <x:t>Да</x:t>
        </x:is>
      </x:c>
      <x:c r="P79" s="1" t="inlineStr">
        <x:is>
          <x:t>Да</x:t>
        </x:is>
      </x:c>
      <x:c r="Q79" s="1" t="inlineStr">
        <x:is>
          <x:t>Да</x:t>
        </x:is>
      </x:c>
      <x:c r="R79" s="1" t="inlineStr">
        <x:is>
          <x:t>Да</x:t>
        </x:is>
      </x:c>
      <x:c r="S79" s="1" t="inlineStr">
        <x:is>
          <x:t>Да</x:t>
        </x:is>
      </x:c>
    </x:row>
    <x:row r="80" ht="26" customHeight="1">
      <x:c r="A80" s="1" t="inlineStr">
        <x:is>
          <x:t>Корзины 40+: 49%</x:t>
        </x:is>
      </x:c>
      <x:c r="B80" s="1" t="inlineStr">
        <x:is>
          <x:t>H6.1</x:t>
        </x:is>
      </x:c>
      <x:c r="C80" s="8">
        <x:v>0.14999999999999997</x:v>
      </x:c>
      <x:c r="D80" s="16">
        <x:v>0.018761761263897642</x:v>
      </x:c>
      <x:c r="E80" s="8">
        <x:v>0.0012507840842598433</x:v>
      </x:c>
      <x:c r="F80" s="12">
        <x:v>8255.1749561149627</x:v>
      </x:c>
      <x:c r="G80" s="12">
        <x:v>1029600</x:v>
      </x:c>
      <x:c r="H80" s="8">
        <x:v>0.20772381509654764</x:v>
      </x:c>
      <x:c r="I80" s="8">
        <x:v>0.20799871269748391</x:v>
      </x:c>
      <x:c r="J80" s="8">
        <x:v>0.12287887653598593</x:v>
      </x:c>
      <x:c r="K80" s="8">
        <x:v>0.1243220889409011</x:v>
      </x:c>
      <x:c r="L80" s="16">
        <x:v>0.14999999999999997</x:v>
      </x:c>
      <x:c r="M80" s="16">
        <x:v>0.15018761761263894</x:v>
      </x:c>
      <x:c r="N80" s="16">
        <x:v>100.12507840842598</x:v>
      </x:c>
      <x:c r="O80" s="1" t="inlineStr">
        <x:is>
          <x:t>Да</x:t>
        </x:is>
      </x:c>
      <x:c r="P80" s="1" t="inlineStr">
        <x:is>
          <x:t>Да</x:t>
        </x:is>
      </x:c>
      <x:c r="Q80" s="1" t="inlineStr">
        <x:is>
          <x:t>Да</x:t>
        </x:is>
      </x:c>
      <x:c r="R80" s="1" t="inlineStr">
        <x:is>
          <x:t>Да</x:t>
        </x:is>
      </x:c>
      <x:c r="S80" s="1" t="inlineStr">
        <x:is>
          <x:t>Да</x:t>
        </x:is>
      </x:c>
    </x:row>
    <x:row r="81" ht="26" customHeight="1">
      <x:c r="A81" s="1" t="inlineStr">
        <x:is>
          <x:t>Корзины 40+: 49%</x:t>
        </x:is>
      </x:c>
      <x:c r="B81" s="1" t="inlineStr">
        <x:is>
          <x:t>H6.2</x:t>
        </x:is>
      </x:c>
      <x:c r="C81" s="8">
        <x:v>0.14999999999999997</x:v>
      </x:c>
      <x:c r="D81" s="16">
        <x:v>0.018761761263897642</x:v>
      </x:c>
      <x:c r="E81" s="8">
        <x:v>0.0012507840842598433</x:v>
      </x:c>
      <x:c r="F81" s="12">
        <x:v>8255.1749561149627</x:v>
      </x:c>
      <x:c r="G81" s="12">
        <x:v>1029600</x:v>
      </x:c>
      <x:c r="H81" s="8">
        <x:v>0.20772381509654764</x:v>
      </x:c>
      <x:c r="I81" s="8">
        <x:v>0.20799871269748391</x:v>
      </x:c>
      <x:c r="J81" s="8">
        <x:v>0.12287887653598593</x:v>
      </x:c>
      <x:c r="K81" s="8">
        <x:v>0.1243220889409011</x:v>
      </x:c>
      <x:c r="L81" s="16">
        <x:v>0.14999999999999997</x:v>
      </x:c>
      <x:c r="M81" s="16">
        <x:v>0.15018761761263894</x:v>
      </x:c>
      <x:c r="N81" s="16">
        <x:v>100.12507840842598</x:v>
      </x:c>
      <x:c r="O81" s="1" t="inlineStr">
        <x:is>
          <x:t>Да</x:t>
        </x:is>
      </x:c>
      <x:c r="P81" s="1" t="inlineStr">
        <x:is>
          <x:t>Да</x:t>
        </x:is>
      </x:c>
      <x:c r="Q81" s="1" t="inlineStr">
        <x:is>
          <x:t>Да</x:t>
        </x:is>
      </x:c>
      <x:c r="R81" s="1" t="inlineStr">
        <x:is>
          <x:t>Да</x:t>
        </x:is>
      </x:c>
      <x:c r="S81" s="1" t="inlineStr">
        <x:is>
          <x:t>Да</x:t>
        </x:is>
      </x:c>
    </x:row>
    <x:row r="82" ht="26" customHeight="1">
      <x:c r="A82" s="1" t="inlineStr">
        <x:is>
          <x:t>Корзины 40+: 49%</x:t>
        </x:is>
      </x:c>
      <x:c r="B82" s="1" t="inlineStr">
        <x:is>
          <x:t>H6.3</x:t>
        </x:is>
      </x:c>
      <x:c r="C82" s="8">
        <x:v>0.14999999999999997</x:v>
      </x:c>
      <x:c r="D82" s="16">
        <x:v>0.018761761263897642</x:v>
      </x:c>
      <x:c r="E82" s="8">
        <x:v>0.0012507840842598433</x:v>
      </x:c>
      <x:c r="F82" s="12">
        <x:v>8255.1749561149627</x:v>
      </x:c>
      <x:c r="G82" s="12">
        <x:v>1029600</x:v>
      </x:c>
      <x:c r="H82" s="8">
        <x:v>0.20772381509654764</x:v>
      </x:c>
      <x:c r="I82" s="8">
        <x:v>0.20799871269748391</x:v>
      </x:c>
      <x:c r="J82" s="8">
        <x:v>0.12287887653598593</x:v>
      </x:c>
      <x:c r="K82" s="8">
        <x:v>0.1243220889409011</x:v>
      </x:c>
      <x:c r="L82" s="16">
        <x:v>0.14999999999999997</x:v>
      </x:c>
      <x:c r="M82" s="16">
        <x:v>0.15018761761263894</x:v>
      </x:c>
      <x:c r="N82" s="16">
        <x:v>100.12507840842598</x:v>
      </x:c>
      <x:c r="O82" s="1" t="inlineStr">
        <x:is>
          <x:t>Да</x:t>
        </x:is>
      </x:c>
      <x:c r="P82" s="1" t="inlineStr">
        <x:is>
          <x:t>Да</x:t>
        </x:is>
      </x:c>
      <x:c r="Q82" s="1" t="inlineStr">
        <x:is>
          <x:t>Да</x:t>
        </x:is>
      </x:c>
      <x:c r="R82" s="1" t="inlineStr">
        <x:is>
          <x:t>Да</x:t>
        </x:is>
      </x:c>
      <x:c r="S82" s="1" t="inlineStr">
        <x:is>
          <x:t>Да</x:t>
        </x:is>
      </x:c>
    </x:row>
    <x:row r="83" ht="26" customHeight="1">
      <x:c r="A83" s="1" t="inlineStr">
        <x:is>
          <x:t>Осторожный</x:t>
        </x:is>
      </x:c>
      <x:c r="B83" s="1" t="inlineStr">
        <x:is>
          <x:t>H1</x:t>
        </x:is>
      </x:c>
      <x:c r="C83" s="8">
        <x:v>0.12</x:v>
      </x:c>
      <x:c r="D83" s="16">
        <x:v>-0.0041309985624372282</x:v>
      </x:c>
      <x:c r="E83" s="8">
        <x:v>-0.00034424988020310233</x:v>
      </x:c>
      <x:c r="F83" s="12">
        <x:v>-1817.6393674723804</x:v>
      </x:c>
      <x:c r="G83" s="12">
        <x:v>2059199.9999999998</x:v>
      </x:c>
      <x:c r="H83" s="8">
        <x:v>0.16617905207723815</x:v>
      </x:c>
      <x:c r="I83" s="8">
        <x:v>0.16611737069322408</x:v>
      </x:c>
      <x:c r="J83" s="8">
        <x:v>0.09830310122878877</x:v>
      </x:c>
      <x:c r="K83" s="8">
        <x:v>0.098092867099824468</x:v>
      </x:c>
      <x:c r="L83" s="16">
        <x:v>0.12</x:v>
      </x:c>
      <x:c r="M83" s="16">
        <x:v>0.11994013115277524</x:v>
      </x:c>
      <x:c r="N83" s="16">
        <x:v>99.950109293979366</x:v>
      </x:c>
      <x:c r="O83" s="1" t="inlineStr">
        <x:is>
          <x:t>Нет</x:t>
        </x:is>
      </x:c>
      <x:c r="P83" s="1" t="inlineStr">
        <x:is>
          <x:t>Нет</x:t>
        </x:is>
      </x:c>
      <x:c r="Q83" s="1" t="inlineStr">
        <x:is>
          <x:t>Нет</x:t>
        </x:is>
      </x:c>
      <x:c r="R83" s="1" t="inlineStr">
        <x:is>
          <x:t>Нет</x:t>
        </x:is>
      </x:c>
      <x:c r="S83" s="1" t="inlineStr">
        <x:is>
          <x:t>Да</x:t>
        </x:is>
      </x:c>
    </x:row>
    <x:row r="84" ht="26" customHeight="1">
      <x:c r="A84" s="1" t="inlineStr">
        <x:is>
          <x:t>Осторожный</x:t>
        </x:is>
      </x:c>
      <x:c r="B84" s="1" t="inlineStr">
        <x:is>
          <x:t>H2</x:t>
        </x:is>
      </x:c>
      <x:c r="C84" s="8">
        <x:v>0.12</x:v>
      </x:c>
      <x:c r="D84" s="16">
        <x:v>0.021968111082500862</x:v>
      </x:c>
      <x:c r="E84" s="8">
        <x:v>0.0018306759235417387</x:v>
      </x:c>
      <x:c r="F84" s="12">
        <x:v>9665.9688763003796</x:v>
      </x:c>
      <x:c r="G84" s="12">
        <x:v>4015440</x:v>
      </x:c>
      <x:c r="H84" s="8">
        <x:v>0.16617905207723815</x:v>
      </x:c>
      <x:c r="I84" s="8">
        <x:v>0.16651539165359858</x:v>
      </x:c>
      <x:c r="J84" s="8">
        <x:v>0.09830310122878877</x:v>
      </x:c>
      <x:c r="K84" s="8">
        <x:v>0.098520621228788782</x:v>
      </x:c>
      <x:c r="L84" s="16">
        <x:v>0.12</x:v>
      </x:c>
      <x:c r="M84" s="16">
        <x:v>0.12014879377072007</x:v>
      </x:c>
      <x:c r="N84" s="16">
        <x:v>100.1239948089334</x:v>
      </x:c>
      <x:c r="O84" s="1" t="inlineStr">
        <x:is>
          <x:t>Да</x:t>
        </x:is>
      </x:c>
      <x:c r="P84" s="1" t="inlineStr">
        <x:is>
          <x:t>Да</x:t>
        </x:is>
      </x:c>
      <x:c r="Q84" s="1" t="inlineStr">
        <x:is>
          <x:t>Да</x:t>
        </x:is>
      </x:c>
      <x:c r="R84" s="1" t="inlineStr">
        <x:is>
          <x:t>Да</x:t>
        </x:is>
      </x:c>
      <x:c r="S84" s="1" t="inlineStr">
        <x:is>
          <x:t>Да</x:t>
        </x:is>
      </x:c>
    </x:row>
    <x:row r="85" ht="26" customHeight="1">
      <x:c r="A85" s="1" t="inlineStr">
        <x:is>
          <x:t>Осторожный</x:t>
        </x:is>
      </x:c>
      <x:c r="B85" s="1" t="inlineStr">
        <x:is>
          <x:t>H3</x:t>
        </x:is>
      </x:c>
      <x:c r="C85" s="8">
        <x:v>0.12</x:v>
      </x:c>
      <x:c r="D85" s="16">
        <x:v>0.0097455873801034279</x:v>
      </x:c>
      <x:c r="E85" s="8">
        <x:v>0.00081213228167528566</x:v>
      </x:c>
      <x:c r="F85" s="12">
        <x:v>4288.0584472455084</x:v>
      </x:c>
      <x:c r="G85" s="12">
        <x:v>3260400</x:v>
      </x:c>
      <x:c r="H85" s="8">
        <x:v>0.16617905207723815</x:v>
      </x:c>
      <x:c r="I85" s="8">
        <x:v>0.16633085663080163</x:v>
      </x:c>
      <x:c r="J85" s="8">
        <x:v>0.09830310122878877</x:v>
      </x:c>
      <x:c r="K85" s="8">
        <x:v>0.098212927375775333</x:v>
      </x:c>
      <x:c r="L85" s="16">
        <x:v>0.12</x:v>
      </x:c>
      <x:c r="M85" s="16">
        <x:v>0.12005110221055774</x:v>
      </x:c>
      <x:c r="N85" s="16">
        <x:v>100.04258517546479</x:v>
      </x:c>
      <x:c r="O85" s="1" t="inlineStr">
        <x:is>
          <x:t>Да</x:t>
        </x:is>
      </x:c>
      <x:c r="P85" s="1" t="inlineStr">
        <x:is>
          <x:t>Нет</x:t>
        </x:is>
      </x:c>
      <x:c r="Q85" s="1" t="inlineStr">
        <x:is>
          <x:t>Да</x:t>
        </x:is>
      </x:c>
      <x:c r="R85" s="1" t="inlineStr">
        <x:is>
          <x:t>Нет</x:t>
        </x:is>
      </x:c>
      <x:c r="S85" s="1" t="inlineStr">
        <x:is>
          <x:t>Да</x:t>
        </x:is>
      </x:c>
    </x:row>
    <x:row r="86" ht="26" customHeight="1">
      <x:c r="A86" s="1" t="inlineStr">
        <x:is>
          <x:t>Осторожный</x:t>
        </x:is>
      </x:c>
      <x:c r="B86" s="1" t="inlineStr">
        <x:is>
          <x:t>H4</x:t>
        </x:is>
      </x:c>
      <x:c r="C86" s="8">
        <x:v>0.12</x:v>
      </x:c>
      <x:c r="D86" s="16">
        <x:v>0.023590859106729149</x:v>
      </x:c>
      <x:c r="E86" s="8">
        <x:v>0.0019659049255607622</x:v>
      </x:c>
      <x:c r="F86" s="12">
        <x:v>10379.978006960824</x:v>
      </x:c>
      <x:c r="G86" s="12">
        <x:v>4461600</x:v>
      </x:c>
      <x:c r="H86" s="8">
        <x:v>0.16617905207723815</x:v>
      </x:c>
      <x:c r="I86" s="8">
        <x:v>0.16654085805170274</x:v>
      </x:c>
      <x:c r="J86" s="8">
        <x:v>0.09830310122878877</x:v>
      </x:c>
      <x:c r="K86" s="8">
        <x:v>0.098488013432884727</x:v>
      </x:c>
      <x:c r="L86" s="16">
        <x:v>0.12</x:v>
      </x:c>
      <x:c r="M86" s="16">
        <x:v>0.12016175077202029</x:v>
      </x:c>
      <x:c r="N86" s="16">
        <x:v>100.13479231001691</x:v>
      </x:c>
      <x:c r="O86" s="1" t="inlineStr">
        <x:is>
          <x:t>Да</x:t>
        </x:is>
      </x:c>
      <x:c r="P86" s="1" t="inlineStr">
        <x:is>
          <x:t>Да</x:t>
        </x:is>
      </x:c>
      <x:c r="Q86" s="1" t="inlineStr">
        <x:is>
          <x:t>Да</x:t>
        </x:is>
      </x:c>
      <x:c r="R86" s="1" t="inlineStr">
        <x:is>
          <x:t>Да</x:t>
        </x:is>
      </x:c>
      <x:c r="S86" s="1" t="inlineStr">
        <x:is>
          <x:t>Да</x:t>
        </x:is>
      </x:c>
    </x:row>
    <x:row r="87" ht="26" customHeight="1">
      <x:c r="A87" s="1" t="inlineStr">
        <x:is>
          <x:t>Осторожный</x:t>
        </x:is>
      </x:c>
      <x:c r="B87" s="1" t="inlineStr">
        <x:is>
          <x:t>H5</x:t>
        </x:is>
      </x:c>
      <x:c r="C87" s="8">
        <x:v>0.12</x:v>
      </x:c>
      <x:c r="D87" s="16">
        <x:v>-0.0062069923595102</x:v>
      </x:c>
      <x:c r="E87" s="8">
        <x:v>-0.00051724936329251663</x:v>
      </x:c>
      <x:c r="F87" s="12">
        <x:v>-2731.0766381844878</x:v>
      </x:c>
      <x:c r="G87" s="12">
        <x:v>1098240</x:v>
      </x:c>
      <x:c r="H87" s="8">
        <x:v>0.16617905207723815</x:v>
      </x:c>
      <x:c r="I87" s="8">
        <x:v>0.16608019063723814</x:v>
      </x:c>
      <x:c r="J87" s="8">
        <x:v>0.09830310122878877</x:v>
      </x:c>
      <x:c r="K87" s="8">
        <x:v>0.098562913537273256</x:v>
      </x:c>
      <x:c r="L87" s="16">
        <x:v>0.12</x:v>
      </x:c>
      <x:c r="M87" s="16">
        <x:v>0.1199235411191321</x:v>
      </x:c>
      <x:c r="N87" s="16">
        <x:v>99.936284265943428</x:v>
      </x:c>
      <x:c r="O87" s="1" t="inlineStr">
        <x:is>
          <x:t>Нет</x:t>
        </x:is>
      </x:c>
      <x:c r="P87" s="1" t="inlineStr">
        <x:is>
          <x:t>Да</x:t>
        </x:is>
      </x:c>
      <x:c r="Q87" s="1" t="inlineStr">
        <x:is>
          <x:t>Нет</x:t>
        </x:is>
      </x:c>
      <x:c r="R87" s="1" t="inlineStr">
        <x:is>
          <x:t>Нет</x:t>
        </x:is>
      </x:c>
      <x:c r="S87" s="1" t="inlineStr">
        <x:is>
          <x:t>Да</x:t>
        </x:is>
      </x:c>
    </x:row>
    <x:row r="88" ht="26" customHeight="1">
      <x:c r="A88" s="1" t="inlineStr">
        <x:is>
          <x:t>Осторожный</x:t>
        </x:is>
      </x:c>
      <x:c r="B88" s="1" t="inlineStr">
        <x:is>
          <x:t>H6.1</x:t>
        </x:is>
      </x:c>
      <x:c r="C88" s="8">
        <x:v>0.12</x:v>
      </x:c>
      <x:c r="D88" s="16">
        <x:v>-0.0092267747464018276</x:v>
      </x:c>
      <x:c r="E88" s="8">
        <x:v>-0.00076889789553348563</x:v>
      </x:c>
      <x:c r="F88" s="12">
        <x:v>-4059.7808884168044</x:v>
      </x:c>
      <x:c r="G88" s="12">
        <x:v>617760</x:v>
      </x:c>
      <x:c r="H88" s="8">
        <x:v>0.16617905207723815</x:v>
      </x:c>
      <x:c r="I88" s="8">
        <x:v>0.16603594685041545</x:v>
      </x:c>
      <x:c r="J88" s="8">
        <x:v>0.09830310122878877</x:v>
      </x:c>
      <x:c r="K88" s="8">
        <x:v>0.098330622584435368</x:v>
      </x:c>
      <x:c r="L88" s="16">
        <x:v>0.12</x:v>
      </x:c>
      <x:c r="M88" s="16">
        <x:v>0.11989944329390979</x:v>
      </x:c>
      <x:c r="N88" s="16">
        <x:v>99.916202744924831</x:v>
      </x:c>
      <x:c r="O88" s="1" t="inlineStr">
        <x:is>
          <x:t>Нет</x:t>
        </x:is>
      </x:c>
      <x:c r="P88" s="1" t="inlineStr">
        <x:is>
          <x:t>Да</x:t>
        </x:is>
      </x:c>
      <x:c r="Q88" s="1" t="inlineStr">
        <x:is>
          <x:t>Нет</x:t>
        </x:is>
      </x:c>
      <x:c r="R88" s="1" t="inlineStr">
        <x:is>
          <x:t>Нет</x:t>
        </x:is>
      </x:c>
      <x:c r="S88" s="1" t="inlineStr">
        <x:is>
          <x:t>Да</x:t>
        </x:is>
      </x:c>
    </x:row>
    <x:row r="89" ht="26" customHeight="1">
      <x:c r="A89" s="1" t="inlineStr">
        <x:is>
          <x:t>Осторожный</x:t>
        </x:is>
      </x:c>
      <x:c r="B89" s="1" t="inlineStr">
        <x:is>
          <x:t>H6.2</x:t>
        </x:is>
      </x:c>
      <x:c r="C89" s="8">
        <x:v>0.12</x:v>
      </x:c>
      <x:c r="D89" s="16">
        <x:v>-0.0092267747464018276</x:v>
      </x:c>
      <x:c r="E89" s="8">
        <x:v>-0.00076889789553348563</x:v>
      </x:c>
      <x:c r="F89" s="12">
        <x:v>-4059.7808884168044</x:v>
      </x:c>
      <x:c r="G89" s="12">
        <x:v>617760</x:v>
      </x:c>
      <x:c r="H89" s="8">
        <x:v>0.16617905207723815</x:v>
      </x:c>
      <x:c r="I89" s="8">
        <x:v>0.16603594685041545</x:v>
      </x:c>
      <x:c r="J89" s="8">
        <x:v>0.09830310122878877</x:v>
      </x:c>
      <x:c r="K89" s="8">
        <x:v>0.098330622584435368</x:v>
      </x:c>
      <x:c r="L89" s="16">
        <x:v>0.12</x:v>
      </x:c>
      <x:c r="M89" s="16">
        <x:v>0.11989944329390979</x:v>
      </x:c>
      <x:c r="N89" s="16">
        <x:v>99.916202744924831</x:v>
      </x:c>
      <x:c r="O89" s="1" t="inlineStr">
        <x:is>
          <x:t>Нет</x:t>
        </x:is>
      </x:c>
      <x:c r="P89" s="1" t="inlineStr">
        <x:is>
          <x:t>Да</x:t>
        </x:is>
      </x:c>
      <x:c r="Q89" s="1" t="inlineStr">
        <x:is>
          <x:t>Нет</x:t>
        </x:is>
      </x:c>
      <x:c r="R89" s="1" t="inlineStr">
        <x:is>
          <x:t>Нет</x:t>
        </x:is>
      </x:c>
      <x:c r="S89" s="1" t="inlineStr">
        <x:is>
          <x:t>Да</x:t>
        </x:is>
      </x:c>
    </x:row>
    <x:row r="90" ht="26" customHeight="1">
      <x:c r="A90" s="1" t="inlineStr">
        <x:is>
          <x:t>Осторожный</x:t>
        </x:is>
      </x:c>
      <x:c r="B90" s="1" t="inlineStr">
        <x:is>
          <x:t>H6.3</x:t>
        </x:is>
      </x:c>
      <x:c r="C90" s="8">
        <x:v>0.12</x:v>
      </x:c>
      <x:c r="D90" s="16">
        <x:v>-0.0092267747464018276</x:v>
      </x:c>
      <x:c r="E90" s="8">
        <x:v>-0.00076889789553348563</x:v>
      </x:c>
      <x:c r="F90" s="12">
        <x:v>-4059.7808884168044</x:v>
      </x:c>
      <x:c r="G90" s="12">
        <x:v>617760</x:v>
      </x:c>
      <x:c r="H90" s="8">
        <x:v>0.16617905207723815</x:v>
      </x:c>
      <x:c r="I90" s="8">
        <x:v>0.16603594685041545</x:v>
      </x:c>
      <x:c r="J90" s="8">
        <x:v>0.09830310122878877</x:v>
      </x:c>
      <x:c r="K90" s="8">
        <x:v>0.098330622584435368</x:v>
      </x:c>
      <x:c r="L90" s="16">
        <x:v>0.12</x:v>
      </x:c>
      <x:c r="M90" s="16">
        <x:v>0.11989944329390979</x:v>
      </x:c>
      <x:c r="N90" s="16">
        <x:v>99.916202744924831</x:v>
      </x:c>
      <x:c r="O90" s="1" t="inlineStr">
        <x:is>
          <x:t>Нет</x:t>
        </x:is>
      </x:c>
      <x:c r="P90" s="1" t="inlineStr">
        <x:is>
          <x:t>Да</x:t>
        </x:is>
      </x:c>
      <x:c r="Q90" s="1" t="inlineStr">
        <x:is>
          <x:t>Нет</x:t>
        </x:is>
      </x:c>
      <x:c r="R90" s="1" t="inlineStr">
        <x:is>
          <x:t>Нет</x:t>
        </x:is>
      </x:c>
      <x:c r="S90" s="1" t="inlineStr">
        <x:is>
          <x:t>Да</x:t>
        </x:is>
      </x:c>
    </x:row>
    <x:row r="91" ht="26" customHeight="1">
      <x:c r="A91" s="1" t="inlineStr">
        <x:is>
          <x:t>Благоприятный</x:t>
        </x:is>
      </x:c>
      <x:c r="B91" s="1" t="inlineStr">
        <x:is>
          <x:t>H1</x:t>
        </x:is>
      </x:c>
      <x:c r="C91" s="8">
        <x:v>0.17999999999999999</x:v>
      </x:c>
      <x:c r="D91" s="16">
        <x:v>0.15797396138092629</x:v>
      </x:c>
      <x:c r="E91" s="8">
        <x:v>0.0087763311878292383</x:v>
      </x:c>
      <x:c r="F91" s="12">
        <x:v>69508.543007607572</x:v>
      </x:c>
      <x:c r="G91" s="12">
        <x:v>4290000</x:v>
      </x:c>
      <x:c r="H91" s="8">
        <x:v>0.24926857811585723</x:v>
      </x:c>
      <x:c r="I91" s="8">
        <x:v>0.25169894675248683</x:v>
      </x:c>
      <x:c r="J91" s="8">
        <x:v>0.14745465184318315</x:v>
      </x:c>
      <x:c r="K91" s="8">
        <x:v>0.14882387361029839</x:v>
      </x:c>
      <x:c r="L91" s="16">
        <x:v>0.17999999999999999</x:v>
      </x:c>
      <x:c r="M91" s="16">
        <x:v>0.18157973961380927</x:v>
      </x:c>
      <x:c r="N91" s="16">
        <x:v>100.87763311878292</x:v>
      </x:c>
      <x:c r="O91" s="1" t="inlineStr">
        <x:is>
          <x:t>Да</x:t>
        </x:is>
      </x:c>
      <x:c r="P91" s="1" t="inlineStr">
        <x:is>
          <x:t>Да</x:t>
        </x:is>
      </x:c>
      <x:c r="Q91" s="1" t="inlineStr">
        <x:is>
          <x:t>Да</x:t>
        </x:is>
      </x:c>
      <x:c r="R91" s="1" t="inlineStr">
        <x:is>
          <x:t>Да</x:t>
        </x:is>
      </x:c>
      <x:c r="S91" s="1" t="inlineStr">
        <x:is>
          <x:t>Да</x:t>
        </x:is>
      </x:c>
    </x:row>
    <x:row r="92" ht="26" customHeight="1">
      <x:c r="A92" s="1" t="inlineStr">
        <x:is>
          <x:t>Благоприятный</x:t>
        </x:is>
      </x:c>
      <x:c r="B92" s="1" t="inlineStr">
        <x:is>
          <x:t>H2</x:t>
        </x:is>
      </x:c>
      <x:c r="C92" s="8">
        <x:v>0.17999999999999999</x:v>
      </x:c>
      <x:c r="D92" s="16">
        <x:v>0.44214452896430789</x:v>
      </x:c>
      <x:c r="E92" s="8">
        <x:v>0.024563584942461553</x:v>
      </x:c>
      <x:c r="F92" s="12">
        <x:v>194543.59274429549</x:v>
      </x:c>
      <x:c r="G92" s="12">
        <x:v>8365500</x:v>
      </x:c>
      <x:c r="H92" s="8">
        <x:v>0.24926857811585723</x:v>
      </x:c>
      <x:c r="I92" s="8">
        <x:v>0.25602691632533647</x:v>
      </x:c>
      <x:c r="J92" s="8">
        <x:v>0.14745465184318315</x:v>
      </x:c>
      <x:c r="K92" s="8">
        <x:v>0.15381802223522528</x:v>
      </x:c>
      <x:c r="L92" s="16">
        <x:v>0.17999999999999999</x:v>
      </x:c>
      <x:c r="M92" s="16">
        <x:v>0.18442144528964308</x:v>
      </x:c>
      <x:c r="N92" s="16">
        <x:v>102.45635849424616</x:v>
      </x:c>
      <x:c r="O92" s="1" t="inlineStr">
        <x:is>
          <x:t>Да</x:t>
        </x:is>
      </x:c>
      <x:c r="P92" s="1" t="inlineStr">
        <x:is>
          <x:t>Да</x:t>
        </x:is>
      </x:c>
      <x:c r="Q92" s="1" t="inlineStr">
        <x:is>
          <x:t>Да</x:t>
        </x:is>
      </x:c>
      <x:c r="R92" s="1" t="inlineStr">
        <x:is>
          <x:t>Да</x:t>
        </x:is>
      </x:c>
      <x:c r="S92" s="1" t="inlineStr">
        <x:is>
          <x:t>Да</x:t>
        </x:is>
      </x:c>
    </x:row>
    <x:row r="93" ht="26" customHeight="1">
      <x:c r="A93" s="1" t="inlineStr">
        <x:is>
          <x:t>Благоприятный</x:t>
        </x:is>
      </x:c>
      <x:c r="B93" s="1" t="inlineStr">
        <x:is>
          <x:t>H3</x:t>
        </x:is>
      </x:c>
      <x:c r="C93" s="8">
        <x:v>0.17999999999999999</x:v>
      </x:c>
      <x:c r="D93" s="16">
        <x:v>0.32101119075482715</x:v>
      </x:c>
      <x:c r="E93" s="8">
        <x:v>0.01783395504193484</x:v>
      </x:c>
      <x:c r="F93" s="12">
        <x:v>141244.92393212393</x:v>
      </x:c>
      <x:c r="G93" s="12">
        <x:v>6792500</x:v>
      </x:c>
      <x:c r="H93" s="8">
        <x:v>0.24926857811585723</x:v>
      </x:c>
      <x:c r="I93" s="8">
        <x:v>0.25420721181977762</x:v>
      </x:c>
      <x:c r="J93" s="8">
        <x:v>0.14745465184318315</x:v>
      </x:c>
      <x:c r="K93" s="8">
        <x:v>0.15023698069046226</x:v>
      </x:c>
      <x:c r="L93" s="16">
        <x:v>0.17999999999999999</x:v>
      </x:c>
      <x:c r="M93" s="16">
        <x:v>0.18321011190754827</x:v>
      </x:c>
      <x:c r="N93" s="16">
        <x:v>101.78339550419349</x:v>
      </x:c>
      <x:c r="O93" s="1" t="inlineStr">
        <x:is>
          <x:t>Да</x:t>
        </x:is>
      </x:c>
      <x:c r="P93" s="1" t="inlineStr">
        <x:is>
          <x:t>Да</x:t>
        </x:is>
      </x:c>
      <x:c r="Q93" s="1" t="inlineStr">
        <x:is>
          <x:t>Да</x:t>
        </x:is>
      </x:c>
      <x:c r="R93" s="1" t="inlineStr">
        <x:is>
          <x:t>Да</x:t>
        </x:is>
      </x:c>
      <x:c r="S93" s="1" t="inlineStr">
        <x:is>
          <x:t>Да</x:t>
        </x:is>
      </x:c>
    </x:row>
    <x:row r="94" ht="26" customHeight="1">
      <x:c r="A94" s="1" t="inlineStr">
        <x:is>
          <x:t>Благоприятный</x:t>
        </x:is>
      </x:c>
      <x:c r="B94" s="1" t="inlineStr">
        <x:is>
          <x:t>H4</x:t>
        </x:is>
      </x:c>
      <x:c r="C94" s="8">
        <x:v>0.17999999999999999</x:v>
      </x:c>
      <x:c r="D94" s="16">
        <x:v>0.47432979812755838</x:v>
      </x:c>
      <x:c r="E94" s="8">
        <x:v>0.026351655451531023</x:v>
      </x:c>
      <x:c r="F94" s="12">
        <x:v>208705.11117612571</x:v>
      </x:c>
      <x:c r="G94" s="12">
        <x:v>9295000</x:v>
      </x:c>
      <x:c r="H94" s="8">
        <x:v>0.24926857811585723</x:v>
      </x:c>
      <x:c r="I94" s="8">
        <x:v>0.25652742832065528</x:v>
      </x:c>
      <x:c r="J94" s="8">
        <x:v>0.14745465184318315</x:v>
      </x:c>
      <x:c r="K94" s="8">
        <x:v>0.15359815681685193</x:v>
      </x:c>
      <x:c r="L94" s="16">
        <x:v>0.17999999999999999</x:v>
      </x:c>
      <x:c r="M94" s="16">
        <x:v>0.18474329798127559</x:v>
      </x:c>
      <x:c r="N94" s="16">
        <x:v>102.6351655451531</x:v>
      </x:c>
      <x:c r="O94" s="1" t="inlineStr">
        <x:is>
          <x:t>Да</x:t>
        </x:is>
      </x:c>
      <x:c r="P94" s="1" t="inlineStr">
        <x:is>
          <x:t>Да</x:t>
        </x:is>
      </x:c>
      <x:c r="Q94" s="1" t="inlineStr">
        <x:is>
          <x:t>Да</x:t>
        </x:is>
      </x:c>
      <x:c r="R94" s="1" t="inlineStr">
        <x:is>
          <x:t>Да</x:t>
        </x:is>
      </x:c>
      <x:c r="S94" s="1" t="inlineStr">
        <x:is>
          <x:t>Да</x:t>
        </x:is>
      </x:c>
    </x:row>
    <x:row r="95" ht="26" customHeight="1">
      <x:c r="A95" s="1" t="inlineStr">
        <x:is>
          <x:t>Благоприятный</x:t>
        </x:is>
      </x:c>
      <x:c r="B95" s="1" t="inlineStr">
        <x:is>
          <x:t>H5</x:t>
        </x:is>
      </x:c>
      <x:c r="C95" s="8">
        <x:v>0.17999999999999999</x:v>
      </x:c>
      <x:c r="D95" s="16">
        <x:v>0.085302516091282643</x:v>
      </x:c>
      <x:c r="E95" s="8">
        <x:v>0.004739028671737925</x:v>
      </x:c>
      <x:c r="F95" s="12">
        <x:v>37533.107080164365</x:v>
      </x:c>
      <x:c r="G95" s="12">
        <x:v>2288000</x:v>
      </x:c>
      <x:c r="H95" s="8">
        <x:v>0.24926857811585723</x:v>
      </x:c>
      <x:c r="I95" s="8">
        <x:v>0.25051843183148043</x:v>
      </x:c>
      <x:c r="J95" s="8">
        <x:v>0.14745465184318315</x:v>
      </x:c>
      <x:c r="K95" s="8">
        <x:v>0.1540163838502048</x:v>
      </x:c>
      <x:c r="L95" s="16">
        <x:v>0.17999999999999999</x:v>
      </x:c>
      <x:c r="M95" s="16">
        <x:v>0.18085302516091284</x:v>
      </x:c>
      <x:c r="N95" s="16">
        <x:v>100.47390286717379</x:v>
      </x:c>
      <x:c r="O95" s="1" t="inlineStr">
        <x:is>
          <x:t>Да</x:t>
        </x:is>
      </x:c>
      <x:c r="P95" s="1" t="inlineStr">
        <x:is>
          <x:t>Да</x:t>
        </x:is>
      </x:c>
      <x:c r="Q95" s="1" t="inlineStr">
        <x:is>
          <x:t>Да</x:t>
        </x:is>
      </x:c>
      <x:c r="R95" s="1" t="inlineStr">
        <x:is>
          <x:t>Да</x:t>
        </x:is>
      </x:c>
      <x:c r="S95" s="1" t="inlineStr">
        <x:is>
          <x:t>Да</x:t>
        </x:is>
      </x:c>
    </x:row>
    <x:row r="96" ht="26" customHeight="1">
      <x:c r="A96" s="1" t="inlineStr">
        <x:is>
          <x:t>Благоприятный</x:t>
        </x:is>
      </x:c>
      <x:c r="B96" s="1" t="inlineStr">
        <x:is>
          <x:t>H6.1</x:t>
        </x:is>
      </x:c>
      <x:c r="C96" s="8">
        <x:v>0.17999999999999999</x:v>
      </x:c>
      <x:c r="D96" s="16">
        <x:v>0.048881217086016712</x:v>
      </x:c>
      <x:c r="E96" s="8">
        <x:v>0.0027156231714453726</x:v>
      </x:c>
      <x:c r="F96" s="12">
        <x:v>21507.735517847352</x:v>
      </x:c>
      <x:c r="G96" s="12">
        <x:v>1287000</x:v>
      </x:c>
      <x:c r="H96" s="8">
        <x:v>0.24926857811585723</x:v>
      </x:c>
      <x:c r="I96" s="8">
        <x:v>0.24998478642480984</x:v>
      </x:c>
      <x:c r="J96" s="8">
        <x:v>0.14745465184318315</x:v>
      </x:c>
      <x:c r="K96" s="8">
        <x:v>0.15121474546518432</x:v>
      </x:c>
      <x:c r="L96" s="16">
        <x:v>0.17999999999999999</x:v>
      </x:c>
      <x:c r="M96" s="16">
        <x:v>0.18048881217086016</x:v>
      </x:c>
      <x:c r="N96" s="16">
        <x:v>100.27156231714454</x:v>
      </x:c>
      <x:c r="O96" s="1" t="inlineStr">
        <x:is>
          <x:t>Да</x:t>
        </x:is>
      </x:c>
      <x:c r="P96" s="1" t="inlineStr">
        <x:is>
          <x:t>Да</x:t>
        </x:is>
      </x:c>
      <x:c r="Q96" s="1" t="inlineStr">
        <x:is>
          <x:t>Да</x:t>
        </x:is>
      </x:c>
      <x:c r="R96" s="1" t="inlineStr">
        <x:is>
          <x:t>Да</x:t>
        </x:is>
      </x:c>
      <x:c r="S96" s="1" t="inlineStr">
        <x:is>
          <x:t>Да</x:t>
        </x:is>
      </x:c>
    </x:row>
    <x:row r="97" ht="26" customHeight="1">
      <x:c r="A97" s="1" t="inlineStr">
        <x:is>
          <x:t>Благоприятный</x:t>
        </x:is>
      </x:c>
      <x:c r="B97" s="1" t="inlineStr">
        <x:is>
          <x:t>H6.2</x:t>
        </x:is>
      </x:c>
      <x:c r="C97" s="8">
        <x:v>0.17999999999999999</x:v>
      </x:c>
      <x:c r="D97" s="16">
        <x:v>0.048881217086016712</x:v>
      </x:c>
      <x:c r="E97" s="8">
        <x:v>0.0027156231714453726</x:v>
      </x:c>
      <x:c r="F97" s="12">
        <x:v>21507.735517847352</x:v>
      </x:c>
      <x:c r="G97" s="12">
        <x:v>1287000</x:v>
      </x:c>
      <x:c r="H97" s="8">
        <x:v>0.24926857811585723</x:v>
      </x:c>
      <x:c r="I97" s="8">
        <x:v>0.24998478642480984</x:v>
      </x:c>
      <x:c r="J97" s="8">
        <x:v>0.14745465184318315</x:v>
      </x:c>
      <x:c r="K97" s="8">
        <x:v>0.15121474546518432</x:v>
      </x:c>
      <x:c r="L97" s="16">
        <x:v>0.17999999999999999</x:v>
      </x:c>
      <x:c r="M97" s="16">
        <x:v>0.18048881217086016</x:v>
      </x:c>
      <x:c r="N97" s="16">
        <x:v>100.27156231714454</x:v>
      </x:c>
      <x:c r="O97" s="1" t="inlineStr">
        <x:is>
          <x:t>Да</x:t>
        </x:is>
      </x:c>
      <x:c r="P97" s="1" t="inlineStr">
        <x:is>
          <x:t>Да</x:t>
        </x:is>
      </x:c>
      <x:c r="Q97" s="1" t="inlineStr">
        <x:is>
          <x:t>Да</x:t>
        </x:is>
      </x:c>
      <x:c r="R97" s="1" t="inlineStr">
        <x:is>
          <x:t>Да</x:t>
        </x:is>
      </x:c>
      <x:c r="S97" s="1" t="inlineStr">
        <x:is>
          <x:t>Да</x:t>
        </x:is>
      </x:c>
    </x:row>
    <x:row r="98" ht="26" customHeight="1">
      <x:c r="A98" s="1" t="inlineStr">
        <x:is>
          <x:t>Благоприятный</x:t>
        </x:is>
      </x:c>
      <x:c r="B98" s="1" t="inlineStr">
        <x:is>
          <x:t>H6.3</x:t>
        </x:is>
      </x:c>
      <x:c r="C98" s="8">
        <x:v>0.17999999999999999</x:v>
      </x:c>
      <x:c r="D98" s="16">
        <x:v>0.048881217086016712</x:v>
      </x:c>
      <x:c r="E98" s="8">
        <x:v>0.0027156231714453726</x:v>
      </x:c>
      <x:c r="F98" s="12">
        <x:v>21507.735517847352</x:v>
      </x:c>
      <x:c r="G98" s="12">
        <x:v>1287000</x:v>
      </x:c>
      <x:c r="H98" s="8">
        <x:v>0.24926857811585723</x:v>
      </x:c>
      <x:c r="I98" s="8">
        <x:v>0.24998478642480984</x:v>
      </x:c>
      <x:c r="J98" s="8">
        <x:v>0.14745465184318315</x:v>
      </x:c>
      <x:c r="K98" s="8">
        <x:v>0.15121474546518432</x:v>
      </x:c>
      <x:c r="L98" s="16">
        <x:v>0.17999999999999999</x:v>
      </x:c>
      <x:c r="M98" s="16">
        <x:v>0.18048881217086016</x:v>
      </x:c>
      <x:c r="N98" s="16">
        <x:v>100.27156231714454</x:v>
      </x:c>
      <x:c r="O98" s="1" t="inlineStr">
        <x:is>
          <x:t>Да</x:t>
        </x:is>
      </x:c>
      <x:c r="P98" s="1" t="inlineStr">
        <x:is>
          <x:t>Да</x:t>
        </x:is>
      </x:c>
      <x:c r="Q98" s="1" t="inlineStr">
        <x:is>
          <x:t>Да</x:t>
        </x:is>
      </x:c>
      <x:c r="R98" s="1" t="inlineStr">
        <x:is>
          <x:t>Да</x:t>
        </x:is>
      </x:c>
      <x:c r="S98" s="1" t="inlineStr">
        <x:is>
          <x:t>Да</x:t>
        </x:is>
      </x:c>
    </x:row>
    <x:row r="99" ht="26" customHeight="1">
      <x:c r="A99" s="1" t="inlineStr">
        <x:is>
          <x:t>Нулевая польза</x:t>
        </x:is>
      </x:c>
      <x:c r="B99" s="1" t="inlineStr">
        <x:is>
          <x:t>H1</x:t>
        </x:is>
      </x:c>
      <x:c r="C99" s="8">
        <x:v>0.14999999999999997</x:v>
      </x:c>
      <x:c r="D99" s="16">
        <x:v>0</x:v>
      </x:c>
      <x:c r="E99" s="8">
        <x:v>0</x:v>
      </x:c>
      <x:c r="F99" s="12">
        <x:v>0</x:v>
      </x:c>
      <x:c r="G99" s="12">
        <x:v>3432000</x:v>
      </x:c>
      <x:c r="H99" s="8">
        <x:v>0.20772381509654764</x:v>
      </x:c>
      <x:c r="I99" s="8">
        <x:v>0.20772381509654764</x:v>
      </x:c>
      <x:c r="J99" s="8">
        <x:v>0.12287887653598596</x:v>
      </x:c>
      <x:c r="K99" s="8">
        <x:v>0.12287887653598596</x:v>
      </x:c>
      <x:c r="L99" s="16">
        <x:v>0.14999999999999997</x:v>
      </x:c>
      <x:c r="M99" s="16">
        <x:v>0.14999999999999997</x:v>
      </x:c>
      <x:c r="N99" s="16">
        <x:v>100</x:v>
      </x:c>
      <x:c r="O99" s="1" t="inlineStr">
        <x:is>
          <x:t>Да</x:t>
        </x:is>
      </x:c>
      <x:c r="P99" s="1" t="inlineStr">
        <x:is>
          <x:t>Да</x:t>
        </x:is>
      </x:c>
      <x:c r="Q99" s="1" t="inlineStr">
        <x:is>
          <x:t>Да</x:t>
        </x:is>
      </x:c>
      <x:c r="R99" s="1" t="inlineStr">
        <x:is>
          <x:t>Нет</x:t>
        </x:is>
      </x:c>
      <x:c r="S99" s="1" t="inlineStr">
        <x:is>
          <x:t>Да</x:t>
        </x:is>
      </x:c>
    </x:row>
    <x:row r="100" ht="26" customHeight="1">
      <x:c r="A100" s="1" t="inlineStr">
        <x:is>
          <x:t>Нулевая польза</x:t>
        </x:is>
      </x:c>
      <x:c r="B100" s="1" t="inlineStr">
        <x:is>
          <x:t>H2</x:t>
        </x:is>
      </x:c>
      <x:c r="C100" s="8">
        <x:v>0.14999999999999997</x:v>
      </x:c>
      <x:c r="D100" s="16">
        <x:v>0</x:v>
      </x:c>
      <x:c r="E100" s="8">
        <x:v>0</x:v>
      </x:c>
      <x:c r="F100" s="12">
        <x:v>0</x:v>
      </x:c>
      <x:c r="G100" s="12">
        <x:v>6692400</x:v>
      </x:c>
      <x:c r="H100" s="8">
        <x:v>0.20772381509654764</x:v>
      </x:c>
      <x:c r="I100" s="8">
        <x:v>0.20772381509654764</x:v>
      </x:c>
      <x:c r="J100" s="8">
        <x:v>0.12287887653598596</x:v>
      </x:c>
      <x:c r="K100" s="8">
        <x:v>0.12287887653598596</x:v>
      </x:c>
      <x:c r="L100" s="16">
        <x:v>0.14999999999999997</x:v>
      </x:c>
      <x:c r="M100" s="16">
        <x:v>0.14999999999999997</x:v>
      </x:c>
      <x:c r="N100" s="16">
        <x:v>100</x:v>
      </x:c>
      <x:c r="O100" s="1" t="inlineStr">
        <x:is>
          <x:t>Да</x:t>
        </x:is>
      </x:c>
      <x:c r="P100" s="1" t="inlineStr">
        <x:is>
          <x:t>Да</x:t>
        </x:is>
      </x:c>
      <x:c r="Q100" s="1" t="inlineStr">
        <x:is>
          <x:t>Да</x:t>
        </x:is>
      </x:c>
      <x:c r="R100" s="1" t="inlineStr">
        <x:is>
          <x:t>Нет</x:t>
        </x:is>
      </x:c>
      <x:c r="S100" s="1" t="inlineStr">
        <x:is>
          <x:t>Да</x:t>
        </x:is>
      </x:c>
    </x:row>
    <x:row r="101" ht="26" customHeight="1">
      <x:c r="A101" s="1" t="inlineStr">
        <x:is>
          <x:t>Нулевая польза</x:t>
        </x:is>
      </x:c>
      <x:c r="B101" s="1" t="inlineStr">
        <x:is>
          <x:t>H3</x:t>
        </x:is>
      </x:c>
      <x:c r="C101" s="8">
        <x:v>0.14999999999999997</x:v>
      </x:c>
      <x:c r="D101" s="16">
        <x:v>0</x:v>
      </x:c>
      <x:c r="E101" s="8">
        <x:v>0</x:v>
      </x:c>
      <x:c r="F101" s="12">
        <x:v>0</x:v>
      </x:c>
      <x:c r="G101" s="12">
        <x:v>5434000</x:v>
      </x:c>
      <x:c r="H101" s="8">
        <x:v>0.20772381509654764</x:v>
      </x:c>
      <x:c r="I101" s="8">
        <x:v>0.20772381509654764</x:v>
      </x:c>
      <x:c r="J101" s="8">
        <x:v>0.12287887653598596</x:v>
      </x:c>
      <x:c r="K101" s="8">
        <x:v>0.12287887653598596</x:v>
      </x:c>
      <x:c r="L101" s="16">
        <x:v>0.14999999999999997</x:v>
      </x:c>
      <x:c r="M101" s="16">
        <x:v>0.14999999999999997</x:v>
      </x:c>
      <x:c r="N101" s="16">
        <x:v>100</x:v>
      </x:c>
      <x:c r="O101" s="1" t="inlineStr">
        <x:is>
          <x:t>Да</x:t>
        </x:is>
      </x:c>
      <x:c r="P101" s="1" t="inlineStr">
        <x:is>
          <x:t>Да</x:t>
        </x:is>
      </x:c>
      <x:c r="Q101" s="1" t="inlineStr">
        <x:is>
          <x:t>Да</x:t>
        </x:is>
      </x:c>
      <x:c r="R101" s="1" t="inlineStr">
        <x:is>
          <x:t>Нет</x:t>
        </x:is>
      </x:c>
      <x:c r="S101" s="1" t="inlineStr">
        <x:is>
          <x:t>Да</x:t>
        </x:is>
      </x:c>
    </x:row>
    <x:row r="102" ht="26" customHeight="1">
      <x:c r="A102" s="1" t="inlineStr">
        <x:is>
          <x:t>Нулевая польза</x:t>
        </x:is>
      </x:c>
      <x:c r="B102" s="1" t="inlineStr">
        <x:is>
          <x:t>H4</x:t>
        </x:is>
      </x:c>
      <x:c r="C102" s="8">
        <x:v>0.14999999999999997</x:v>
      </x:c>
      <x:c r="D102" s="16">
        <x:v>0</x:v>
      </x:c>
      <x:c r="E102" s="8">
        <x:v>0</x:v>
      </x:c>
      <x:c r="F102" s="12">
        <x:v>0</x:v>
      </x:c>
      <x:c r="G102" s="12">
        <x:v>7436000</x:v>
      </x:c>
      <x:c r="H102" s="8">
        <x:v>0.20772381509654764</x:v>
      </x:c>
      <x:c r="I102" s="8">
        <x:v>0.20772381509654764</x:v>
      </x:c>
      <x:c r="J102" s="8">
        <x:v>0.12287887653598596</x:v>
      </x:c>
      <x:c r="K102" s="8">
        <x:v>0.12287887653598596</x:v>
      </x:c>
      <x:c r="L102" s="16">
        <x:v>0.14999999999999997</x:v>
      </x:c>
      <x:c r="M102" s="16">
        <x:v>0.14999999999999997</x:v>
      </x:c>
      <x:c r="N102" s="16">
        <x:v>100</x:v>
      </x:c>
      <x:c r="O102" s="1" t="inlineStr">
        <x:is>
          <x:t>Да</x:t>
        </x:is>
      </x:c>
      <x:c r="P102" s="1" t="inlineStr">
        <x:is>
          <x:t>Да</x:t>
        </x:is>
      </x:c>
      <x:c r="Q102" s="1" t="inlineStr">
        <x:is>
          <x:t>Да</x:t>
        </x:is>
      </x:c>
      <x:c r="R102" s="1" t="inlineStr">
        <x:is>
          <x:t>Нет</x:t>
        </x:is>
      </x:c>
      <x:c r="S102" s="1" t="inlineStr">
        <x:is>
          <x:t>Да</x:t>
        </x:is>
      </x:c>
    </x:row>
    <x:row r="103" ht="26" customHeight="1">
      <x:c r="A103" s="1" t="inlineStr">
        <x:is>
          <x:t>Нулевая польза</x:t>
        </x:is>
      </x:c>
      <x:c r="B103" s="1" t="inlineStr">
        <x:is>
          <x:t>H5</x:t>
        </x:is>
      </x:c>
      <x:c r="C103" s="8">
        <x:v>0.14999999999999997</x:v>
      </x:c>
      <x:c r="D103" s="16">
        <x:v>0</x:v>
      </x:c>
      <x:c r="E103" s="8">
        <x:v>0</x:v>
      </x:c>
      <x:c r="F103" s="12">
        <x:v>0</x:v>
      </x:c>
      <x:c r="G103" s="12">
        <x:v>1830400</x:v>
      </x:c>
      <x:c r="H103" s="8">
        <x:v>0.20772381509654764</x:v>
      </x:c>
      <x:c r="I103" s="8">
        <x:v>0.20772381509654764</x:v>
      </x:c>
      <x:c r="J103" s="8">
        <x:v>0.12287887653598596</x:v>
      </x:c>
      <x:c r="K103" s="8">
        <x:v>0.12287887653598596</x:v>
      </x:c>
      <x:c r="L103" s="16">
        <x:v>0.14999999999999997</x:v>
      </x:c>
      <x:c r="M103" s="16">
        <x:v>0.14999999999999997</x:v>
      </x:c>
      <x:c r="N103" s="16">
        <x:v>100</x:v>
      </x:c>
      <x:c r="O103" s="1" t="inlineStr">
        <x:is>
          <x:t>Да</x:t>
        </x:is>
      </x:c>
      <x:c r="P103" s="1" t="inlineStr">
        <x:is>
          <x:t>Да</x:t>
        </x:is>
      </x:c>
      <x:c r="Q103" s="1" t="inlineStr">
        <x:is>
          <x:t>Да</x:t>
        </x:is>
      </x:c>
      <x:c r="R103" s="1" t="inlineStr">
        <x:is>
          <x:t>Нет</x:t>
        </x:is>
      </x:c>
      <x:c r="S103" s="1" t="inlineStr">
        <x:is>
          <x:t>Да</x:t>
        </x:is>
      </x:c>
    </x:row>
    <x:row r="104" ht="26" customHeight="1">
      <x:c r="A104" s="1" t="inlineStr">
        <x:is>
          <x:t>Нулевая польза</x:t>
        </x:is>
      </x:c>
      <x:c r="B104" s="1" t="inlineStr">
        <x:is>
          <x:t>H6.1</x:t>
        </x:is>
      </x:c>
      <x:c r="C104" s="8">
        <x:v>0.14999999999999997</x:v>
      </x:c>
      <x:c r="D104" s="16">
        <x:v>0</x:v>
      </x:c>
      <x:c r="E104" s="8">
        <x:v>0</x:v>
      </x:c>
      <x:c r="F104" s="12">
        <x:v>0</x:v>
      </x:c>
      <x:c r="G104" s="12">
        <x:v>1029600</x:v>
      </x:c>
      <x:c r="H104" s="8">
        <x:v>0.20772381509654764</x:v>
      </x:c>
      <x:c r="I104" s="8">
        <x:v>0.20772381509654764</x:v>
      </x:c>
      <x:c r="J104" s="8">
        <x:v>0.12287887653598596</x:v>
      </x:c>
      <x:c r="K104" s="8">
        <x:v>0.12287887653598596</x:v>
      </x:c>
      <x:c r="L104" s="16">
        <x:v>0.14999999999999997</x:v>
      </x:c>
      <x:c r="M104" s="16">
        <x:v>0.14999999999999997</x:v>
      </x:c>
      <x:c r="N104" s="16">
        <x:v>100</x:v>
      </x:c>
      <x:c r="O104" s="1" t="inlineStr">
        <x:is>
          <x:t>Да</x:t>
        </x:is>
      </x:c>
      <x:c r="P104" s="1" t="inlineStr">
        <x:is>
          <x:t>Да</x:t>
        </x:is>
      </x:c>
      <x:c r="Q104" s="1" t="inlineStr">
        <x:is>
          <x:t>Да</x:t>
        </x:is>
      </x:c>
      <x:c r="R104" s="1" t="inlineStr">
        <x:is>
          <x:t>Нет</x:t>
        </x:is>
      </x:c>
      <x:c r="S104" s="1" t="inlineStr">
        <x:is>
          <x:t>Да</x:t>
        </x:is>
      </x:c>
    </x:row>
    <x:row r="105" ht="26" customHeight="1">
      <x:c r="A105" s="1" t="inlineStr">
        <x:is>
          <x:t>Нулевая польза</x:t>
        </x:is>
      </x:c>
      <x:c r="B105" s="1" t="inlineStr">
        <x:is>
          <x:t>H6.2</x:t>
        </x:is>
      </x:c>
      <x:c r="C105" s="8">
        <x:v>0.14999999999999997</x:v>
      </x:c>
      <x:c r="D105" s="16">
        <x:v>0</x:v>
      </x:c>
      <x:c r="E105" s="8">
        <x:v>0</x:v>
      </x:c>
      <x:c r="F105" s="12">
        <x:v>0</x:v>
      </x:c>
      <x:c r="G105" s="12">
        <x:v>1029600</x:v>
      </x:c>
      <x:c r="H105" s="8">
        <x:v>0.20772381509654764</x:v>
      </x:c>
      <x:c r="I105" s="8">
        <x:v>0.20772381509654764</x:v>
      </x:c>
      <x:c r="J105" s="8">
        <x:v>0.12287887653598596</x:v>
      </x:c>
      <x:c r="K105" s="8">
        <x:v>0.12287887653598596</x:v>
      </x:c>
      <x:c r="L105" s="16">
        <x:v>0.14999999999999997</x:v>
      </x:c>
      <x:c r="M105" s="16">
        <x:v>0.14999999999999997</x:v>
      </x:c>
      <x:c r="N105" s="16">
        <x:v>100</x:v>
      </x:c>
      <x:c r="O105" s="1" t="inlineStr">
        <x:is>
          <x:t>Да</x:t>
        </x:is>
      </x:c>
      <x:c r="P105" s="1" t="inlineStr">
        <x:is>
          <x:t>Да</x:t>
        </x:is>
      </x:c>
      <x:c r="Q105" s="1" t="inlineStr">
        <x:is>
          <x:t>Да</x:t>
        </x:is>
      </x:c>
      <x:c r="R105" s="1" t="inlineStr">
        <x:is>
          <x:t>Нет</x:t>
        </x:is>
      </x:c>
      <x:c r="S105" s="1" t="inlineStr">
        <x:is>
          <x:t>Да</x:t>
        </x:is>
      </x:c>
    </x:row>
    <x:row r="106" ht="26" customHeight="1">
      <x:c r="A106" s="1" t="inlineStr">
        <x:is>
          <x:t>Нулевая польза</x:t>
        </x:is>
      </x:c>
      <x:c r="B106" s="1" t="inlineStr">
        <x:is>
          <x:t>H6.3</x:t>
        </x:is>
      </x:c>
      <x:c r="C106" s="8">
        <x:v>0.14999999999999997</x:v>
      </x:c>
      <x:c r="D106" s="16">
        <x:v>0</x:v>
      </x:c>
      <x:c r="E106" s="8">
        <x:v>0</x:v>
      </x:c>
      <x:c r="F106" s="12">
        <x:v>0</x:v>
      </x:c>
      <x:c r="G106" s="12">
        <x:v>1029600</x:v>
      </x:c>
      <x:c r="H106" s="8">
        <x:v>0.20772381509654764</x:v>
      </x:c>
      <x:c r="I106" s="8">
        <x:v>0.20772381509654764</x:v>
      </x:c>
      <x:c r="J106" s="8">
        <x:v>0.12287887653598596</x:v>
      </x:c>
      <x:c r="K106" s="8">
        <x:v>0.12287887653598596</x:v>
      </x:c>
      <x:c r="L106" s="16">
        <x:v>0.14999999999999997</x:v>
      </x:c>
      <x:c r="M106" s="16">
        <x:v>0.14999999999999997</x:v>
      </x:c>
      <x:c r="N106" s="16">
        <x:v>100</x:v>
      </x:c>
      <x:c r="O106" s="1" t="inlineStr">
        <x:is>
          <x:t>Да</x:t>
        </x:is>
      </x:c>
      <x:c r="P106" s="1" t="inlineStr">
        <x:is>
          <x:t>Да</x:t>
        </x:is>
      </x:c>
      <x:c r="Q106" s="1" t="inlineStr">
        <x:is>
          <x:t>Да</x:t>
        </x:is>
      </x:c>
      <x:c r="R106" s="1" t="inlineStr">
        <x:is>
          <x:t>Нет</x:t>
        </x:is>
      </x:c>
      <x:c r="S106" s="1" t="inlineStr">
        <x:is>
          <x:t>Да</x:t>
        </x:is>
      </x:c>
    </x:row>
    <x:row r="107" ht="26" customHeight="1">
      <x:c r="A107" s="1" t="inlineStr">
        <x:is>
          <x:t>Ущерб CR Корзины 0,5%</x:t>
        </x:is>
      </x:c>
      <x:c r="B107" s="1" t="inlineStr">
        <x:is>
          <x:t>H1</x:t>
        </x:is>
      </x:c>
      <x:c r="C107" s="8">
        <x:v>0.14999999999999997</x:v>
      </x:c>
      <x:c r="D107" s="16">
        <x:v>-0.014914024648921225</x:v>
      </x:c>
      <x:c r="E107" s="8">
        <x:v>-0.00099426830992808187</x:v>
      </x:c>
      <x:c r="F107" s="12">
        <x:v>-6562.1708455253392</x:v>
      </x:c>
      <x:c r="G107" s="12">
        <x:v>3432000</x:v>
      </x:c>
      <x:c r="H107" s="8">
        <x:v>0.20772381509654764</x:v>
      </x:c>
      <x:c r="I107" s="8">
        <x:v>0.20749436856348735</x:v>
      </x:c>
      <x:c r="J107" s="8">
        <x:v>0.12287887653598596</x:v>
      </x:c>
      <x:c r="K107" s="8">
        <x:v>0.12274961088355761</x:v>
      </x:c>
      <x:c r="L107" s="16">
        <x:v>0.14999999999999997</x:v>
      </x:c>
      <x:c r="M107" s="16">
        <x:v>0.14985085975351076</x:v>
      </x:c>
      <x:c r="N107" s="16">
        <x:v>99.900573169007188</x:v>
      </x:c>
      <x:c r="O107" s="1" t="inlineStr">
        <x:is>
          <x:t>Нет</x:t>
        </x:is>
      </x:c>
      <x:c r="P107" s="1" t="inlineStr">
        <x:is>
          <x:t>Нет</x:t>
        </x:is>
      </x:c>
      <x:c r="Q107" s="1" t="inlineStr">
        <x:is>
          <x:t>Нет</x:t>
        </x:is>
      </x:c>
      <x:c r="R107" s="1" t="inlineStr">
        <x:is>
          <x:t>Нет</x:t>
        </x:is>
      </x:c>
      <x:c r="S107" s="1" t="inlineStr">
        <x:is>
          <x:t>Да</x:t>
        </x:is>
      </x:c>
    </x:row>
    <x:row r="108" ht="26" customHeight="1">
      <x:c r="A108" s="1" t="inlineStr">
        <x:is>
          <x:t>Ущерб CR Корзины 0,5%</x:t>
        </x:is>
      </x:c>
      <x:c r="B108" s="1" t="inlineStr">
        <x:is>
          <x:t>H2</x:t>
        </x:is>
      </x:c>
      <x:c r="C108" s="8">
        <x:v>0.14999999999999997</x:v>
      </x:c>
      <x:c r="D108" s="16">
        <x:v>0.097470285985955377</x:v>
      </x:c>
      <x:c r="E108" s="8">
        <x:v>0.0064980190657303594</x:v>
      </x:c>
      <x:c r="F108" s="12">
        <x:v>42886.925833820365</x:v>
      </x:c>
      <x:c r="G108" s="12">
        <x:v>6692400</x:v>
      </x:c>
      <x:c r="H108" s="8">
        <x:v>0.20772381509654764</x:v>
      </x:c>
      <x:c r="I108" s="8">
        <x:v>0.20920690096547684</x:v>
      </x:c>
      <x:c r="J108" s="8">
        <x:v>0.12287887653598596</x:v>
      </x:c>
      <x:c r="K108" s="8">
        <x:v>0.12466848303101227</x:v>
      </x:c>
      <x:c r="L108" s="16">
        <x:v>0.14999999999999997</x:v>
      </x:c>
      <x:c r="M108" s="16">
        <x:v>0.15097470285985953</x:v>
      </x:c>
      <x:c r="N108" s="16">
        <x:v>100.64980190657303</x:v>
      </x:c>
      <x:c r="O108" s="1" t="inlineStr">
        <x:is>
          <x:t>Да</x:t>
        </x:is>
      </x:c>
      <x:c r="P108" s="1" t="inlineStr">
        <x:is>
          <x:t>Да</x:t>
        </x:is>
      </x:c>
      <x:c r="Q108" s="1" t="inlineStr">
        <x:is>
          <x:t>Да</x:t>
        </x:is>
      </x:c>
      <x:c r="R108" s="1" t="inlineStr">
        <x:is>
          <x:t>Да</x:t>
        </x:is>
      </x:c>
      <x:c r="S108" s="1" t="inlineStr">
        <x:is>
          <x:t>Да</x:t>
        </x:is>
      </x:c>
    </x:row>
    <x:row r="109" ht="26" customHeight="1">
      <x:c r="A109" s="1" t="inlineStr">
        <x:is>
          <x:t>Ущерб CR Корзины 0,5%</x:t>
        </x:is>
      </x:c>
      <x:c r="B109" s="1" t="inlineStr">
        <x:is>
          <x:t>H3</x:t>
        </x:is>
      </x:c>
      <x:c r="C109" s="8">
        <x:v>0.14999999999999997</x:v>
      </x:c>
      <x:c r="D109" s="16">
        <x:v>0.04750619633191646</x:v>
      </x:c>
      <x:c r="E109" s="8">
        <x:v>0.0031670797554610979</x:v>
      </x:c>
      <x:c r="F109" s="12">
        <x:v>20902.726386043243</x:v>
      </x:c>
      <x:c r="G109" s="12">
        <x:v>5434000</x:v>
      </x:c>
      <x:c r="H109" s="8">
        <x:v>0.20772381509654764</x:v>
      </x:c>
      <x:c r="I109" s="8">
        <x:v>0.20845467965550024</x:v>
      </x:c>
      <x:c r="J109" s="8">
        <x:v>0.12287887653598596</x:v>
      </x:c>
      <x:c r="K109" s="8">
        <x:v>0.12329063121708601</x:v>
      </x:c>
      <x:c r="L109" s="16">
        <x:v>0.14999999999999997</x:v>
      </x:c>
      <x:c r="M109" s="16">
        <x:v>0.15047506196331914</x:v>
      </x:c>
      <x:c r="N109" s="16">
        <x:v>100.31670797554612</x:v>
      </x:c>
      <x:c r="O109" s="1" t="inlineStr">
        <x:is>
          <x:t>Да</x:t>
        </x:is>
      </x:c>
      <x:c r="P109" s="1" t="inlineStr">
        <x:is>
          <x:t>Да</x:t>
        </x:is>
      </x:c>
      <x:c r="Q109" s="1" t="inlineStr">
        <x:is>
          <x:t>Да</x:t>
        </x:is>
      </x:c>
      <x:c r="R109" s="1" t="inlineStr">
        <x:is>
          <x:t>Да</x:t>
        </x:is>
      </x:c>
      <x:c r="S109" s="1" t="inlineStr">
        <x:is>
          <x:t>Да</x:t>
        </x:is>
      </x:c>
    </x:row>
    <x:row r="110" ht="26" customHeight="1">
      <x:c r="A110" s="1" t="inlineStr">
        <x:is>
          <x:t>Ущерб CR Корзины 0,5%</x:t>
        </x:is>
      </x:c>
      <x:c r="B110" s="1" t="inlineStr">
        <x:is>
          <x:t>H4</x:t>
        </x:is>
      </x:c>
      <x:c r="C110" s="8">
        <x:v>0.14999999999999997</x:v>
      </x:c>
      <x:c r="D110" s="16">
        <x:v>0.1077040099290496</x:v>
      </x:c>
      <x:c r="E110" s="8">
        <x:v>0.0071802673286033075</x:v>
      </x:c>
      <x:c r="F110" s="12">
        <x:v>47389.76436878182</x:v>
      </x:c>
      <x:c r="G110" s="12">
        <x:v>7436000</x:v>
      </x:c>
      <x:c r="H110" s="8">
        <x:v>0.20772381509654764</x:v>
      </x:c>
      <x:c r="I110" s="8">
        <x:v>0.20936648886410178</x:v>
      </x:c>
      <x:c r="J110" s="8">
        <x:v>0.12287887653598596</x:v>
      </x:c>
      <x:c r="K110" s="8">
        <x:v>0.12455819485078992</x:v>
      </x:c>
      <x:c r="L110" s="16">
        <x:v>0.14999999999999997</x:v>
      </x:c>
      <x:c r="M110" s="16">
        <x:v>0.15107704009929049</x:v>
      </x:c>
      <x:c r="N110" s="16">
        <x:v>100.71802673286032</x:v>
      </x:c>
      <x:c r="O110" s="1" t="inlineStr">
        <x:is>
          <x:t>Да</x:t>
        </x:is>
      </x:c>
      <x:c r="P110" s="1" t="inlineStr">
        <x:is>
          <x:t>Да</x:t>
        </x:is>
      </x:c>
      <x:c r="Q110" s="1" t="inlineStr">
        <x:is>
          <x:t>Да</x:t>
        </x:is>
      </x:c>
      <x:c r="R110" s="1" t="inlineStr">
        <x:is>
          <x:t>Да</x:t>
        </x:is>
      </x:c>
      <x:c r="S110" s="1" t="inlineStr">
        <x:is>
          <x:t>Да</x:t>
        </x:is>
      </x:c>
    </x:row>
    <x:row r="111" ht="26" customHeight="1">
      <x:c r="A111" s="1" t="inlineStr">
        <x:is>
          <x:t>Ущерб CR Корзины 0,5%</x:t>
        </x:is>
      </x:c>
      <x:c r="B111" s="1" t="inlineStr">
        <x:is>
          <x:t>H5</x:t>
        </x:is>
      </x:c>
      <x:c r="C111" s="8">
        <x:v>0.14999999999999997</x:v>
      </x:c>
      <x:c r="D111" s="16">
        <x:v>-0.035030245757754888</x:v>
      </x:c>
      <x:c r="E111" s="8">
        <x:v>-0.0023353497171836597</x:v>
      </x:c>
      <x:c r="F111" s="12">
        <x:v>-15413.308133412153</x:v>
      </x:c>
      <x:c r="G111" s="12">
        <x:v>1830400</x:v>
      </x:c>
      <x:c r="H111" s="8">
        <x:v>0.20772381509654764</x:v>
      </x:c>
      <x:c r="I111" s="8">
        <x:v>0.20716097952018719</x:v>
      </x:c>
      <x:c r="J111" s="8">
        <x:v>0.12287887653598596</x:v>
      </x:c>
      <x:c r="K111" s="8">
        <x:v>0.12479220011702749</x:v>
      </x:c>
      <x:c r="L111" s="16">
        <x:v>0.14999999999999997</x:v>
      </x:c>
      <x:c r="M111" s="16">
        <x:v>0.14964969754242244</x:v>
      </x:c>
      <x:c r="N111" s="16">
        <x:v>99.766465028281644</x:v>
      </x:c>
      <x:c r="O111" s="1" t="inlineStr">
        <x:is>
          <x:t>Нет</x:t>
        </x:is>
      </x:c>
      <x:c r="P111" s="1" t="inlineStr">
        <x:is>
          <x:t>Да</x:t>
        </x:is>
      </x:c>
      <x:c r="Q111" s="1" t="inlineStr">
        <x:is>
          <x:t>Нет</x:t>
        </x:is>
      </x:c>
      <x:c r="R111" s="1" t="inlineStr">
        <x:is>
          <x:t>Нет</x:t>
        </x:is>
      </x:c>
      <x:c r="S111" s="1" t="inlineStr">
        <x:is>
          <x:t>Да</x:t>
        </x:is>
      </x:c>
    </x:row>
    <x:row r="112" ht="26" customHeight="1">
      <x:c r="A112" s="1" t="inlineStr">
        <x:is>
          <x:t>Ущерб CR Корзины 0,5%</x:t>
        </x:is>
      </x:c>
      <x:c r="B112" s="1" t="inlineStr">
        <x:is>
          <x:t>H6.1</x:t>
        </x:is>
      </x:c>
      <x:c r="C112" s="8">
        <x:v>0.14999999999999997</x:v>
      </x:c>
      <x:c r="D112" s="16">
        <x:v>-0.048837820362786506</x:v>
      </x:c>
      <x:c r="E112" s="8">
        <x:v>-0.0032558546908524342</x:v>
      </x:c>
      <x:c r="F112" s="12">
        <x:v>-21488.640959626064</x:v>
      </x:c>
      <x:c r="G112" s="12">
        <x:v>1029600</x:v>
      </x:c>
      <x:c r="H112" s="8">
        <x:v>0.20772381509654764</x:v>
      </x:c>
      <x:c r="I112" s="8">
        <x:v>0.20695871913399644</x:v>
      </x:c>
      <x:c r="J112" s="8">
        <x:v>0.12287887653598596</x:v>
      </x:c>
      <x:c r="K112" s="8">
        <x:v>0.12373007899356347</x:v>
      </x:c>
      <x:c r="L112" s="16">
        <x:v>0.14999999999999997</x:v>
      </x:c>
      <x:c r="M112" s="16">
        <x:v>0.14951162179637212</x:v>
      </x:c>
      <x:c r="N112" s="16">
        <x:v>99.67441453091476</x:v>
      </x:c>
      <x:c r="O112" s="1" t="inlineStr">
        <x:is>
          <x:t>Нет</x:t>
        </x:is>
      </x:c>
      <x:c r="P112" s="1" t="inlineStr">
        <x:is>
          <x:t>Да</x:t>
        </x:is>
      </x:c>
      <x:c r="Q112" s="1" t="inlineStr">
        <x:is>
          <x:t>Нет</x:t>
        </x:is>
      </x:c>
      <x:c r="R112" s="1" t="inlineStr">
        <x:is>
          <x:t>Нет</x:t>
        </x:is>
      </x:c>
      <x:c r="S112" s="1" t="inlineStr">
        <x:is>
          <x:t>Да</x:t>
        </x:is>
      </x:c>
    </x:row>
    <x:row r="113" ht="26" customHeight="1">
      <x:c r="A113" s="1" t="inlineStr">
        <x:is>
          <x:t>Ущерб CR Корзины 0,5%</x:t>
        </x:is>
      </x:c>
      <x:c r="B113" s="1" t="inlineStr">
        <x:is>
          <x:t>H6.2</x:t>
        </x:is>
      </x:c>
      <x:c r="C113" s="8">
        <x:v>0.14999999999999997</x:v>
      </x:c>
      <x:c r="D113" s="16">
        <x:v>-0.048837820362786506</x:v>
      </x:c>
      <x:c r="E113" s="8">
        <x:v>-0.0032558546908524342</x:v>
      </x:c>
      <x:c r="F113" s="12">
        <x:v>-21488.640959626064</x:v>
      </x:c>
      <x:c r="G113" s="12">
        <x:v>1029600</x:v>
      </x:c>
      <x:c r="H113" s="8">
        <x:v>0.20772381509654764</x:v>
      </x:c>
      <x:c r="I113" s="8">
        <x:v>0.20695871913399644</x:v>
      </x:c>
      <x:c r="J113" s="8">
        <x:v>0.12287887653598596</x:v>
      </x:c>
      <x:c r="K113" s="8">
        <x:v>0.12373007899356347</x:v>
      </x:c>
      <x:c r="L113" s="16">
        <x:v>0.14999999999999997</x:v>
      </x:c>
      <x:c r="M113" s="16">
        <x:v>0.14951162179637212</x:v>
      </x:c>
      <x:c r="N113" s="16">
        <x:v>99.67441453091476</x:v>
      </x:c>
      <x:c r="O113" s="1" t="inlineStr">
        <x:is>
          <x:t>Нет</x:t>
        </x:is>
      </x:c>
      <x:c r="P113" s="1" t="inlineStr">
        <x:is>
          <x:t>Да</x:t>
        </x:is>
      </x:c>
      <x:c r="Q113" s="1" t="inlineStr">
        <x:is>
          <x:t>Нет</x:t>
        </x:is>
      </x:c>
      <x:c r="R113" s="1" t="inlineStr">
        <x:is>
          <x:t>Нет</x:t>
        </x:is>
      </x:c>
      <x:c r="S113" s="1" t="inlineStr">
        <x:is>
          <x:t>Да</x:t>
        </x:is>
      </x:c>
    </x:row>
    <x:row r="114" ht="26" customHeight="1">
      <x:c r="A114" s="1" t="inlineStr">
        <x:is>
          <x:t>Ущерб CR Корзины 0,5%</x:t>
        </x:is>
      </x:c>
      <x:c r="B114" s="1" t="inlineStr">
        <x:is>
          <x:t>H6.3</x:t>
        </x:is>
      </x:c>
      <x:c r="C114" s="8">
        <x:v>0.14999999999999997</x:v>
      </x:c>
      <x:c r="D114" s="16">
        <x:v>-0.048837820362786506</x:v>
      </x:c>
      <x:c r="E114" s="8">
        <x:v>-0.0032558546908524342</x:v>
      </x:c>
      <x:c r="F114" s="12">
        <x:v>-21488.640959626064</x:v>
      </x:c>
      <x:c r="G114" s="12">
        <x:v>1029600</x:v>
      </x:c>
      <x:c r="H114" s="8">
        <x:v>0.20772381509654764</x:v>
      </x:c>
      <x:c r="I114" s="8">
        <x:v>0.20695871913399644</x:v>
      </x:c>
      <x:c r="J114" s="8">
        <x:v>0.12287887653598596</x:v>
      </x:c>
      <x:c r="K114" s="8">
        <x:v>0.12373007899356347</x:v>
      </x:c>
      <x:c r="L114" s="16">
        <x:v>0.14999999999999997</x:v>
      </x:c>
      <x:c r="M114" s="16">
        <x:v>0.14951162179637212</x:v>
      </x:c>
      <x:c r="N114" s="16">
        <x:v>99.67441453091476</x:v>
      </x:c>
      <x:c r="O114" s="1" t="inlineStr">
        <x:is>
          <x:t>Нет</x:t>
        </x:is>
      </x:c>
      <x:c r="P114" s="1" t="inlineStr">
        <x:is>
          <x:t>Да</x:t>
        </x:is>
      </x:c>
      <x:c r="Q114" s="1" t="inlineStr">
        <x:is>
          <x:t>Нет</x:t>
        </x:is>
      </x:c>
      <x:c r="R114" s="1" t="inlineStr">
        <x:is>
          <x:t>Нет</x:t>
        </x:is>
      </x:c>
      <x:c r="S114" s="1" t="inlineStr">
        <x:is>
          <x:t>Да</x:t>
        </x:is>
      </x:c>
    </x:row>
    <x:row r="115" ht="26" customHeight="1">
      <x:c r="A115" s="1" t="inlineStr">
        <x:is>
          <x:t>Ущерб CR Избранного 3%</x:t>
        </x:is>
      </x:c>
      <x:c r="B115" s="1" t="inlineStr">
        <x:is>
          <x:t>H1</x:t>
        </x:is>
      </x:c>
      <x:c r="C115" s="8">
        <x:v>0.14999999999999997</x:v>
      </x:c>
      <x:c r="D115" s="16">
        <x:v>0.0047590725570472638</x:v>
      </x:c>
      <x:c r="E115" s="8">
        <x:v>0.00031727150380315094</x:v>
      </x:c>
      <x:c r="F115" s="12">
        <x:v>2093.9919251007959</x:v>
      </x:c>
      <x:c r="G115" s="12">
        <x:v>3432000</x:v>
      </x:c>
      <x:c r="H115" s="8">
        <x:v>0.20772381509654764</x:v>
      </x:c>
      <x:c r="I115" s="8">
        <x:v>0.20783213984786419</x:v>
      </x:c>
      <x:c r="J115" s="8">
        <x:v>0.12287887653598596</x:v>
      </x:c>
      <x:c r="K115" s="8">
        <x:v>0.11963692802808656</x:v>
      </x:c>
      <x:c r="L115" s="16">
        <x:v>0.14999999999999997</x:v>
      </x:c>
      <x:c r="M115" s="16">
        <x:v>0.15004759072557045</x:v>
      </x:c>
      <x:c r="N115" s="16">
        <x:v>100.03172715038032</x:v>
      </x:c>
      <x:c r="O115" s="1" t="inlineStr">
        <x:is>
          <x:t>Да</x:t>
        </x:is>
      </x:c>
      <x:c r="P115" s="1" t="inlineStr">
        <x:is>
          <x:t>Нет</x:t>
        </x:is>
      </x:c>
      <x:c r="Q115" s="1" t="inlineStr">
        <x:is>
          <x:t>Да</x:t>
        </x:is>
      </x:c>
      <x:c r="R115" s="1" t="inlineStr">
        <x:is>
          <x:t>Нет</x:t>
        </x:is>
      </x:c>
      <x:c r="S115" s="1" t="inlineStr">
        <x:is>
          <x:t>Да</x:t>
        </x:is>
      </x:c>
    </x:row>
    <x:row r="116" ht="26" customHeight="1">
      <x:c r="A116" s="1" t="inlineStr">
        <x:is>
          <x:t>Ущерб CR Избранного 3%</x:t>
        </x:is>
      </x:c>
      <x:c r="B116" s="1" t="inlineStr">
        <x:is>
          <x:t>H2</x:t>
        </x:is>
      </x:c>
      <x:c r="C116" s="8">
        <x:v>0.14999999999999997</x:v>
      </x:c>
      <x:c r="D116" s="16">
        <x:v>0.11695079359274399</x:v>
      </x:c>
      <x:c r="E116" s="8">
        <x:v>0.0077967195728496008</x:v>
      </x:c>
      <x:c r="F116" s="12">
        <x:v>51458.34918080736</x:v>
      </x:c>
      <x:c r="G116" s="12">
        <x:v>6692400</x:v>
      </x:c>
      <x:c r="H116" s="8">
        <x:v>0.20772381509654764</x:v>
      </x:c>
      <x:c r="I116" s="8">
        <x:v>0.20954220304271498</x:v>
      </x:c>
      <x:c r="J116" s="8">
        <x:v>0.12287887653598596</x:v>
      </x:c>
      <x:c r="K116" s="8">
        <x:v>0.12150718622001169</x:v>
      </x:c>
      <x:c r="L116" s="16">
        <x:v>0.14999999999999997</x:v>
      </x:c>
      <x:c r="M116" s="16">
        <x:v>0.15116950793592743</x:v>
      </x:c>
      <x:c r="N116" s="16">
        <x:v>100.77967195728496</x:v>
      </x:c>
      <x:c r="O116" s="1" t="inlineStr">
        <x:is>
          <x:t>Да</x:t>
        </x:is>
      </x:c>
      <x:c r="P116" s="1" t="inlineStr">
        <x:is>
          <x:t>Нет</x:t>
        </x:is>
      </x:c>
      <x:c r="Q116" s="1" t="inlineStr">
        <x:is>
          <x:t>Да</x:t>
        </x:is>
      </x:c>
      <x:c r="R116" s="1" t="inlineStr">
        <x:is>
          <x:t>Нет</x:t>
        </x:is>
      </x:c>
      <x:c r="S116" s="1" t="inlineStr">
        <x:is>
          <x:t>Да</x:t>
        </x:is>
      </x:c>
    </x:row>
    <x:row r="117" ht="26" customHeight="1">
      <x:c r="A117" s="1" t="inlineStr">
        <x:is>
          <x:t>Ущерб CR Избранного 3%</x:t>
        </x:is>
      </x:c>
      <x:c r="B117" s="1" t="inlineStr">
        <x:is>
          <x:t>H3</x:t>
        </x:is>
      </x:c>
      <x:c r="C117" s="8">
        <x:v>0.14999999999999997</x:v>
      </x:c>
      <x:c r="D117" s="16">
        <x:v>0.067280904768868777</x:v>
      </x:c>
      <x:c r="E117" s="8">
        <x:v>0.004485393651257919</x:v>
      </x:c>
      <x:c r="F117" s="12">
        <x:v>29603.59809830226</x:v>
      </x:c>
      <x:c r="G117" s="12">
        <x:v>5434000</x:v>
      </x:c>
      <x:c r="H117" s="8">
        <x:v>0.20772381509654764</x:v>
      </x:c>
      <x:c r="I117" s="8">
        <x:v>0.20879401418958451</x:v>
      </x:c>
      <x:c r="J117" s="8">
        <x:v>0.12287887653598596</x:v>
      </x:c>
      <x:c r="K117" s="8">
        <x:v>0.12016435488589818</x:v>
      </x:c>
      <x:c r="L117" s="16">
        <x:v>0.14999999999999997</x:v>
      </x:c>
      <x:c r="M117" s="16">
        <x:v>0.15067280904768868</x:v>
      </x:c>
      <x:c r="N117" s="16">
        <x:v>100.4485393651258</x:v>
      </x:c>
      <x:c r="O117" s="1" t="inlineStr">
        <x:is>
          <x:t>Да</x:t>
        </x:is>
      </x:c>
      <x:c r="P117" s="1" t="inlineStr">
        <x:is>
          <x:t>Нет</x:t>
        </x:is>
      </x:c>
      <x:c r="Q117" s="1" t="inlineStr">
        <x:is>
          <x:t>Да</x:t>
        </x:is>
      </x:c>
      <x:c r="R117" s="1" t="inlineStr">
        <x:is>
          <x:t>Нет</x:t>
        </x:is>
      </x:c>
      <x:c r="S117" s="1" t="inlineStr">
        <x:is>
          <x:t>Да</x:t>
        </x:is>
      </x:c>
    </x:row>
    <x:row r="118" ht="26" customHeight="1">
      <x:c r="A118" s="1" t="inlineStr">
        <x:is>
          <x:t>Ущерб CR Избранного 3%</x:t>
        </x:is>
      </x:c>
      <x:c r="B118" s="1" t="inlineStr">
        <x:is>
          <x:t>H4</x:t>
        </x:is>
      </x:c>
      <x:c r="C118" s="8">
        <x:v>0.14999999999999997</x:v>
      </x:c>
      <x:c r="D118" s="16">
        <x:v>0.12727985174078282</x:v>
      </x:c>
      <x:c r="E118" s="8">
        <x:v>0.0084853234493855231</x:v>
      </x:c>
      <x:c r="F118" s="12">
        <x:v>56003.134765944444</x:v>
      </x:c>
      <x:c r="G118" s="12">
        <x:v>7436000</x:v>
      </x:c>
      <x:c r="H118" s="8">
        <x:v>0.20772381509654764</x:v>
      </x:c>
      <x:c r="I118" s="8">
        <x:v>0.20970319324166176</x:v>
      </x:c>
      <x:c r="J118" s="8">
        <x:v>0.12287887653598596</x:v>
      </x:c>
      <x:c r="K118" s="8">
        <x:v>0.12139972140140431</x:v>
      </x:c>
      <x:c r="L118" s="16">
        <x:v>0.14999999999999997</x:v>
      </x:c>
      <x:c r="M118" s="16">
        <x:v>0.1512727985174078</x:v>
      </x:c>
      <x:c r="N118" s="16">
        <x:v>100.84853234493855</x:v>
      </x:c>
      <x:c r="O118" s="1" t="inlineStr">
        <x:is>
          <x:t>Да</x:t>
        </x:is>
      </x:c>
      <x:c r="P118" s="1" t="inlineStr">
        <x:is>
          <x:t>Нет</x:t>
        </x:is>
      </x:c>
      <x:c r="Q118" s="1" t="inlineStr">
        <x:is>
          <x:t>Да</x:t>
        </x:is>
      </x:c>
      <x:c r="R118" s="1" t="inlineStr">
        <x:is>
          <x:t>Нет</x:t>
        </x:is>
      </x:c>
      <x:c r="S118" s="1" t="inlineStr">
        <x:is>
          <x:t>Да</x:t>
        </x:is>
      </x:c>
    </x:row>
    <x:row r="119" ht="26" customHeight="1">
      <x:c r="A119" s="1" t="inlineStr">
        <x:is>
          <x:t>Ущерб CR Избранного 3%</x:t>
        </x:is>
      </x:c>
      <x:c r="B119" s="1" t="inlineStr">
        <x:is>
          <x:t>H5</x:t>
        </x:is>
      </x:c>
      <x:c r="C119" s="8">
        <x:v>0.14999999999999997</x:v>
      </x:c>
      <x:c r="D119" s="16">
        <x:v>-0.016266423054420474</x:v>
      </x:c>
      <x:c r="E119" s="8">
        <x:v>-0.0010844282036280317</x:v>
      </x:c>
      <x:c r="F119" s="12">
        <x:v>-7157.2261439450085</x:v>
      </x:c>
      <x:c r="G119" s="12">
        <x:v>1830400</x:v>
      </x:c>
      <x:c r="H119" s="8">
        <x:v>0.20772381509654764</x:v>
      </x:c>
      <x:c r="I119" s="8">
        <x:v>0.20748547922761842</x:v>
      </x:c>
      <x:c r="J119" s="8">
        <x:v>0.12287887653598596</x:v>
      </x:c>
      <x:c r="K119" s="8">
        <x:v>0.12162761322410764</x:v>
      </x:c>
      <x:c r="L119" s="16">
        <x:v>0.14999999999999997</x:v>
      </x:c>
      <x:c r="M119" s="16">
        <x:v>0.14983733576945577</x:v>
      </x:c>
      <x:c r="N119" s="16">
        <x:v>99.891557179637203</x:v>
      </x:c>
      <x:c r="O119" s="1" t="inlineStr">
        <x:is>
          <x:t>Нет</x:t>
        </x:is>
      </x:c>
      <x:c r="P119" s="1" t="inlineStr">
        <x:is>
          <x:t>Нет</x:t>
        </x:is>
      </x:c>
      <x:c r="Q119" s="1" t="inlineStr">
        <x:is>
          <x:t>Нет</x:t>
        </x:is>
      </x:c>
      <x:c r="R119" s="1" t="inlineStr">
        <x:is>
          <x:t>Нет</x:t>
        </x:is>
      </x:c>
      <x:c r="S119" s="1" t="inlineStr">
        <x:is>
          <x:t>Да</x:t>
        </x:is>
      </x:c>
    </x:row>
    <x:row r="120" ht="26" customHeight="1">
      <x:c r="A120" s="1" t="inlineStr">
        <x:is>
          <x:t>Ущерб CR Избранного 3%</x:t>
        </x:is>
      </x:c>
      <x:c r="B120" s="1" t="inlineStr">
        <x:is>
          <x:t>H6.1</x:t>
        </x:is>
      </x:c>
      <x:c r="C120" s="8">
        <x:v>0.14999999999999997</x:v>
      </x:c>
      <x:c r="D120" s="16">
        <x:v>-0.029723853423052723</x:v>
      </x:c>
      <x:c r="E120" s="8">
        <x:v>-0.0019815902282035152</x:v>
      </x:c>
      <x:c r="F120" s="12">
        <x:v>-13078.495506143197</x:v>
      </x:c>
      <x:c r="G120" s="12">
        <x:v>1029600</x:v>
      </x:c>
      <x:c r="H120" s="8">
        <x:v>0.20772381509654764</x:v>
      </x:c>
      <x:c r="I120" s="8">
        <x:v>0.20728830076067875</x:v>
      </x:c>
      <x:c r="J120" s="8">
        <x:v>0.12287887653598596</x:v>
      </x:c>
      <x:c r="K120" s="8">
        <x:v>0.12059242627267405</x:v>
      </x:c>
      <x:c r="L120" s="16">
        <x:v>0.14999999999999997</x:v>
      </x:c>
      <x:c r="M120" s="16">
        <x:v>0.14970276146576944</x:v>
      </x:c>
      <x:c r="N120" s="16">
        <x:v>99.801840977179651</x:v>
      </x:c>
      <x:c r="O120" s="1" t="inlineStr">
        <x:is>
          <x:t>Нет</x:t>
        </x:is>
      </x:c>
      <x:c r="P120" s="1" t="inlineStr">
        <x:is>
          <x:t>Нет</x:t>
        </x:is>
      </x:c>
      <x:c r="Q120" s="1" t="inlineStr">
        <x:is>
          <x:t>Нет</x:t>
        </x:is>
      </x:c>
      <x:c r="R120" s="1" t="inlineStr">
        <x:is>
          <x:t>Нет</x:t>
        </x:is>
      </x:c>
      <x:c r="S120" s="1" t="inlineStr">
        <x:is>
          <x:t>Да</x:t>
        </x:is>
      </x:c>
    </x:row>
    <x:row r="121" ht="26" customHeight="1">
      <x:c r="A121" s="1" t="inlineStr">
        <x:is>
          <x:t>Ущерб CR Избранного 3%</x:t>
        </x:is>
      </x:c>
      <x:c r="B121" s="1" t="inlineStr">
        <x:is>
          <x:t>H6.2</x:t>
        </x:is>
      </x:c>
      <x:c r="C121" s="8">
        <x:v>0.14999999999999997</x:v>
      </x:c>
      <x:c r="D121" s="16">
        <x:v>-0.029723853423052723</x:v>
      </x:c>
      <x:c r="E121" s="8">
        <x:v>-0.0019815902282035152</x:v>
      </x:c>
      <x:c r="F121" s="12">
        <x:v>-13078.495506143197</x:v>
      </x:c>
      <x:c r="G121" s="12">
        <x:v>1029600</x:v>
      </x:c>
      <x:c r="H121" s="8">
        <x:v>0.20772381509654764</x:v>
      </x:c>
      <x:c r="I121" s="8">
        <x:v>0.20728830076067875</x:v>
      </x:c>
      <x:c r="J121" s="8">
        <x:v>0.12287887653598596</x:v>
      </x:c>
      <x:c r="K121" s="8">
        <x:v>0.12059242627267405</x:v>
      </x:c>
      <x:c r="L121" s="16">
        <x:v>0.14999999999999997</x:v>
      </x:c>
      <x:c r="M121" s="16">
        <x:v>0.14970276146576944</x:v>
      </x:c>
      <x:c r="N121" s="16">
        <x:v>99.801840977179651</x:v>
      </x:c>
      <x:c r="O121" s="1" t="inlineStr">
        <x:is>
          <x:t>Нет</x:t>
        </x:is>
      </x:c>
      <x:c r="P121" s="1" t="inlineStr">
        <x:is>
          <x:t>Нет</x:t>
        </x:is>
      </x:c>
      <x:c r="Q121" s="1" t="inlineStr">
        <x:is>
          <x:t>Нет</x:t>
        </x:is>
      </x:c>
      <x:c r="R121" s="1" t="inlineStr">
        <x:is>
          <x:t>Нет</x:t>
        </x:is>
      </x:c>
      <x:c r="S121" s="1" t="inlineStr">
        <x:is>
          <x:t>Да</x:t>
        </x:is>
      </x:c>
    </x:row>
    <x:row r="122" ht="26" customHeight="1">
      <x:c r="A122" s="1" t="inlineStr">
        <x:is>
          <x:t>Ущерб CR Избранного 3%</x:t>
        </x:is>
      </x:c>
      <x:c r="B122" s="1" t="inlineStr">
        <x:is>
          <x:t>H6.3</x:t>
        </x:is>
      </x:c>
      <x:c r="C122" s="8">
        <x:v>0.14999999999999997</x:v>
      </x:c>
      <x:c r="D122" s="16">
        <x:v>-0.029723853423052723</x:v>
      </x:c>
      <x:c r="E122" s="8">
        <x:v>-0.0019815902282035152</x:v>
      </x:c>
      <x:c r="F122" s="12">
        <x:v>-13078.495506143197</x:v>
      </x:c>
      <x:c r="G122" s="12">
        <x:v>1029600</x:v>
      </x:c>
      <x:c r="H122" s="8">
        <x:v>0.20772381509654764</x:v>
      </x:c>
      <x:c r="I122" s="8">
        <x:v>0.20728830076067875</x:v>
      </x:c>
      <x:c r="J122" s="8">
        <x:v>0.12287887653598596</x:v>
      </x:c>
      <x:c r="K122" s="8">
        <x:v>0.12059242627267405</x:v>
      </x:c>
      <x:c r="L122" s="16">
        <x:v>0.14999999999999997</x:v>
      </x:c>
      <x:c r="M122" s="16">
        <x:v>0.14970276146576944</x:v>
      </x:c>
      <x:c r="N122" s="16">
        <x:v>99.801840977179651</x:v>
      </x:c>
      <x:c r="O122" s="1" t="inlineStr">
        <x:is>
          <x:t>Нет</x:t>
        </x:is>
      </x:c>
      <x:c r="P122" s="1" t="inlineStr">
        <x:is>
          <x:t>Нет</x:t>
        </x:is>
      </x:c>
      <x:c r="Q122" s="1" t="inlineStr">
        <x:is>
          <x:t>Нет</x:t>
        </x:is>
      </x:c>
      <x:c r="R122" s="1" t="inlineStr">
        <x:is>
          <x:t>Нет</x:t>
        </x:is>
      </x:c>
      <x:c r="S122" s="1" t="inlineStr">
        <x:is>
          <x:t>Да</x:t>
        </x:is>
      </x:c>
    </x:row>
    <x:row r="123" ht="26" customHeight="1">
      <x:c r="A123" s="1" t="inlineStr">
        <x:is>
          <x:t>Ущерб доходу покупателя 10%</x:t>
        </x:is>
      </x:c>
      <x:c r="B123" s="1" t="inlineStr">
        <x:is>
          <x:t>H1</x:t>
        </x:is>
      </x:c>
      <x:c r="C123" s="8">
        <x:v>0.14999999999999997</x:v>
      </x:c>
      <x:c r="D123" s="16">
        <x:v>0.052860517846693447</x:v>
      </x:c>
      <x:c r="E123" s="8">
        <x:v>0.0035240345231128973</x:v>
      </x:c>
      <x:c r="F123" s="12">
        <x:v>23258.62785254512</x:v>
      </x:c>
      <x:c r="G123" s="12">
        <x:v>3432000</x:v>
      </x:c>
      <x:c r="H123" s="8">
        <x:v>0.20772381509654764</x:v>
      </x:c>
      <x:c r="I123" s="8">
        <x:v>0.20853705383265062</x:v>
      </x:c>
      <x:c r="J123" s="8">
        <x:v>0.12287887653598596</x:v>
      </x:c>
      <x:c r="K123" s="8">
        <x:v>0.12333703920421298</x:v>
      </x:c>
      <x:c r="L123" s="16">
        <x:v>0.14999999999999997</x:v>
      </x:c>
      <x:c r="M123" s="16">
        <x:v>0.14956771843183145</x:v>
      </x:c>
      <x:c r="N123" s="16">
        <x:v>99.711812287887639</x:v>
      </x:c>
      <x:c r="O123" s="1" t="inlineStr">
        <x:is>
          <x:t>Да</x:t>
        </x:is>
      </x:c>
      <x:c r="P123" s="1" t="inlineStr">
        <x:is>
          <x:t>Да</x:t>
        </x:is>
      </x:c>
      <x:c r="Q123" s="1" t="inlineStr">
        <x:is>
          <x:t>Нет</x:t>
        </x:is>
      </x:c>
      <x:c r="R123" s="1" t="inlineStr">
        <x:is>
          <x:t>Нет</x:t>
        </x:is>
      </x:c>
      <x:c r="S123" s="1" t="inlineStr">
        <x:is>
          <x:t>Да</x:t>
        </x:is>
      </x:c>
    </x:row>
    <x:row r="124" ht="26" customHeight="1">
      <x:c r="A124" s="1" t="inlineStr">
        <x:is>
          <x:t>Ущерб доходу покупателя 10%</x:t>
        </x:is>
      </x:c>
      <x:c r="B124" s="1" t="inlineStr">
        <x:is>
          <x:t>H2</x:t>
        </x:is>
      </x:c>
      <x:c r="C124" s="8">
        <x:v>0.14999999999999997</x:v>
      </x:c>
      <x:c r="D124" s="16">
        <x:v>0.1658041983616115</x:v>
      </x:c>
      <x:c r="E124" s="8">
        <x:v>0.011053613224107434</x:v>
      </x:c>
      <x:c r="F124" s="12">
        <x:v>72953.847279109061</x:v>
      </x:c>
      <x:c r="G124" s="12">
        <x:v>6692400</x:v>
      </x:c>
      <x:c r="H124" s="8">
        <x:v>0.20772381509654764</x:v>
      </x:c>
      <x:c r="I124" s="8">
        <x:v>0.21025819192510231</x:v>
      </x:c>
      <x:c r="J124" s="8">
        <x:v>0.12287887653598596</x:v>
      </x:c>
      <x:c r="K124" s="8">
        <x:v>0.12526514043300177</x:v>
      </x:c>
      <x:c r="L124" s="16">
        <x:v>0.14999999999999997</x:v>
      </x:c>
      <x:c r="M124" s="16">
        <x:v>0.14867270470669974</x:v>
      </x:c>
      <x:c r="N124" s="16">
        <x:v>99.115136471133198</x:v>
      </x:c>
      <x:c r="O124" s="1" t="inlineStr">
        <x:is>
          <x:t>Да</x:t>
        </x:is>
      </x:c>
      <x:c r="P124" s="1" t="inlineStr">
        <x:is>
          <x:t>Да</x:t>
        </x:is>
      </x:c>
      <x:c r="Q124" s="1" t="inlineStr">
        <x:is>
          <x:t>Нет</x:t>
        </x:is>
      </x:c>
      <x:c r="R124" s="1" t="inlineStr">
        <x:is>
          <x:t>Нет</x:t>
        </x:is>
      </x:c>
      <x:c r="S124" s="1" t="inlineStr">
        <x:is>
          <x:t>Да</x:t>
        </x:is>
      </x:c>
    </x:row>
    <x:row r="125" ht="26" customHeight="1">
      <x:c r="A125" s="1" t="inlineStr">
        <x:is>
          <x:t>Ущерб доходу покупателя 10%</x:t>
        </x:is>
      </x:c>
      <x:c r="B125" s="1" t="inlineStr">
        <x:is>
          <x:t>H3</x:t>
        </x:is>
      </x:c>
      <x:c r="C125" s="8">
        <x:v>0.14999999999999997</x:v>
      </x:c>
      <x:c r="D125" s="16">
        <x:v>0.11559440827969335</x:v>
      </x:c>
      <x:c r="E125" s="8">
        <x:v>0.007706293885312891</x:v>
      </x:c>
      <x:c r="F125" s="12">
        <x:v>50861.539643065073</x:v>
      </x:c>
      <x:c r="G125" s="12">
        <x:v>5434000</x:v>
      </x:c>
      <x:c r="H125" s="8">
        <x:v>0.20772381509654764</x:v>
      </x:c>
      <x:c r="I125" s="8">
        <x:v>0.20950219060854297</x:v>
      </x:c>
      <x:c r="J125" s="8">
        <x:v>0.12287887653598596</x:v>
      </x:c>
      <x:c r="K125" s="8">
        <x:v>0.12388077823288472</x:v>
      </x:c>
      <x:c r="L125" s="16">
        <x:v>0.14999999999999997</x:v>
      </x:c>
      <x:c r="M125" s="16">
        <x:v>0.1490735147838648</x:v>
      </x:c>
      <x:c r="N125" s="16">
        <x:v>99.382343189243215</x:v>
      </x:c>
      <x:c r="O125" s="1" t="inlineStr">
        <x:is>
          <x:t>Да</x:t>
        </x:is>
      </x:c>
      <x:c r="P125" s="1" t="inlineStr">
        <x:is>
          <x:t>Да</x:t>
        </x:is>
      </x:c>
      <x:c r="Q125" s="1" t="inlineStr">
        <x:is>
          <x:t>Нет</x:t>
        </x:is>
      </x:c>
      <x:c r="R125" s="1" t="inlineStr">
        <x:is>
          <x:t>Нет</x:t>
        </x:is>
      </x:c>
      <x:c r="S125" s="1" t="inlineStr">
        <x:is>
          <x:t>Да</x:t>
        </x:is>
      </x:c>
    </x:row>
    <x:row r="126" ht="26" customHeight="1">
      <x:c r="A126" s="1" t="inlineStr">
        <x:is>
          <x:t>Ущерб доходу покупателя 10%</x:t>
        </x:is>
      </x:c>
      <x:c r="B126" s="1" t="inlineStr">
        <x:is>
          <x:t>H4</x:t>
        </x:is>
      </x:c>
      <x:c r="C126" s="8">
        <x:v>0.14999999999999997</x:v>
      </x:c>
      <x:c r="D126" s="16">
        <x:v>0.17609004900526382</x:v>
      </x:c>
      <x:c r="E126" s="8">
        <x:v>0.011739336600350923</x:v>
      </x:c>
      <x:c r="F126" s="12">
        <x:v>77479.621562316082</x:v>
      </x:c>
      <x:c r="G126" s="12">
        <x:v>7436000</x:v>
      </x:c>
      <x:c r="H126" s="8">
        <x:v>0.20772381509654764</x:v>
      </x:c>
      <x:c r="I126" s="8">
        <x:v>0.21041858177296657</x:v>
      </x:c>
      <x:c r="J126" s="8">
        <x:v>0.12287887653598596</x:v>
      </x:c>
      <x:c r="K126" s="8">
        <x:v>0.12515435196021063</x:v>
      </x:c>
      <x:c r="L126" s="16">
        <x:v>0.14999999999999997</x:v>
      </x:c>
      <x:c r="M126" s="16">
        <x:v>0.14858729842927146</x:v>
      </x:c>
      <x:c r="N126" s="16">
        <x:v>99.058198952847661</x:v>
      </x:c>
      <x:c r="O126" s="1" t="inlineStr">
        <x:is>
          <x:t>Да</x:t>
        </x:is>
      </x:c>
      <x:c r="P126" s="1" t="inlineStr">
        <x:is>
          <x:t>Да</x:t>
        </x:is>
      </x:c>
      <x:c r="Q126" s="1" t="inlineStr">
        <x:is>
          <x:t>Нет</x:t>
        </x:is>
      </x:c>
      <x:c r="R126" s="1" t="inlineStr">
        <x:is>
          <x:t>Нет</x:t>
        </x:is>
      </x:c>
      <x:c r="S126" s="1" t="inlineStr">
        <x:is>
          <x:t>Да</x:t>
        </x:is>
      </x:c>
    </x:row>
    <x:row r="127" ht="26" customHeight="1">
      <x:c r="A127" s="1" t="inlineStr">
        <x:is>
          <x:t>Ущерб доходу покупателя 10%</x:t>
        </x:is>
      </x:c>
      <x:c r="B127" s="1" t="inlineStr">
        <x:is>
          <x:t>H5</x:t>
        </x:is>
      </x:c>
      <x:c r="C127" s="8">
        <x:v>0.14999999999999997</x:v>
      </x:c>
      <x:c r="D127" s="16">
        <x:v>0.032635400819192133</x:v>
      </x:c>
      <x:c r="E127" s="8">
        <x:v>0.0021756933879461425</x:v>
      </x:c>
      <x:c r="F127" s="12">
        <x:v>14359.576360444538</x:v>
      </x:c>
      <x:c r="G127" s="12">
        <x:v>1830400</x:v>
      </x:c>
      <x:c r="H127" s="8">
        <x:v>0.20772381509654764</x:v>
      </x:c>
      <x:c r="I127" s="8">
        <x:v>0.20820198946752486</x:v>
      </x:c>
      <x:c r="J127" s="8">
        <x:v>0.12287887653598596</x:v>
      </x:c>
      <x:c r="K127" s="8">
        <x:v>0.12538929198361612</x:v>
      </x:c>
      <x:c r="L127" s="16">
        <x:v>0.14999999999999997</x:v>
      </x:c>
      <x:c r="M127" s="16">
        <x:v>0.14973230984201283</x:v>
      </x:c>
      <x:c r="N127" s="16">
        <x:v>99.821539894675226</x:v>
      </x:c>
      <x:c r="O127" s="1" t="inlineStr">
        <x:is>
          <x:t>Да</x:t>
        </x:is>
      </x:c>
      <x:c r="P127" s="1" t="inlineStr">
        <x:is>
          <x:t>Да</x:t>
        </x:is>
      </x:c>
      <x:c r="Q127" s="1" t="inlineStr">
        <x:is>
          <x:t>Нет</x:t>
        </x:is>
      </x:c>
      <x:c r="R127" s="1" t="inlineStr">
        <x:is>
          <x:t>Нет</x:t>
        </x:is>
      </x:c>
      <x:c r="S127" s="1" t="inlineStr">
        <x:is>
          <x:t>Да</x:t>
        </x:is>
      </x:c>
    </x:row>
    <x:row r="128" ht="26" customHeight="1">
      <x:c r="A128" s="1" t="inlineStr">
        <x:is>
          <x:t>Ущерб доходу покупателя 10%</x:t>
        </x:is>
      </x:c>
      <x:c r="B128" s="1" t="inlineStr">
        <x:is>
          <x:t>H6.1</x:t>
        </x:is>
      </x:c>
      <x:c r="C128" s="8">
        <x:v>0.14999999999999997</x:v>
      </x:c>
      <x:c r="D128" s="16">
        <x:v>0.018761761263895525</x:v>
      </x:c>
      <x:c r="E128" s="8">
        <x:v>0.0012507840842597019</x:v>
      </x:c>
      <x:c r="F128" s="12">
        <x:v>8255.1749561140314</x:v>
      </x:c>
      <x:c r="G128" s="12">
        <x:v>1029600</x:v>
      </x:c>
      <x:c r="H128" s="8">
        <x:v>0.20772381509654764</x:v>
      </x:c>
      <x:c r="I128" s="8">
        <x:v>0.20799871269748388</x:v>
      </x:c>
      <x:c r="J128" s="8">
        <x:v>0.12287887653598596</x:v>
      </x:c>
      <x:c r="K128" s="8">
        <x:v>0.12432208894090108</x:v>
      </x:c>
      <x:c r="L128" s="16">
        <x:v>0.14999999999999997</x:v>
      </x:c>
      <x:c r="M128" s="16">
        <x:v>0.14984926614101812</x:v>
      </x:c>
      <x:c r="N128" s="16">
        <x:v>99.899510760678751</x:v>
      </x:c>
      <x:c r="O128" s="1" t="inlineStr">
        <x:is>
          <x:t>Да</x:t>
        </x:is>
      </x:c>
      <x:c r="P128" s="1" t="inlineStr">
        <x:is>
          <x:t>Да</x:t>
        </x:is>
      </x:c>
      <x:c r="Q128" s="1" t="inlineStr">
        <x:is>
          <x:t>Нет</x:t>
        </x:is>
      </x:c>
      <x:c r="R128" s="1" t="inlineStr">
        <x:is>
          <x:t>Нет</x:t>
        </x:is>
      </x:c>
      <x:c r="S128" s="1" t="inlineStr">
        <x:is>
          <x:t>Да</x:t>
        </x:is>
      </x:c>
    </x:row>
    <x:row r="129" ht="26" customHeight="1">
      <x:c r="A129" s="1" t="inlineStr">
        <x:is>
          <x:t>Ущерб доходу покупателя 10%</x:t>
        </x:is>
      </x:c>
      <x:c r="B129" s="1" t="inlineStr">
        <x:is>
          <x:t>H6.2</x:t>
        </x:is>
      </x:c>
      <x:c r="C129" s="8">
        <x:v>0.14999999999999997</x:v>
      </x:c>
      <x:c r="D129" s="16">
        <x:v>0.018761761263895525</x:v>
      </x:c>
      <x:c r="E129" s="8">
        <x:v>0.0012507840842597019</x:v>
      </x:c>
      <x:c r="F129" s="12">
        <x:v>8255.1749561140314</x:v>
      </x:c>
      <x:c r="G129" s="12">
        <x:v>1029600</x:v>
      </x:c>
      <x:c r="H129" s="8">
        <x:v>0.20772381509654764</x:v>
      </x:c>
      <x:c r="I129" s="8">
        <x:v>0.20799871269748388</x:v>
      </x:c>
      <x:c r="J129" s="8">
        <x:v>0.12287887653598596</x:v>
      </x:c>
      <x:c r="K129" s="8">
        <x:v>0.12432208894090108</x:v>
      </x:c>
      <x:c r="L129" s="16">
        <x:v>0.14999999999999997</x:v>
      </x:c>
      <x:c r="M129" s="16">
        <x:v>0.14984926614101812</x:v>
      </x:c>
      <x:c r="N129" s="16">
        <x:v>99.899510760678751</x:v>
      </x:c>
      <x:c r="O129" s="1" t="inlineStr">
        <x:is>
          <x:t>Да</x:t>
        </x:is>
      </x:c>
      <x:c r="P129" s="1" t="inlineStr">
        <x:is>
          <x:t>Да</x:t>
        </x:is>
      </x:c>
      <x:c r="Q129" s="1" t="inlineStr">
        <x:is>
          <x:t>Нет</x:t>
        </x:is>
      </x:c>
      <x:c r="R129" s="1" t="inlineStr">
        <x:is>
          <x:t>Нет</x:t>
        </x:is>
      </x:c>
      <x:c r="S129" s="1" t="inlineStr">
        <x:is>
          <x:t>Да</x:t>
        </x:is>
      </x:c>
    </x:row>
    <x:row r="130" ht="26" customHeight="1">
      <x:c r="A130" s="1" t="inlineStr">
        <x:is>
          <x:t>Ущерб доходу покупателя 10%</x:t>
        </x:is>
      </x:c>
      <x:c r="B130" s="1" t="inlineStr">
        <x:is>
          <x:t>H6.3</x:t>
        </x:is>
      </x:c>
      <x:c r="C130" s="8">
        <x:v>0.14999999999999997</x:v>
      </x:c>
      <x:c r="D130" s="16">
        <x:v>0.018761761263895525</x:v>
      </x:c>
      <x:c r="E130" s="8">
        <x:v>0.0012507840842597019</x:v>
      </x:c>
      <x:c r="F130" s="12">
        <x:v>8255.1749561140314</x:v>
      </x:c>
      <x:c r="G130" s="12">
        <x:v>1029600</x:v>
      </x:c>
      <x:c r="H130" s="8">
        <x:v>0.20772381509654764</x:v>
      </x:c>
      <x:c r="I130" s="8">
        <x:v>0.20799871269748388</x:v>
      </x:c>
      <x:c r="J130" s="8">
        <x:v>0.12287887653598596</x:v>
      </x:c>
      <x:c r="K130" s="8">
        <x:v>0.12432208894090108</x:v>
      </x:c>
      <x:c r="L130" s="16">
        <x:v>0.14999999999999997</x:v>
      </x:c>
      <x:c r="M130" s="16">
        <x:v>0.14984926614101812</x:v>
      </x:c>
      <x:c r="N130" s="16">
        <x:v>99.899510760678751</x:v>
      </x:c>
      <x:c r="O130" s="1" t="inlineStr">
        <x:is>
          <x:t>Да</x:t>
        </x:is>
      </x:c>
      <x:c r="P130" s="1" t="inlineStr">
        <x:is>
          <x:t>Да</x:t>
        </x:is>
      </x:c>
      <x:c r="Q130" s="1" t="inlineStr">
        <x:is>
          <x:t>Нет</x:t>
        </x:is>
      </x:c>
      <x:c r="R130" s="1" t="inlineStr">
        <x:is>
          <x:t>Нет</x:t>
        </x:is>
      </x:c>
      <x:c r="S130" s="1" t="inlineStr">
        <x:is>
          <x:t>Да</x:t>
        </x:is>
      </x:c>
    </x:row>
    <x:row r="131" ht="26" customHeight="1">
      <x:c r="A131" s="1" t="inlineStr">
        <x:is>
          <x:t>Совместный негативный</x:t>
        </x:is>
      </x:c>
      <x:c r="B131" s="1" t="inlineStr">
        <x:is>
          <x:t>H1</x:t>
        </x:is>
      </x:c>
      <x:c r="C131" s="8">
        <x:v>0.14999999999999997</x:v>
      </x:c>
      <x:c r="D131" s="16">
        <x:v>-0.030871474063781684</x:v>
      </x:c>
      <x:c r="E131" s="8">
        <x:v>-0.0020580982709187791</x:v>
      </x:c>
      <x:c r="F131" s="12">
        <x:v>-13583.44858806394</x:v>
      </x:c>
      <x:c r="G131" s="12">
        <x:v>3432000</x:v>
      </x:c>
      <x:c r="H131" s="8">
        <x:v>0.20772381509654764</x:v>
      </x:c>
      <x:c r="I131" s="8">
        <x:v>0.20726057209186657</x:v>
      </x:c>
      <x:c r="J131" s="8">
        <x:v>0.12287887653598596</x:v>
      </x:c>
      <x:c r="K131" s="8">
        <x:v>0.12152211477472206</x:v>
      </x:c>
      <x:c r="L131" s="16">
        <x:v>0.14999999999999997</x:v>
      </x:c>
      <x:c r="M131" s="16">
        <x:v>0.1495002842519508</x:v>
      </x:c>
      <x:c r="N131" s="16">
        <x:v>99.666856167967225</x:v>
      </x:c>
      <x:c r="O131" s="1" t="inlineStr">
        <x:is>
          <x:t>Нет</x:t>
        </x:is>
      </x:c>
      <x:c r="P131" s="1" t="inlineStr">
        <x:is>
          <x:t>Нет</x:t>
        </x:is>
      </x:c>
      <x:c r="Q131" s="1" t="inlineStr">
        <x:is>
          <x:t>Нет</x:t>
        </x:is>
      </x:c>
      <x:c r="R131" s="1" t="inlineStr">
        <x:is>
          <x:t>Нет</x:t>
        </x:is>
      </x:c>
      <x:c r="S131" s="1" t="inlineStr">
        <x:is>
          <x:t>Да</x:t>
        </x:is>
      </x:c>
    </x:row>
    <x:row r="132" ht="26" customHeight="1">
      <x:c r="A132" s="1" t="inlineStr">
        <x:is>
          <x:t>Совместный негативный</x:t>
        </x:is>
      </x:c>
      <x:c r="B132" s="1" t="inlineStr">
        <x:is>
          <x:t>H2</x:t>
        </x:is>
      </x:c>
      <x:c r="C132" s="8">
        <x:v>0.14999999999999997</x:v>
      </x:c>
      <x:c r="D132" s="16">
        <x:v>0.081263383191923444</x:v>
      </x:c>
      <x:c r="E132" s="8">
        <x:v>0.0054175588794615637</x:v>
      </x:c>
      <x:c r="F132" s="12">
        <x:v>35755.888604446314</x:v>
      </x:c>
      <x:c r="G132" s="12">
        <x:v>6692400</x:v>
      </x:c>
      <x:c r="H132" s="8">
        <x:v>0.20772381509654764</x:v>
      </x:c>
      <x:c r="I132" s="8">
        <x:v>0.20896943131948503</x:v>
      </x:c>
      <x:c r="J132" s="8">
        <x:v>0.12287887653598596</x:v>
      </x:c>
      <x:c r="K132" s="8">
        <x:v>0.12342179820070216</x:v>
      </x:c>
      <x:c r="L132" s="16">
        <x:v>0.14999999999999997</x:v>
      </x:c>
      <x:c r="M132" s="16">
        <x:v>0.15021965148509722</x:v>
      </x:c>
      <x:c r="N132" s="16">
        <x:v>100.14643432339815</x:v>
      </x:c>
      <x:c r="O132" s="1" t="inlineStr">
        <x:is>
          <x:t>Да</x:t>
        </x:is>
      </x:c>
      <x:c r="P132" s="1" t="inlineStr">
        <x:is>
          <x:t>Да</x:t>
        </x:is>
      </x:c>
      <x:c r="Q132" s="1" t="inlineStr">
        <x:is>
          <x:t>Да</x:t>
        </x:is>
      </x:c>
      <x:c r="R132" s="1" t="inlineStr">
        <x:is>
          <x:t>Да</x:t>
        </x:is>
      </x:c>
      <x:c r="S132" s="1" t="inlineStr">
        <x:is>
          <x:t>Да</x:t>
        </x:is>
      </x:c>
    </x:row>
    <x:row r="133" ht="26" customHeight="1">
      <x:c r="A133" s="1" t="inlineStr">
        <x:is>
          <x:t>Совместный негативный</x:t>
        </x:is>
      </x:c>
      <x:c r="B133" s="1" t="inlineStr">
        <x:is>
          <x:t>H3</x:t>
        </x:is>
      </x:c>
      <x:c r="C133" s="8">
        <x:v>0.14999999999999997</x:v>
      </x:c>
      <x:c r="D133" s="16">
        <x:v>0.031478414273693821</x:v>
      </x:c>
      <x:c r="E133" s="8">
        <x:v>0.0020985609515795883</x:v>
      </x:c>
      <x:c r="F133" s="12">
        <x:v>13850.50228042528</x:v>
      </x:c>
      <x:c r="G133" s="12">
        <x:v>5434000</x:v>
      </x:c>
      <x:c r="H133" s="8">
        <x:v>0.20772381509654764</x:v>
      </x:c>
      <x:c r="I133" s="8">
        <x:v>0.20821980114321234</x:v>
      </x:c>
      <x:c r="J133" s="8">
        <x:v>0.12287887653598596</x:v>
      </x:c>
      <x:c r="K133" s="8">
        <x:v>0.12205772490491515</x:v>
      </x:c>
      <x:c r="L133" s="16">
        <x:v>0.14999999999999997</x:v>
      </x:c>
      <x:c r="M133" s="16">
        <x:v>0.14990084764569223</x:v>
      </x:c>
      <x:c r="N133" s="16">
        <x:v>99.933898430461497</x:v>
      </x:c>
      <x:c r="O133" s="1" t="inlineStr">
        <x:is>
          <x:t>Да</x:t>
        </x:is>
      </x:c>
      <x:c r="P133" s="1" t="inlineStr">
        <x:is>
          <x:t>Нет</x:t>
        </x:is>
      </x:c>
      <x:c r="Q133" s="1" t="inlineStr">
        <x:is>
          <x:t>Нет</x:t>
        </x:is>
      </x:c>
      <x:c r="R133" s="1" t="inlineStr">
        <x:is>
          <x:t>Нет</x:t>
        </x:is>
      </x:c>
      <x:c r="S133" s="1" t="inlineStr">
        <x:is>
          <x:t>Да</x:t>
        </x:is>
      </x:c>
    </x:row>
    <x:row r="134" ht="26" customHeight="1">
      <x:c r="A134" s="1" t="inlineStr">
        <x:is>
          <x:t>Совместный негативный</x:t>
        </x:is>
      </x:c>
      <x:c r="B134" s="1" t="inlineStr">
        <x:is>
          <x:t>H4</x:t>
        </x:is>
      </x:c>
      <x:c r="C134" s="8">
        <x:v>0.14999999999999997</x:v>
      </x:c>
      <x:c r="D134" s="16">
        <x:v>0.091511444598446942</x:v>
      </x:c>
      <x:c r="E134" s="8">
        <x:v>0.0061007629732297971</x:v>
      </x:c>
      <x:c r="F134" s="12">
        <x:v>40265.035623316653</x:v>
      </x:c>
      <x:c r="G134" s="12">
        <x:v>7436000</x:v>
      </x:c>
      <x:c r="H134" s="8">
        <x:v>0.20772381509654764</x:v>
      </x:c>
      <x:c r="I134" s="8">
        <x:v>0.20912921833455231</x:v>
      </x:c>
      <x:c r="J134" s="8">
        <x:v>0.12287887653598596</x:v>
      </x:c>
      <x:c r="K134" s="8">
        <x:v>0.12331261290228201</x:v>
      </x:c>
      <x:c r="L134" s="16">
        <x:v>0.14999999999999997</x:v>
      </x:c>
      <x:c r="M134" s="16">
        <x:v>0.15028461805670687</x:v>
      </x:c>
      <x:c r="N134" s="16">
        <x:v>100.18974537113793</x:v>
      </x:c>
      <x:c r="O134" s="1" t="inlineStr">
        <x:is>
          <x:t>Да</x:t>
        </x:is>
      </x:c>
      <x:c r="P134" s="1" t="inlineStr">
        <x:is>
          <x:t>Да</x:t>
        </x:is>
      </x:c>
      <x:c r="Q134" s="1" t="inlineStr">
        <x:is>
          <x:t>Да</x:t>
        </x:is>
      </x:c>
      <x:c r="R134" s="1" t="inlineStr">
        <x:is>
          <x:t>Да</x:t>
        </x:is>
      </x:c>
      <x:c r="S134" s="1" t="inlineStr">
        <x:is>
          <x:t>Да</x:t>
        </x:is>
      </x:c>
    </x:row>
    <x:row r="135" ht="26" customHeight="1">
      <x:c r="A135" s="1" t="inlineStr">
        <x:is>
          <x:t>Совместный негативный</x:t>
        </x:is>
      </x:c>
      <x:c r="B135" s="1" t="inlineStr">
        <x:is>
          <x:t>H5</x:t>
        </x:is>
      </x:c>
      <x:c r="C135" s="8">
        <x:v>0.14999999999999997</x:v>
      </x:c>
      <x:c r="D135" s="16">
        <x:v>-0.05125323177296668</x:v>
      </x:c>
      <x:c r="E135" s="8">
        <x:v>-0.0034168821181977792</x:v>
      </x:c>
      <x:c r="F135" s="12">
        <x:v>-22551.42198010534</x:v>
      </x:c>
      <x:c r="G135" s="12">
        <x:v>1830400</x:v>
      </x:c>
      <x:c r="H135" s="8">
        <x:v>0.20772381509654764</x:v>
      </x:c>
      <x:c r="I135" s="8">
        <x:v>0.2069233369572849</x:v>
      </x:c>
      <x:c r="J135" s="8">
        <x:v>0.12287887653598596</x:v>
      </x:c>
      <x:c r="K135" s="8">
        <x:v>0.12354427811585721</x:v>
      </x:c>
      <x:c r="L135" s="16">
        <x:v>0.14999999999999997</x:v>
      </x:c>
      <x:c r="M135" s="16">
        <x:v>0.14937040703615209</x:v>
      </x:c>
      <x:c r="N135" s="16">
        <x:v>99.580271357434754</x:v>
      </x:c>
      <x:c r="O135" s="1" t="inlineStr">
        <x:is>
          <x:t>Нет</x:t>
        </x:is>
      </x:c>
      <x:c r="P135" s="1" t="inlineStr">
        <x:is>
          <x:t>Да</x:t>
        </x:is>
      </x:c>
      <x:c r="Q135" s="1" t="inlineStr">
        <x:is>
          <x:t>Нет</x:t>
        </x:is>
      </x:c>
      <x:c r="R135" s="1" t="inlineStr">
        <x:is>
          <x:t>Нет</x:t>
        </x:is>
      </x:c>
      <x:c r="S135" s="1" t="inlineStr">
        <x:is>
          <x:t>Да</x:t>
        </x:is>
      </x:c>
    </x:row>
    <x:row r="136" ht="26" customHeight="1">
      <x:c r="A136" s="1" t="inlineStr">
        <x:is>
          <x:t>Совместный негативный</x:t>
        </x:is>
      </x:c>
      <x:c r="B136" s="1" t="inlineStr">
        <x:is>
          <x:t>H6.1</x:t>
        </x:is>
      </x:c>
      <x:c r="C136" s="8">
        <x:v>0.14999999999999997</x:v>
      </x:c>
      <x:c r="D136" s="16">
        <x:v>-0.064922730631950643</x:v>
      </x:c>
      <x:c r="E136" s="8">
        <x:v>-0.0043281820421300441</x:v>
      </x:c>
      <x:c r="F136" s="12">
        <x:v>-28566.001478058286</x:v>
      </x:c>
      <x:c r="G136" s="12">
        <x:v>1029600</x:v>
      </x:c>
      <x:c r="H136" s="8">
        <x:v>0.20772381509654764</x:v>
      </x:c>
      <x:c r="I136" s="8">
        <x:v>0.20672309917495604</x:v>
      </x:c>
      <x:c r="J136" s="8">
        <x:v>0.12287887653598596</x:v>
      </x:c>
      <x:c r="K136" s="8">
        <x:v>0.12249277820362783</x:v>
      </x:c>
      <x:c r="L136" s="16">
        <x:v>0.14999999999999997</x:v>
      </x:c>
      <x:c r="M136" s="16">
        <x:v>0.14928409811940135</x:v>
      </x:c>
      <x:c r="N136" s="16">
        <x:v>99.522732079600928</x:v>
      </x:c>
      <x:c r="O136" s="1" t="inlineStr">
        <x:is>
          <x:t>Нет</x:t>
        </x:is>
      </x:c>
      <x:c r="P136" s="1" t="inlineStr">
        <x:is>
          <x:t>Нет</x:t>
        </x:is>
      </x:c>
      <x:c r="Q136" s="1" t="inlineStr">
        <x:is>
          <x:t>Нет</x:t>
        </x:is>
      </x:c>
      <x:c r="R136" s="1" t="inlineStr">
        <x:is>
          <x:t>Нет</x:t>
        </x:is>
      </x:c>
      <x:c r="S136" s="1" t="inlineStr">
        <x:is>
          <x:t>Да</x:t>
        </x:is>
      </x:c>
    </x:row>
    <x:row r="137" ht="26" customHeight="1">
      <x:c r="A137" s="1" t="inlineStr">
        <x:is>
          <x:t>Совместный негативный</x:t>
        </x:is>
      </x:c>
      <x:c r="B137" s="1" t="inlineStr">
        <x:is>
          <x:t>H6.2</x:t>
        </x:is>
      </x:c>
      <x:c r="C137" s="8">
        <x:v>0.14999999999999997</x:v>
      </x:c>
      <x:c r="D137" s="16">
        <x:v>-0.064922730631950643</x:v>
      </x:c>
      <x:c r="E137" s="8">
        <x:v>-0.0043281820421300441</x:v>
      </x:c>
      <x:c r="F137" s="12">
        <x:v>-28566.001478058286</x:v>
      </x:c>
      <x:c r="G137" s="12">
        <x:v>1029600</x:v>
      </x:c>
      <x:c r="H137" s="8">
        <x:v>0.20772381509654764</x:v>
      </x:c>
      <x:c r="I137" s="8">
        <x:v>0.20672309917495604</x:v>
      </x:c>
      <x:c r="J137" s="8">
        <x:v>0.12287887653598596</x:v>
      </x:c>
      <x:c r="K137" s="8">
        <x:v>0.12249277820362783</x:v>
      </x:c>
      <x:c r="L137" s="16">
        <x:v>0.14999999999999997</x:v>
      </x:c>
      <x:c r="M137" s="16">
        <x:v>0.14928409811940135</x:v>
      </x:c>
      <x:c r="N137" s="16">
        <x:v>99.522732079600928</x:v>
      </x:c>
      <x:c r="O137" s="1" t="inlineStr">
        <x:is>
          <x:t>Нет</x:t>
        </x:is>
      </x:c>
      <x:c r="P137" s="1" t="inlineStr">
        <x:is>
          <x:t>Нет</x:t>
        </x:is>
      </x:c>
      <x:c r="Q137" s="1" t="inlineStr">
        <x:is>
          <x:t>Нет</x:t>
        </x:is>
      </x:c>
      <x:c r="R137" s="1" t="inlineStr">
        <x:is>
          <x:t>Нет</x:t>
        </x:is>
      </x:c>
      <x:c r="S137" s="1" t="inlineStr">
        <x:is>
          <x:t>Да</x:t>
        </x:is>
      </x:c>
    </x:row>
    <x:row r="138" ht="26" customHeight="1">
      <x:c r="A138" s="1" t="inlineStr">
        <x:is>
          <x:t>Совместный негативный</x:t>
        </x:is>
      </x:c>
      <x:c r="B138" s="1" t="inlineStr">
        <x:is>
          <x:t>H6.3</x:t>
        </x:is>
      </x:c>
      <x:c r="C138" s="8">
        <x:v>0.14999999999999997</x:v>
      </x:c>
      <x:c r="D138" s="16">
        <x:v>-0.064922730631950643</x:v>
      </x:c>
      <x:c r="E138" s="8">
        <x:v>-0.0043281820421300441</x:v>
      </x:c>
      <x:c r="F138" s="12">
        <x:v>-28566.001478058286</x:v>
      </x:c>
      <x:c r="G138" s="12">
        <x:v>1029600</x:v>
      </x:c>
      <x:c r="H138" s="8">
        <x:v>0.20772381509654764</x:v>
      </x:c>
      <x:c r="I138" s="8">
        <x:v>0.20672309917495604</x:v>
      </x:c>
      <x:c r="J138" s="8">
        <x:v>0.12287887653598596</x:v>
      </x:c>
      <x:c r="K138" s="8">
        <x:v>0.12249277820362783</x:v>
      </x:c>
      <x:c r="L138" s="16">
        <x:v>0.14999999999999997</x:v>
      </x:c>
      <x:c r="M138" s="16">
        <x:v>0.14928409811940135</x:v>
      </x:c>
      <x:c r="N138" s="16">
        <x:v>99.522732079600928</x:v>
      </x:c>
      <x:c r="O138" s="1" t="inlineStr">
        <x:is>
          <x:t>Нет</x:t>
        </x:is>
      </x:c>
      <x:c r="P138" s="1" t="inlineStr">
        <x:is>
          <x:t>Нет</x:t>
        </x:is>
      </x:c>
      <x:c r="Q138" s="1" t="inlineStr">
        <x:is>
          <x:t>Нет</x:t>
        </x:is>
      </x:c>
      <x:c r="R138" s="1" t="inlineStr">
        <x:is>
          <x:t>Нет</x:t>
        </x:is>
      </x:c>
      <x:c r="S138" s="1" t="inlineStr">
        <x:is>
          <x:t>Да</x:t>
        </x:is>
      </x:c>
    </x:row>
    <x:row r="139" ht="26" customHeight="1">
      <x:c r="A139" s="1" t="inlineStr">
        <x:is>
          <x:t>Чувствительность CR 10.0%</x:t>
        </x:is>
      </x:c>
      <x:c r="B139" s="1" t="inlineStr">
        <x:is>
          <x:t>H1</x:t>
        </x:is>
      </x:c>
      <x:c r="C139" s="8">
        <x:v>0.10000000000000001</x:v>
      </x:c>
      <x:c r="D139" s="16">
        <x:v>0.022480909888823092</x:v>
      </x:c>
      <x:c r="E139" s="8">
        <x:v>0.0022480909888823093</x:v>
      </x:c>
      <x:c r="F139" s="12">
        <x:v>9891.6003510821611</x:v>
      </x:c>
      <x:c r="G139" s="12">
        <x:v>3432000</x:v>
      </x:c>
      <x:c r="H139" s="8">
        <x:v>0.13848254339769844</x:v>
      </x:c>
      <x:c r="I139" s="8">
        <x:v>0.13882840354983417</x:v>
      </x:c>
      <x:c r="J139" s="8">
        <x:v>0.081919251023990627</x:v>
      </x:c>
      <x:c r="K139" s="8">
        <x:v>0.082114101813926269</x:v>
      </x:c>
      <x:c r="L139" s="16">
        <x:v>0.10000000000000001</x:v>
      </x:c>
      <x:c r="M139" s="16">
        <x:v>0.10022480909888823</x:v>
      </x:c>
      <x:c r="N139" s="16">
        <x:v>100.22480909888823</x:v>
      </x:c>
      <x:c r="O139" s="1" t="inlineStr">
        <x:is>
          <x:t>Да</x:t>
        </x:is>
      </x:c>
      <x:c r="P139" s="1" t="inlineStr">
        <x:is>
          <x:t>Да</x:t>
        </x:is>
      </x:c>
      <x:c r="Q139" s="1" t="inlineStr">
        <x:is>
          <x:t>Да</x:t>
        </x:is>
      </x:c>
      <x:c r="R139" s="1" t="inlineStr">
        <x:is>
          <x:t>Да</x:t>
        </x:is>
      </x:c>
      <x:c r="S139" s="1" t="inlineStr">
        <x:is>
          <x:t>Да</x:t>
        </x:is>
      </x:c>
    </x:row>
    <x:row r="140" ht="26" customHeight="1">
      <x:c r="A140" s="1" t="inlineStr">
        <x:is>
          <x:t>Чувствительность CR 10.0%</x:t>
        </x:is>
      </x:c>
      <x:c r="B140" s="1" t="inlineStr">
        <x:is>
          <x:t>H2</x:t>
        </x:is>
      </x:c>
      <x:c r="C140" s="8">
        <x:v>0.10000000000000001</x:v>
      </x:c>
      <x:c r="D140" s="16">
        <x:v>0.11053613224107646</x:v>
      </x:c>
      <x:c r="E140" s="8">
        <x:v>0.011053613224107646</x:v>
      </x:c>
      <x:c r="F140" s="12">
        <x:v>48635.898186073638</x:v>
      </x:c>
      <x:c r="G140" s="12">
        <x:v>6692400</x:v>
      </x:c>
      <x:c r="H140" s="8">
        <x:v>0.13848254339769844</x:v>
      </x:c>
      <x:c r="I140" s="8">
        <x:v>0.14017212795006825</x:v>
      </x:c>
      <x:c r="J140" s="8">
        <x:v>0.081919251023990627</x:v>
      </x:c>
      <x:c r="K140" s="8">
        <x:v>0.08351009362200118</x:v>
      </x:c>
      <x:c r="L140" s="16">
        <x:v>0.10000000000000001</x:v>
      </x:c>
      <x:c r="M140" s="16">
        <x:v>0.10110536132241077</x:v>
      </x:c>
      <x:c r="N140" s="16">
        <x:v>101.10536132241077</x:v>
      </x:c>
      <x:c r="O140" s="1" t="inlineStr">
        <x:is>
          <x:t>Да</x:t>
        </x:is>
      </x:c>
      <x:c r="P140" s="1" t="inlineStr">
        <x:is>
          <x:t>Да</x:t>
        </x:is>
      </x:c>
      <x:c r="Q140" s="1" t="inlineStr">
        <x:is>
          <x:t>Да</x:t>
        </x:is>
      </x:c>
      <x:c r="R140" s="1" t="inlineStr">
        <x:is>
          <x:t>Да</x:t>
        </x:is>
      </x:c>
      <x:c r="S140" s="1" t="inlineStr">
        <x:is>
          <x:t>Да</x:t>
        </x:is>
      </x:c>
    </x:row>
    <x:row r="141" ht="26" customHeight="1">
      <x:c r="A141" s="1" t="inlineStr">
        <x:is>
          <x:t>Чувствительность CR 10.0%</x:t>
        </x:is>
      </x:c>
      <x:c r="B141" s="1" t="inlineStr">
        <x:is>
          <x:t>H3</x:t>
        </x:is>
      </x:c>
      <x:c r="C141" s="8">
        <x:v>0.10000000000000001</x:v>
      </x:c>
      <x:c r="D141" s="16">
        <x:v>0.067493362346399494</x:v>
      </x:c>
      <x:c r="E141" s="8">
        <x:v>0.0067493362346399488</x:v>
      </x:c>
      <x:c r="F141" s="12">
        <x:v>29697.079432415776</x:v>
      </x:c>
      <x:c r="G141" s="12">
        <x:v>5434000</x:v>
      </x:c>
      <x:c r="H141" s="8">
        <x:v>0.13848254339769844</x:v>
      </x:c>
      <x:c r="I141" s="8">
        <x:v>0.13952090281841228</x:v>
      </x:c>
      <x:c r="J141" s="8">
        <x:v>0.081919251023990627</x:v>
      </x:c>
      <x:c r="K141" s="8">
        <x:v>0.082504242246928025</x:v>
      </x:c>
      <x:c r="L141" s="16">
        <x:v>0.10000000000000001</x:v>
      </x:c>
      <x:c r="M141" s="16">
        <x:v>0.100674933623464</x:v>
      </x:c>
      <x:c r="N141" s="16">
        <x:v>100.674933623464</x:v>
      </x:c>
      <x:c r="O141" s="1" t="inlineStr">
        <x:is>
          <x:t>Да</x:t>
        </x:is>
      </x:c>
      <x:c r="P141" s="1" t="inlineStr">
        <x:is>
          <x:t>Да</x:t>
        </x:is>
      </x:c>
      <x:c r="Q141" s="1" t="inlineStr">
        <x:is>
          <x:t>Да</x:t>
        </x:is>
      </x:c>
      <x:c r="R141" s="1" t="inlineStr">
        <x:is>
          <x:t>Да</x:t>
        </x:is>
      </x:c>
      <x:c r="S141" s="1" t="inlineStr">
        <x:is>
          <x:t>Да</x:t>
        </x:is>
      </x:c>
    </x:row>
    <x:row r="142" ht="26" customHeight="1">
      <x:c r="A142" s="1" t="inlineStr">
        <x:is>
          <x:t>Чувствительность CR 10.0%</x:t>
        </x:is>
      </x:c>
      <x:c r="B142" s="1" t="inlineStr">
        <x:is>
          <x:t>H4</x:t>
        </x:is>
      </x:c>
      <x:c r="C142" s="8">
        <x:v>0.10000000000000001</x:v>
      </x:c>
      <x:c r="D142" s="16">
        <x:v>0.1138261154183737</x:v>
      </x:c>
      <x:c r="E142" s="8">
        <x:v>0.011382611541837369</x:v>
      </x:c>
      <x:c r="F142" s="12">
        <x:v>50083.490784084424</x:v>
      </x:c>
      <x:c r="G142" s="12">
        <x:v>7436000</x:v>
      </x:c>
      <x:c r="H142" s="8">
        <x:v>0.13848254339769844</x:v>
      </x:c>
      <x:c r="I142" s="8">
        <x:v>0.14022445021455043</x:v>
      </x:c>
      <x:c r="J142" s="8">
        <x:v>0.081919251023990627</x:v>
      </x:c>
      <x:c r="K142" s="8">
        <x:v>0.083379556758338205</x:v>
      </x:c>
      <x:c r="L142" s="16">
        <x:v>0.10000000000000001</x:v>
      </x:c>
      <x:c r="M142" s="16">
        <x:v>0.10113826115418374</x:v>
      </x:c>
      <x:c r="N142" s="16">
        <x:v>101.13826115418374</x:v>
      </x:c>
      <x:c r="O142" s="1" t="inlineStr">
        <x:is>
          <x:t>Да</x:t>
        </x:is>
      </x:c>
      <x:c r="P142" s="1" t="inlineStr">
        <x:is>
          <x:t>Да</x:t>
        </x:is>
      </x:c>
      <x:c r="Q142" s="1" t="inlineStr">
        <x:is>
          <x:t>Да</x:t>
        </x:is>
      </x:c>
      <x:c r="R142" s="1" t="inlineStr">
        <x:is>
          <x:t>Да</x:t>
        </x:is>
      </x:c>
      <x:c r="S142" s="1" t="inlineStr">
        <x:is>
          <x:t>Да</x:t>
        </x:is>
      </x:c>
    </x:row>
    <x:row r="143" ht="26" customHeight="1">
      <x:c r="A143" s="1" t="inlineStr">
        <x:is>
          <x:t>Чувствительность CR 10.0%</x:t>
        </x:is>
      </x:c>
      <x:c r="B143" s="1" t="inlineStr">
        <x:is>
          <x:t>H5</x:t>
        </x:is>
      </x:c>
      <x:c r="C143" s="8">
        <x:v>0.10000000000000001</x:v>
      </x:c>
      <x:c r="D143" s="16">
        <x:v>0.023050848449385639</x:v>
      </x:c>
      <x:c r="E143" s="8">
        <x:v>0.0023050848449385642</x:v>
      </x:c>
      <x:c r="F143" s="12">
        <x:v>10142.373317729682</x:v>
      </x:c>
      <x:c r="G143" s="12">
        <x:v>1830400</x:v>
      </x:c>
      <x:c r="H143" s="8">
        <x:v>0.13848254339769844</x:v>
      </x:c>
      <x:c r="I143" s="8">
        <x:v>0.13882028476692021</x:v>
      </x:c>
      <x:c r="J143" s="8">
        <x:v>0.081919251023990627</x:v>
      </x:c>
      <x:c r="K143" s="8">
        <x:v>0.083692393212404917</x:v>
      </x:c>
      <x:c r="L143" s="16">
        <x:v>0.10000000000000001</x:v>
      </x:c>
      <x:c r="M143" s="16">
        <x:v>0.10023050848449386</x:v>
      </x:c>
      <x:c r="N143" s="16">
        <x:v>100.23050848449385</x:v>
      </x:c>
      <x:c r="O143" s="1" t="inlineStr">
        <x:is>
          <x:t>Да</x:t>
        </x:is>
      </x:c>
      <x:c r="P143" s="1" t="inlineStr">
        <x:is>
          <x:t>Да</x:t>
        </x:is>
      </x:c>
      <x:c r="Q143" s="1" t="inlineStr">
        <x:is>
          <x:t>Да</x:t>
        </x:is>
      </x:c>
      <x:c r="R143" s="1" t="inlineStr">
        <x:is>
          <x:t>Да</x:t>
        </x:is>
      </x:c>
      <x:c r="S143" s="1" t="inlineStr">
        <x:is>
          <x:t>Да</x:t>
        </x:is>
      </x:c>
    </x:row>
    <x:row r="144" ht="26" customHeight="1">
      <x:c r="A144" s="1" t="inlineStr">
        <x:is>
          <x:t>Чувствительность CR 10.0%</x:t>
        </x:is>
      </x:c>
      <x:c r="B144" s="1" t="inlineStr">
        <x:is>
          <x:t>H6.1</x:t>
        </x:is>
      </x:c>
      <x:c r="C144" s="8">
        <x:v>0.10000000000000001</x:v>
      </x:c>
      <x:c r="D144" s="16">
        <x:v>0.013370450555882417</x:v>
      </x:c>
      <x:c r="E144" s="8">
        <x:v>0.0013370450555882417</x:v>
      </x:c>
      <x:c r="F144" s="12">
        <x:v>5882.9982445882633</x:v>
      </x:c>
      <x:c r="G144" s="12">
        <x:v>1029600</x:v>
      </x:c>
      <x:c r="H144" s="8">
        <x:v>0.13848254339769844</x:v>
      </x:c>
      <x:c r="I144" s="8">
        <x:v>0.13867844743514723</x:v>
      </x:c>
      <x:c r="J144" s="8">
        <x:v>0.081919251023990627</x:v>
      </x:c>
      <x:c r="K144" s="8">
        <x:v>0.082947747220596835</x:v>
      </x:c>
      <x:c r="L144" s="16">
        <x:v>0.10000000000000001</x:v>
      </x:c>
      <x:c r="M144" s="16">
        <x:v>0.10013370450555882</x:v>
      </x:c>
      <x:c r="N144" s="16">
        <x:v>100.13370450555882</x:v>
      </x:c>
      <x:c r="O144" s="1" t="inlineStr">
        <x:is>
          <x:t>Да</x:t>
        </x:is>
      </x:c>
      <x:c r="P144" s="1" t="inlineStr">
        <x:is>
          <x:t>Да</x:t>
        </x:is>
      </x:c>
      <x:c r="Q144" s="1" t="inlineStr">
        <x:is>
          <x:t>Да</x:t>
        </x:is>
      </x:c>
      <x:c r="R144" s="1" t="inlineStr">
        <x:is>
          <x:t>Да</x:t>
        </x:is>
      </x:c>
      <x:c r="S144" s="1" t="inlineStr">
        <x:is>
          <x:t>Да</x:t>
        </x:is>
      </x:c>
    </x:row>
    <x:row r="145" ht="26" customHeight="1">
      <x:c r="A145" s="1" t="inlineStr">
        <x:is>
          <x:t>Чувствительность CR 10.0%</x:t>
        </x:is>
      </x:c>
      <x:c r="B145" s="1" t="inlineStr">
        <x:is>
          <x:t>H6.2</x:t>
        </x:is>
      </x:c>
      <x:c r="C145" s="8">
        <x:v>0.10000000000000001</x:v>
      </x:c>
      <x:c r="D145" s="16">
        <x:v>0.013370450555882417</x:v>
      </x:c>
      <x:c r="E145" s="8">
        <x:v>0.0013370450555882417</x:v>
      </x:c>
      <x:c r="F145" s="12">
        <x:v>5882.9982445882633</x:v>
      </x:c>
      <x:c r="G145" s="12">
        <x:v>1029600</x:v>
      </x:c>
      <x:c r="H145" s="8">
        <x:v>0.13848254339769844</x:v>
      </x:c>
      <x:c r="I145" s="8">
        <x:v>0.13867844743514723</x:v>
      </x:c>
      <x:c r="J145" s="8">
        <x:v>0.081919251023990627</x:v>
      </x:c>
      <x:c r="K145" s="8">
        <x:v>0.082947747220596835</x:v>
      </x:c>
      <x:c r="L145" s="16">
        <x:v>0.10000000000000001</x:v>
      </x:c>
      <x:c r="M145" s="16">
        <x:v>0.10013370450555882</x:v>
      </x:c>
      <x:c r="N145" s="16">
        <x:v>100.13370450555882</x:v>
      </x:c>
      <x:c r="O145" s="1" t="inlineStr">
        <x:is>
          <x:t>Да</x:t>
        </x:is>
      </x:c>
      <x:c r="P145" s="1" t="inlineStr">
        <x:is>
          <x:t>Да</x:t>
        </x:is>
      </x:c>
      <x:c r="Q145" s="1" t="inlineStr">
        <x:is>
          <x:t>Да</x:t>
        </x:is>
      </x:c>
      <x:c r="R145" s="1" t="inlineStr">
        <x:is>
          <x:t>Да</x:t>
        </x:is>
      </x:c>
      <x:c r="S145" s="1" t="inlineStr">
        <x:is>
          <x:t>Да</x:t>
        </x:is>
      </x:c>
    </x:row>
    <x:row r="146" ht="26" customHeight="1">
      <x:c r="A146" s="1" t="inlineStr">
        <x:is>
          <x:t>Чувствительность CR 10.0%</x:t>
        </x:is>
      </x:c>
      <x:c r="B146" s="1" t="inlineStr">
        <x:is>
          <x:t>H6.3</x:t>
        </x:is>
      </x:c>
      <x:c r="C146" s="8">
        <x:v>0.10000000000000001</x:v>
      </x:c>
      <x:c r="D146" s="16">
        <x:v>0.013370450555882417</x:v>
      </x:c>
      <x:c r="E146" s="8">
        <x:v>0.0013370450555882417</x:v>
      </x:c>
      <x:c r="F146" s="12">
        <x:v>5882.9982445882633</x:v>
      </x:c>
      <x:c r="G146" s="12">
        <x:v>1029600</x:v>
      </x:c>
      <x:c r="H146" s="8">
        <x:v>0.13848254339769844</x:v>
      </x:c>
      <x:c r="I146" s="8">
        <x:v>0.13867844743514723</x:v>
      </x:c>
      <x:c r="J146" s="8">
        <x:v>0.081919251023990627</x:v>
      </x:c>
      <x:c r="K146" s="8">
        <x:v>0.082947747220596835</x:v>
      </x:c>
      <x:c r="L146" s="16">
        <x:v>0.10000000000000001</x:v>
      </x:c>
      <x:c r="M146" s="16">
        <x:v>0.10013370450555882</x:v>
      </x:c>
      <x:c r="N146" s="16">
        <x:v>100.13370450555882</x:v>
      </x:c>
      <x:c r="O146" s="1" t="inlineStr">
        <x:is>
          <x:t>Да</x:t>
        </x:is>
      </x:c>
      <x:c r="P146" s="1" t="inlineStr">
        <x:is>
          <x:t>Да</x:t>
        </x:is>
      </x:c>
      <x:c r="Q146" s="1" t="inlineStr">
        <x:is>
          <x:t>Да</x:t>
        </x:is>
      </x:c>
      <x:c r="R146" s="1" t="inlineStr">
        <x:is>
          <x:t>Да</x:t>
        </x:is>
      </x:c>
      <x:c r="S146" s="1" t="inlineStr">
        <x:is>
          <x:t>Да</x:t>
        </x:is>
      </x:c>
    </x:row>
    <x:row r="147" ht="26" customHeight="1">
      <x:c r="A147" s="1" t="inlineStr">
        <x:is>
          <x:t>Чувствительность CR 12.0%</x:t>
        </x:is>
      </x:c>
      <x:c r="B147" s="1" t="inlineStr">
        <x:is>
          <x:t>H1</x:t>
        </x:is>
      </x:c>
      <x:c r="C147" s="8">
        <x:v>0.12</x:v>
      </x:c>
      <x:c r="D147" s="16">
        <x:v>0.034632753071969967</x:v>
      </x:c>
      <x:c r="E147" s="8">
        <x:v>0.0028860627559974972</x:v>
      </x:c>
      <x:c r="F147" s="12">
        <x:v>15238.411351666786</x:v>
      </x:c>
      <x:c r="G147" s="12">
        <x:v>3432000</x:v>
      </x:c>
      <x:c r="H147" s="8">
        <x:v>0.16617905207723815</x:v>
      </x:c>
      <x:c r="I147" s="8">
        <x:v>0.16671186366296081</x:v>
      </x:c>
      <x:c r="J147" s="8">
        <x:v>0.09830310122878877</x:v>
      </x:c>
      <x:c r="K147" s="8">
        <x:v>0.098603276770040951</x:v>
      </x:c>
      <x:c r="L147" s="16">
        <x:v>0.12</x:v>
      </x:c>
      <x:c r="M147" s="16">
        <x:v>0.12034632753071969</x:v>
      </x:c>
      <x:c r="N147" s="16">
        <x:v>100.28860627559976</x:v>
      </x:c>
      <x:c r="O147" s="1" t="inlineStr">
        <x:is>
          <x:t>Да</x:t>
        </x:is>
      </x:c>
      <x:c r="P147" s="1" t="inlineStr">
        <x:is>
          <x:t>Да</x:t>
        </x:is>
      </x:c>
      <x:c r="Q147" s="1" t="inlineStr">
        <x:is>
          <x:t>Да</x:t>
        </x:is>
      </x:c>
      <x:c r="R147" s="1" t="inlineStr">
        <x:is>
          <x:t>Да</x:t>
        </x:is>
      </x:c>
      <x:c r="S147" s="1" t="inlineStr">
        <x:is>
          <x:t>Да</x:t>
        </x:is>
      </x:c>
    </x:row>
    <x:row r="148" ht="26" customHeight="1">
      <x:c r="A148" s="1" t="inlineStr">
        <x:is>
          <x:t>Чувствительность CR 12.0%</x:t>
        </x:is>
      </x:c>
      <x:c r="B148" s="1" t="inlineStr">
        <x:is>
          <x:t>H2</x:t>
        </x:is>
      </x:c>
      <x:c r="C148" s="8">
        <x:v>0.12</x:v>
      </x:c>
      <x:c r="D148" s="16">
        <x:v>0.13264335868929047</x:v>
      </x:c>
      <x:c r="E148" s="8">
        <x:v>0.01105361322410754</x:v>
      </x:c>
      <x:c r="F148" s="12">
        <x:v>58363.077823287807</x:v>
      </x:c>
      <x:c r="G148" s="12">
        <x:v>6692400</x:v>
      </x:c>
      <x:c r="H148" s="8">
        <x:v>0.16617905207723815</x:v>
      </x:c>
      <x:c r="I148" s="8">
        <x:v>0.16820655354008193</x:v>
      </x:c>
      <x:c r="J148" s="8">
        <x:v>0.09830310122878877</x:v>
      </x:c>
      <x:c r="K148" s="8">
        <x:v>0.1002121123464014</x:v>
      </x:c>
      <x:c r="L148" s="16">
        <x:v>0.12</x:v>
      </x:c>
      <x:c r="M148" s="16">
        <x:v>0.12132643358689291</x:v>
      </x:c>
      <x:c r="N148" s="16">
        <x:v>101.10536132241076</x:v>
      </x:c>
      <x:c r="O148" s="1" t="inlineStr">
        <x:is>
          <x:t>Да</x:t>
        </x:is>
      </x:c>
      <x:c r="P148" s="1" t="inlineStr">
        <x:is>
          <x:t>Да</x:t>
        </x:is>
      </x:c>
      <x:c r="Q148" s="1" t="inlineStr">
        <x:is>
          <x:t>Да</x:t>
        </x:is>
      </x:c>
      <x:c r="R148" s="1" t="inlineStr">
        <x:is>
          <x:t>Да</x:t>
        </x:is>
      </x:c>
      <x:c r="S148" s="1" t="inlineStr">
        <x:is>
          <x:t>Да</x:t>
        </x:is>
      </x:c>
    </x:row>
    <x:row r="149" ht="26" customHeight="1">
      <x:c r="A149" s="1" t="inlineStr">
        <x:is>
          <x:t>Чувствительность CR 12.0%</x:t>
        </x:is>
      </x:c>
      <x:c r="B149" s="1" t="inlineStr">
        <x:is>
          <x:t>H3</x:t>
        </x:is>
      </x:c>
      <x:c r="C149" s="8">
        <x:v>0.12</x:v>
      </x:c>
      <x:c r="D149" s="16">
        <x:v>0.086733780719718725</x:v>
      </x:c>
      <x:c r="E149" s="8">
        <x:v>0.0072278150599765605</x:v>
      </x:c>
      <x:c r="F149" s="12">
        <x:v>38162.86351667624</x:v>
      </x:c>
      <x:c r="G149" s="12">
        <x:v>5434000</x:v>
      </x:c>
      <x:c r="H149" s="8">
        <x:v>0.16617905207723815</x:v>
      </x:c>
      <x:c r="I149" s="8">
        <x:v>0.16751341793446459</x:v>
      </x:c>
      <x:c r="J149" s="8">
        <x:v>0.09830310122878877</x:v>
      </x:c>
      <x:c r="K149" s="8">
        <x:v>0.09905485664131071</x:v>
      </x:c>
      <x:c r="L149" s="16">
        <x:v>0.12</x:v>
      </x:c>
      <x:c r="M149" s="16">
        <x:v>0.12086733780719719</x:v>
      </x:c>
      <x:c r="N149" s="16">
        <x:v>100.72278150599766</x:v>
      </x:c>
      <x:c r="O149" s="1" t="inlineStr">
        <x:is>
          <x:t>Да</x:t>
        </x:is>
      </x:c>
      <x:c r="P149" s="1" t="inlineStr">
        <x:is>
          <x:t>Да</x:t>
        </x:is>
      </x:c>
      <x:c r="Q149" s="1" t="inlineStr">
        <x:is>
          <x:t>Да</x:t>
        </x:is>
      </x:c>
      <x:c r="R149" s="1" t="inlineStr">
        <x:is>
          <x:t>Да</x:t>
        </x:is>
      </x:c>
      <x:c r="S149" s="1" t="inlineStr">
        <x:is>
          <x:t>Да</x:t>
        </x:is>
      </x:c>
    </x:row>
    <x:row r="150" ht="26" customHeight="1">
      <x:c r="A150" s="1" t="inlineStr">
        <x:is>
          <x:t>Чувствительность CR 12.0%</x:t>
        </x:is>
      </x:c>
      <x:c r="B150" s="1" t="inlineStr">
        <x:is>
          <x:t>H4</x:t>
        </x:is>
      </x:c>
      <x:c r="C150" s="8">
        <x:v>0.12</x:v>
      </x:c>
      <x:c r="D150" s="16">
        <x:v>0.13873168885312889</x:v>
      </x:c>
      <x:c r="E150" s="8">
        <x:v>0.011560974071094075</x:v>
      </x:c>
      <x:c r="F150" s="12">
        <x:v>61041.943095376715</x:v>
      </x:c>
      <x:c r="G150" s="12">
        <x:v>7436000</x:v>
      </x:c>
      <x:c r="H150" s="8">
        <x:v>0.16617905207723815</x:v>
      </x:c>
      <x:c r="I150" s="8">
        <x:v>0.16830210283791691</x:v>
      </x:c>
      <x:c r="J150" s="8">
        <x:v>0.09830310122878877</x:v>
      </x:c>
      <x:c r="K150" s="8">
        <x:v>0.10008947483908716</x:v>
      </x:c>
      <x:c r="L150" s="16">
        <x:v>0.12</x:v>
      </x:c>
      <x:c r="M150" s="16">
        <x:v>0.12138731688853129</x:v>
      </x:c>
      <x:c r="N150" s="16">
        <x:v>101.1560974071094</x:v>
      </x:c>
      <x:c r="O150" s="1" t="inlineStr">
        <x:is>
          <x:t>Да</x:t>
        </x:is>
      </x:c>
      <x:c r="P150" s="1" t="inlineStr">
        <x:is>
          <x:t>Да</x:t>
        </x:is>
      </x:c>
      <x:c r="Q150" s="1" t="inlineStr">
        <x:is>
          <x:t>Да</x:t>
        </x:is>
      </x:c>
      <x:c r="R150" s="1" t="inlineStr">
        <x:is>
          <x:t>Да</x:t>
        </x:is>
      </x:c>
      <x:c r="S150" s="1" t="inlineStr">
        <x:is>
          <x:t>Да</x:t>
        </x:is>
      </x:c>
    </x:row>
    <x:row r="151" ht="26" customHeight="1">
      <x:c r="A151" s="1" t="inlineStr">
        <x:is>
          <x:t>Чувствительность CR 12.0%</x:t>
        </x:is>
      </x:c>
      <x:c r="B151" s="1" t="inlineStr">
        <x:is>
          <x:t>H5</x:t>
        </x:is>
      </x:c>
      <x:c r="C151" s="8">
        <x:v>0.12</x:v>
      </x:c>
      <x:c r="D151" s="16">
        <x:v>0.026884669397305695</x:v>
      </x:c>
      <x:c r="E151" s="8">
        <x:v>0.0022403891164421413</x:v>
      </x:c>
      <x:c r="F151" s="12">
        <x:v>11829.254534814507</x:v>
      </x:c>
      <x:c r="G151" s="12">
        <x:v>1830400</x:v>
      </x:c>
      <x:c r="H151" s="8">
        <x:v>0.16617905207723815</x:v>
      </x:c>
      <x:c r="I151" s="8">
        <x:v>0.16657296664716206</x:v>
      </x:c>
      <x:c r="J151" s="8">
        <x:v>0.09830310122878877</x:v>
      </x:c>
      <x:c r="K151" s="8">
        <x:v>0.10037115272088941</x:v>
      </x:c>
      <x:c r="L151" s="16">
        <x:v>0.12</x:v>
      </x:c>
      <x:c r="M151" s="16">
        <x:v>0.12026884669397306</x:v>
      </x:c>
      <x:c r="N151" s="16">
        <x:v>100.22403891164421</x:v>
      </x:c>
      <x:c r="O151" s="1" t="inlineStr">
        <x:is>
          <x:t>Да</x:t>
        </x:is>
      </x:c>
      <x:c r="P151" s="1" t="inlineStr">
        <x:is>
          <x:t>Да</x:t>
        </x:is>
      </x:c>
      <x:c r="Q151" s="1" t="inlineStr">
        <x:is>
          <x:t>Да</x:t>
        </x:is>
      </x:c>
      <x:c r="R151" s="1" t="inlineStr">
        <x:is>
          <x:t>Да</x:t>
        </x:is>
      </x:c>
      <x:c r="S151" s="1" t="inlineStr">
        <x:is>
          <x:t>Да</x:t>
        </x:is>
      </x:c>
    </x:row>
    <x:row r="152" ht="26" customHeight="1">
      <x:c r="A152" s="1" t="inlineStr">
        <x:is>
          <x:t>Чувствительность CR 12.0%</x:t>
        </x:is>
      </x:c>
      <x:c r="B152" s="1" t="inlineStr">
        <x:is>
          <x:t>H6.1</x:t>
        </x:is>
      </x:c>
      <x:c r="C152" s="8">
        <x:v>0.12</x:v>
      </x:c>
      <x:c r="D152" s="16">
        <x:v>0.015526974839088508</x:v>
      </x:c>
      <x:c r="E152" s="8">
        <x:v>0.0012939145699240422</x:v>
      </x:c>
      <x:c r="F152" s="12">
        <x:v>6831.8689291989431</x:v>
      </x:c>
      <x:c r="G152" s="12">
        <x:v>1029600</x:v>
      </x:c>
      <x:c r="H152" s="8">
        <x:v>0.16617905207723815</x:v>
      </x:c>
      <x:c r="I152" s="8">
        <x:v>0.16640655354008194</x:v>
      </x:c>
      <x:c r="J152" s="8">
        <x:v>0.09830310122878877</x:v>
      </x:c>
      <x:c r="K152" s="8">
        <x:v>0.099497483908718556</x:v>
      </x:c>
      <x:c r="L152" s="16">
        <x:v>0.12</x:v>
      </x:c>
      <x:c r="M152" s="16">
        <x:v>0.12015526974839089</x:v>
      </x:c>
      <x:c r="N152" s="16">
        <x:v>100.12939145699241</x:v>
      </x:c>
      <x:c r="O152" s="1" t="inlineStr">
        <x:is>
          <x:t>Да</x:t>
        </x:is>
      </x:c>
      <x:c r="P152" s="1" t="inlineStr">
        <x:is>
          <x:t>Да</x:t>
        </x:is>
      </x:c>
      <x:c r="Q152" s="1" t="inlineStr">
        <x:is>
          <x:t>Да</x:t>
        </x:is>
      </x:c>
      <x:c r="R152" s="1" t="inlineStr">
        <x:is>
          <x:t>Да</x:t>
        </x:is>
      </x:c>
      <x:c r="S152" s="1" t="inlineStr">
        <x:is>
          <x:t>Да</x:t>
        </x:is>
      </x:c>
    </x:row>
    <x:row r="153" ht="26" customHeight="1">
      <x:c r="A153" s="1" t="inlineStr">
        <x:is>
          <x:t>Чувствительность CR 12.0%</x:t>
        </x:is>
      </x:c>
      <x:c r="B153" s="1" t="inlineStr">
        <x:is>
          <x:t>H6.2</x:t>
        </x:is>
      </x:c>
      <x:c r="C153" s="8">
        <x:v>0.12</x:v>
      </x:c>
      <x:c r="D153" s="16">
        <x:v>0.015526974839088508</x:v>
      </x:c>
      <x:c r="E153" s="8">
        <x:v>0.0012939145699240422</x:v>
      </x:c>
      <x:c r="F153" s="12">
        <x:v>6831.8689291989431</x:v>
      </x:c>
      <x:c r="G153" s="12">
        <x:v>1029600</x:v>
      </x:c>
      <x:c r="H153" s="8">
        <x:v>0.16617905207723815</x:v>
      </x:c>
      <x:c r="I153" s="8">
        <x:v>0.16640655354008194</x:v>
      </x:c>
      <x:c r="J153" s="8">
        <x:v>0.09830310122878877</x:v>
      </x:c>
      <x:c r="K153" s="8">
        <x:v>0.099497483908718556</x:v>
      </x:c>
      <x:c r="L153" s="16">
        <x:v>0.12</x:v>
      </x:c>
      <x:c r="M153" s="16">
        <x:v>0.12015526974839089</x:v>
      </x:c>
      <x:c r="N153" s="16">
        <x:v>100.12939145699241</x:v>
      </x:c>
      <x:c r="O153" s="1" t="inlineStr">
        <x:is>
          <x:t>Да</x:t>
        </x:is>
      </x:c>
      <x:c r="P153" s="1" t="inlineStr">
        <x:is>
          <x:t>Да</x:t>
        </x:is>
      </x:c>
      <x:c r="Q153" s="1" t="inlineStr">
        <x:is>
          <x:t>Да</x:t>
        </x:is>
      </x:c>
      <x:c r="R153" s="1" t="inlineStr">
        <x:is>
          <x:t>Да</x:t>
        </x:is>
      </x:c>
      <x:c r="S153" s="1" t="inlineStr">
        <x:is>
          <x:t>Да</x:t>
        </x:is>
      </x:c>
    </x:row>
    <x:row r="154" ht="26" customHeight="1">
      <x:c r="A154" s="1" t="inlineStr">
        <x:is>
          <x:t>Чувствительность CR 12.0%</x:t>
        </x:is>
      </x:c>
      <x:c r="B154" s="1" t="inlineStr">
        <x:is>
          <x:t>H6.3</x:t>
        </x:is>
      </x:c>
      <x:c r="C154" s="8">
        <x:v>0.12</x:v>
      </x:c>
      <x:c r="D154" s="16">
        <x:v>0.015526974839088508</x:v>
      </x:c>
      <x:c r="E154" s="8">
        <x:v>0.0012939145699240422</x:v>
      </x:c>
      <x:c r="F154" s="12">
        <x:v>6831.8689291989431</x:v>
      </x:c>
      <x:c r="G154" s="12">
        <x:v>1029600</x:v>
      </x:c>
      <x:c r="H154" s="8">
        <x:v>0.16617905207723815</x:v>
      </x:c>
      <x:c r="I154" s="8">
        <x:v>0.16640655354008194</x:v>
      </x:c>
      <x:c r="J154" s="8">
        <x:v>0.09830310122878877</x:v>
      </x:c>
      <x:c r="K154" s="8">
        <x:v>0.099497483908718556</x:v>
      </x:c>
      <x:c r="L154" s="16">
        <x:v>0.12</x:v>
      </x:c>
      <x:c r="M154" s="16">
        <x:v>0.12015526974839089</x:v>
      </x:c>
      <x:c r="N154" s="16">
        <x:v>100.12939145699241</x:v>
      </x:c>
      <x:c r="O154" s="1" t="inlineStr">
        <x:is>
          <x:t>Да</x:t>
        </x:is>
      </x:c>
      <x:c r="P154" s="1" t="inlineStr">
        <x:is>
          <x:t>Да</x:t>
        </x:is>
      </x:c>
      <x:c r="Q154" s="1" t="inlineStr">
        <x:is>
          <x:t>Да</x:t>
        </x:is>
      </x:c>
      <x:c r="R154" s="1" t="inlineStr">
        <x:is>
          <x:t>Да</x:t>
        </x:is>
      </x:c>
      <x:c r="S154" s="1" t="inlineStr">
        <x:is>
          <x:t>Да</x:t>
        </x:is>
      </x:c>
    </x:row>
    <x:row r="155" ht="26" customHeight="1">
      <x:c r="A155" s="1" t="inlineStr">
        <x:is>
          <x:t>Чувствительность CR 18.0%</x:t>
        </x:is>
      </x:c>
      <x:c r="B155" s="1" t="inlineStr">
        <x:is>
          <x:t>H1</x:t>
        </x:is>
      </x:c>
      <x:c r="C155" s="8">
        <x:v>0.17999999999999999</x:v>
      </x:c>
      <x:c r="D155" s="16">
        <x:v>0.071088282621414825</x:v>
      </x:c>
      <x:c r="E155" s="8">
        <x:v>0.0039493490345230454</x:v>
      </x:c>
      <x:c r="F155" s="12">
        <x:v>31278.844353422523</x:v>
      </x:c>
      <x:c r="G155" s="12">
        <x:v>3432000</x:v>
      </x:c>
      <x:c r="H155" s="8">
        <x:v>0.24926857811585723</x:v>
      </x:c>
      <x:c r="I155" s="8">
        <x:v>0.25036224400234053</x:v>
      </x:c>
      <x:c r="J155" s="8">
        <x:v>0.14745465184318315</x:v>
      </x:c>
      <x:c r="K155" s="8">
        <x:v>0.14807080163838499</x:v>
      </x:c>
      <x:c r="L155" s="16">
        <x:v>0.17999999999999999</x:v>
      </x:c>
      <x:c r="M155" s="16">
        <x:v>0.18071088282621414</x:v>
      </x:c>
      <x:c r="N155" s="16">
        <x:v>100.39493490345231</x:v>
      </x:c>
      <x:c r="O155" s="1" t="inlineStr">
        <x:is>
          <x:t>Да</x:t>
        </x:is>
      </x:c>
      <x:c r="P155" s="1" t="inlineStr">
        <x:is>
          <x:t>Да</x:t>
        </x:is>
      </x:c>
      <x:c r="Q155" s="1" t="inlineStr">
        <x:is>
          <x:t>Да</x:t>
        </x:is>
      </x:c>
      <x:c r="R155" s="1" t="inlineStr">
        <x:is>
          <x:t>Да</x:t>
        </x:is>
      </x:c>
      <x:c r="S155" s="1" t="inlineStr">
        <x:is>
          <x:t>Да</x:t>
        </x:is>
      </x:c>
    </x:row>
    <x:row r="156" ht="26" customHeight="1">
      <x:c r="A156" s="1" t="inlineStr">
        <x:is>
          <x:t>Чувствительность CR 18.0%</x:t>
        </x:is>
      </x:c>
      <x:c r="B156" s="1" t="inlineStr">
        <x:is>
          <x:t>H2</x:t>
        </x:is>
      </x:c>
      <x:c r="C156" s="8">
        <x:v>0.17999999999999999</x:v>
      </x:c>
      <x:c r="D156" s="16">
        <x:v>0.198965038033941</x:v>
      </x:c>
      <x:c r="E156" s="8">
        <x:v>0.011053613224107833</x:v>
      </x:c>
      <x:c r="F156" s="12">
        <x:v>87544.616734934039</x:v>
      </x:c>
      <x:c r="G156" s="12">
        <x:v>6692400</x:v>
      </x:c>
      <x:c r="H156" s="8">
        <x:v>0.24926857811585723</x:v>
      </x:c>
      <x:c r="I156" s="8">
        <x:v>0.25230983031012288</x:v>
      </x:c>
      <x:c r="J156" s="8">
        <x:v>0.14745465184318315</x:v>
      </x:c>
      <x:c r="K156" s="8">
        <x:v>0.15031816851960211</x:v>
      </x:c>
      <x:c r="L156" s="16">
        <x:v>0.17999999999999999</x:v>
      </x:c>
      <x:c r="M156" s="16">
        <x:v>0.1819896503803394</x:v>
      </x:c>
      <x:c r="N156" s="16">
        <x:v>101.10536132241079</x:v>
      </x:c>
      <x:c r="O156" s="1" t="inlineStr">
        <x:is>
          <x:t>Да</x:t>
        </x:is>
      </x:c>
      <x:c r="P156" s="1" t="inlineStr">
        <x:is>
          <x:t>Да</x:t>
        </x:is>
      </x:c>
      <x:c r="Q156" s="1" t="inlineStr">
        <x:is>
          <x:t>Да</x:t>
        </x:is>
      </x:c>
      <x:c r="R156" s="1" t="inlineStr">
        <x:is>
          <x:t>Да</x:t>
        </x:is>
      </x:c>
      <x:c r="S156" s="1" t="inlineStr">
        <x:is>
          <x:t>Да</x:t>
        </x:is>
      </x:c>
    </x:row>
    <x:row r="157" ht="26" customHeight="1">
      <x:c r="A157" s="1" t="inlineStr">
        <x:is>
          <x:t>Чувствительность CR 18.0%</x:t>
        </x:is>
      </x:c>
      <x:c r="B157" s="1" t="inlineStr">
        <x:is>
          <x:t>H3</x:t>
        </x:is>
      </x:c>
      <x:c r="C157" s="8">
        <x:v>0.17999999999999999</x:v>
      </x:c>
      <x:c r="D157" s="16">
        <x:v>0.1444550358396722</x:v>
      </x:c>
      <x:c r="E157" s="8">
        <x:v>0.0080252797688706769</x:v>
      </x:c>
      <x:c r="F157" s="12">
        <x:v>63560.215769455768</x:v>
      </x:c>
      <x:c r="G157" s="12">
        <x:v>5434000</x:v>
      </x:c>
      <x:c r="H157" s="8">
        <x:v>0.24926857811585723</x:v>
      </x:c>
      <x:c r="I157" s="8">
        <x:v>0.25149096328262144</x:v>
      </x:c>
      <x:c r="J157" s="8">
        <x:v>0.14745465184318315</x:v>
      </x:c>
      <x:c r="K157" s="8">
        <x:v>0.14870669982445872</x:v>
      </x:c>
      <x:c r="L157" s="16">
        <x:v>0.17999999999999999</x:v>
      </x:c>
      <x:c r="M157" s="16">
        <x:v>0.18144455035839671</x:v>
      </x:c>
      <x:c r="N157" s="16">
        <x:v>100.80252797688706</x:v>
      </x:c>
      <x:c r="O157" s="1" t="inlineStr">
        <x:is>
          <x:t>Да</x:t>
        </x:is>
      </x:c>
      <x:c r="P157" s="1" t="inlineStr">
        <x:is>
          <x:t>Да</x:t>
        </x:is>
      </x:c>
      <x:c r="Q157" s="1" t="inlineStr">
        <x:is>
          <x:t>Да</x:t>
        </x:is>
      </x:c>
      <x:c r="R157" s="1" t="inlineStr">
        <x:is>
          <x:t>Да</x:t>
        </x:is>
      </x:c>
      <x:c r="S157" s="1" t="inlineStr">
        <x:is>
          <x:t>Да</x:t>
        </x:is>
      </x:c>
    </x:row>
    <x:row r="158" ht="26" customHeight="1">
      <x:c r="A158" s="1" t="inlineStr">
        <x:is>
          <x:t>Чувствительность CR 18.0%</x:t>
        </x:is>
      </x:c>
      <x:c r="B158" s="1" t="inlineStr">
        <x:is>
          <x:t>H4</x:t>
        </x:is>
      </x:c>
      <x:c r="C158" s="8">
        <x:v>0.17999999999999999</x:v>
      </x:c>
      <x:c r="D158" s="16">
        <x:v>0.21344840915740299</x:v>
      </x:c>
      <x:c r="E158" s="8">
        <x:v>0.011858244953189054</x:v>
      </x:c>
      <x:c r="F158" s="12">
        <x:v>93917.300029257312</x:v>
      </x:c>
      <x:c r="G158" s="12">
        <x:v>7436000</x:v>
      </x:c>
      <x:c r="H158" s="8">
        <x:v>0.24926857811585723</x:v>
      </x:c>
      <x:c r="I158" s="8">
        <x:v>0.25253506070801635</x:v>
      </x:c>
      <x:c r="J158" s="8">
        <x:v>0.14745465184318315</x:v>
      </x:c>
      <x:c r="K158" s="8">
        <x:v>0.15021922908133412</x:v>
      </x:c>
      <x:c r="L158" s="16">
        <x:v>0.17999999999999999</x:v>
      </x:c>
      <x:c r="M158" s="16">
        <x:v>0.18213448409157404</x:v>
      </x:c>
      <x:c r="N158" s="16">
        <x:v>101.18582449531891</x:v>
      </x:c>
      <x:c r="O158" s="1" t="inlineStr">
        <x:is>
          <x:t>Да</x:t>
        </x:is>
      </x:c>
      <x:c r="P158" s="1" t="inlineStr">
        <x:is>
          <x:t>Да</x:t>
        </x:is>
      </x:c>
      <x:c r="Q158" s="1" t="inlineStr">
        <x:is>
          <x:t>Да</x:t>
        </x:is>
      </x:c>
      <x:c r="R158" s="1" t="inlineStr">
        <x:is>
          <x:t>Да</x:t>
        </x:is>
      </x:c>
      <x:c r="S158" s="1" t="inlineStr">
        <x:is>
          <x:t>Да</x:t>
        </x:is>
      </x:c>
    </x:row>
    <x:row r="159" ht="26" customHeight="1">
      <x:c r="A159" s="1" t="inlineStr">
        <x:is>
          <x:t>Чувствительность CR 18.0%</x:t>
        </x:is>
      </x:c>
      <x:c r="B159" s="1" t="inlineStr">
        <x:is>
          <x:t>H5</x:t>
        </x:is>
      </x:c>
      <x:c r="C159" s="8">
        <x:v>0.17999999999999999</x:v>
      </x:c>
      <x:c r="D159" s="16">
        <x:v>0.038386132241078563</x:v>
      </x:c>
      <x:c r="E159" s="8">
        <x:v>0.0021325629022821428</x:v>
      </x:c>
      <x:c r="F159" s="12">
        <x:v>16889.89818607457</x:v>
      </x:c>
      <x:c r="G159" s="12">
        <x:v>1830400</x:v>
      </x:c>
      <x:c r="H159" s="8">
        <x:v>0.24926857811585723</x:v>
      </x:c>
      <x:c r="I159" s="8">
        <x:v>0.24983101228788768</x:v>
      </x:c>
      <x:c r="J159" s="8">
        <x:v>0.14745465184318315</x:v>
      </x:c>
      <x:c r="K159" s="8">
        <x:v>0.15040743124634287</x:v>
      </x:c>
      <x:c r="L159" s="16">
        <x:v>0.17999999999999999</x:v>
      </x:c>
      <x:c r="M159" s="16">
        <x:v>0.1803838613224108</x:v>
      </x:c>
      <x:c r="N159" s="16">
        <x:v>100.21325629022822</x:v>
      </x:c>
      <x:c r="O159" s="1" t="inlineStr">
        <x:is>
          <x:t>Да</x:t>
        </x:is>
      </x:c>
      <x:c r="P159" s="1" t="inlineStr">
        <x:is>
          <x:t>Да</x:t>
        </x:is>
      </x:c>
      <x:c r="Q159" s="1" t="inlineStr">
        <x:is>
          <x:t>Да</x:t>
        </x:is>
      </x:c>
      <x:c r="R159" s="1" t="inlineStr">
        <x:is>
          <x:t>Да</x:t>
        </x:is>
      </x:c>
      <x:c r="S159" s="1" t="inlineStr">
        <x:is>
          <x:t>Да</x:t>
        </x:is>
      </x:c>
    </x:row>
    <x:row r="160" ht="26" customHeight="1">
      <x:c r="A160" s="1" t="inlineStr">
        <x:is>
          <x:t>Чувствительность CR 18.0%</x:t>
        </x:is>
      </x:c>
      <x:c r="B160" s="1" t="inlineStr">
        <x:is>
          <x:t>H6.1</x:t>
        </x:is>
      </x:c>
      <x:c r="C160" s="8">
        <x:v>0.17999999999999999</x:v>
      </x:c>
      <x:c r="D160" s="16">
        <x:v>0.021996547688706777</x:v>
      </x:c>
      <x:c r="E160" s="8">
        <x:v>0.0012220304271503765</x:v>
      </x:c>
      <x:c r="F160" s="12">
        <x:v>9678.4809830309823</x:v>
      </x:c>
      <x:c r="G160" s="12">
        <x:v>1029600</x:v>
      </x:c>
      <x:c r="H160" s="8">
        <x:v>0.24926857811585723</x:v>
      </x:c>
      <x:c r="I160" s="8">
        <x:v>0.2495908718548859</x:v>
      </x:c>
      <x:c r="J160" s="8">
        <x:v>0.14745465184318315</x:v>
      </x:c>
      <x:c r="K160" s="8">
        <x:v>0.14914669397308367</x:v>
      </x:c>
      <x:c r="L160" s="16">
        <x:v>0.17999999999999999</x:v>
      </x:c>
      <x:c r="M160" s="16">
        <x:v>0.18021996547688707</x:v>
      </x:c>
      <x:c r="N160" s="16">
        <x:v>100.12220304271503</x:v>
      </x:c>
      <x:c r="O160" s="1" t="inlineStr">
        <x:is>
          <x:t>Да</x:t>
        </x:is>
      </x:c>
      <x:c r="P160" s="1" t="inlineStr">
        <x:is>
          <x:t>Да</x:t>
        </x:is>
      </x:c>
      <x:c r="Q160" s="1" t="inlineStr">
        <x:is>
          <x:t>Да</x:t>
        </x:is>
      </x:c>
      <x:c r="R160" s="1" t="inlineStr">
        <x:is>
          <x:t>Да</x:t>
        </x:is>
      </x:c>
      <x:c r="S160" s="1" t="inlineStr">
        <x:is>
          <x:t>Да</x:t>
        </x:is>
      </x:c>
    </x:row>
    <x:row r="161" ht="26" customHeight="1">
      <x:c r="A161" s="1" t="inlineStr">
        <x:is>
          <x:t>Чувствительность CR 18.0%</x:t>
        </x:is>
      </x:c>
      <x:c r="B161" s="1" t="inlineStr">
        <x:is>
          <x:t>H6.2</x:t>
        </x:is>
      </x:c>
      <x:c r="C161" s="8">
        <x:v>0.17999999999999999</x:v>
      </x:c>
      <x:c r="D161" s="16">
        <x:v>0.021996547688706777</x:v>
      </x:c>
      <x:c r="E161" s="8">
        <x:v>0.0012220304271503765</x:v>
      </x:c>
      <x:c r="F161" s="12">
        <x:v>9678.4809830309823</x:v>
      </x:c>
      <x:c r="G161" s="12">
        <x:v>1029600</x:v>
      </x:c>
      <x:c r="H161" s="8">
        <x:v>0.24926857811585723</x:v>
      </x:c>
      <x:c r="I161" s="8">
        <x:v>0.2495908718548859</x:v>
      </x:c>
      <x:c r="J161" s="8">
        <x:v>0.14745465184318315</x:v>
      </x:c>
      <x:c r="K161" s="8">
        <x:v>0.14914669397308367</x:v>
      </x:c>
      <x:c r="L161" s="16">
        <x:v>0.17999999999999999</x:v>
      </x:c>
      <x:c r="M161" s="16">
        <x:v>0.18021996547688707</x:v>
      </x:c>
      <x:c r="N161" s="16">
        <x:v>100.12220304271503</x:v>
      </x:c>
      <x:c r="O161" s="1" t="inlineStr">
        <x:is>
          <x:t>Да</x:t>
        </x:is>
      </x:c>
      <x:c r="P161" s="1" t="inlineStr">
        <x:is>
          <x:t>Да</x:t>
        </x:is>
      </x:c>
      <x:c r="Q161" s="1" t="inlineStr">
        <x:is>
          <x:t>Да</x:t>
        </x:is>
      </x:c>
      <x:c r="R161" s="1" t="inlineStr">
        <x:is>
          <x:t>Да</x:t>
        </x:is>
      </x:c>
      <x:c r="S161" s="1" t="inlineStr">
        <x:is>
          <x:t>Да</x:t>
        </x:is>
      </x:c>
    </x:row>
    <x:row r="162" ht="26" customHeight="1">
      <x:c r="A162" s="1" t="inlineStr">
        <x:is>
          <x:t>Чувствительность CR 18.0%</x:t>
        </x:is>
      </x:c>
      <x:c r="B162" s="1" t="inlineStr">
        <x:is>
          <x:t>H6.3</x:t>
        </x:is>
      </x:c>
      <x:c r="C162" s="8">
        <x:v>0.17999999999999999</x:v>
      </x:c>
      <x:c r="D162" s="16">
        <x:v>0.021996547688706777</x:v>
      </x:c>
      <x:c r="E162" s="8">
        <x:v>0.0012220304271503765</x:v>
      </x:c>
      <x:c r="F162" s="12">
        <x:v>9678.4809830309823</x:v>
      </x:c>
      <x:c r="G162" s="12">
        <x:v>1029600</x:v>
      </x:c>
      <x:c r="H162" s="8">
        <x:v>0.24926857811585723</x:v>
      </x:c>
      <x:c r="I162" s="8">
        <x:v>0.2495908718548859</x:v>
      </x:c>
      <x:c r="J162" s="8">
        <x:v>0.14745465184318315</x:v>
      </x:c>
      <x:c r="K162" s="8">
        <x:v>0.14914669397308367</x:v>
      </x:c>
      <x:c r="L162" s="16">
        <x:v>0.17999999999999999</x:v>
      </x:c>
      <x:c r="M162" s="16">
        <x:v>0.18021996547688707</x:v>
      </x:c>
      <x:c r="N162" s="16">
        <x:v>100.12220304271503</x:v>
      </x:c>
      <x:c r="O162" s="1" t="inlineStr">
        <x:is>
          <x:t>Да</x:t>
        </x:is>
      </x:c>
      <x:c r="P162" s="1" t="inlineStr">
        <x:is>
          <x:t>Да</x:t>
        </x:is>
      </x:c>
      <x:c r="Q162" s="1" t="inlineStr">
        <x:is>
          <x:t>Да</x:t>
        </x:is>
      </x:c>
      <x:c r="R162" s="1" t="inlineStr">
        <x:is>
          <x:t>Да</x:t>
        </x:is>
      </x:c>
      <x:c r="S162" s="1" t="inlineStr">
        <x:is>
          <x:t>Да</x:t>
        </x:is>
      </x:c>
    </x:row>
    <x:row r="163" ht="26" customHeight="1">
      <x:c r="A163" s="1" t="inlineStr">
        <x:is>
          <x:t>Чувствительность CR 20.1%</x:t>
        </x:is>
      </x:c>
      <x:c r="B163" s="1" t="inlineStr">
        <x:is>
          <x:t>H1</x:t>
        </x:is>
      </x:c>
      <x:c r="C163" s="8">
        <x:v>0.20100000000000001</x:v>
      </x:c>
      <x:c r="D163" s="16">
        <x:v>0.083847717963717872</x:v>
      </x:c>
      <x:c r="E163" s="8">
        <x:v>0.0041715282569013872</x:v>
      </x:c>
      <x:c r="F163" s="12">
        <x:v>36892.995904035866</x:v>
      </x:c>
      <x:c r="G163" s="12">
        <x:v>3432000</x:v>
      </x:c>
      <x:c r="H163" s="8">
        <x:v>0.27834991222937394</x:v>
      </x:c>
      <x:c r="I163" s="8">
        <x:v>0.27963987712112348</x:v>
      </x:c>
      <x:c r="J163" s="8">
        <x:v>0.16465769455822121</x:v>
      </x:c>
      <x:c r="K163" s="8">
        <x:v>0.16538443534230549</x:v>
      </x:c>
      <x:c r="L163" s="16">
        <x:v>0.20100000000000001</x:v>
      </x:c>
      <x:c r="M163" s="16">
        <x:v>0.20183847717963718</x:v>
      </x:c>
      <x:c r="N163" s="16">
        <x:v>100.41715282569014</x:v>
      </x:c>
      <x:c r="O163" s="1" t="inlineStr">
        <x:is>
          <x:t>Да</x:t>
        </x:is>
      </x:c>
      <x:c r="P163" s="1" t="inlineStr">
        <x:is>
          <x:t>Да</x:t>
        </x:is>
      </x:c>
      <x:c r="Q163" s="1" t="inlineStr">
        <x:is>
          <x:t>Да</x:t>
        </x:is>
      </x:c>
      <x:c r="R163" s="1" t="inlineStr">
        <x:is>
          <x:t>Да</x:t>
        </x:is>
      </x:c>
      <x:c r="S163" s="1" t="inlineStr">
        <x:is>
          <x:t>Да</x:t>
        </x:is>
      </x:c>
    </x:row>
    <x:row r="164" ht="26" customHeight="1">
      <x:c r="A164" s="1" t="inlineStr">
        <x:is>
          <x:t>Чувствительность CR 20.1%</x:t>
        </x:is>
      </x:c>
      <x:c r="B164" s="1" t="inlineStr">
        <x:is>
          <x:t>H2</x:t>
        </x:is>
      </x:c>
      <x:c r="C164" s="8">
        <x:v>0.20100000000000001</x:v>
      </x:c>
      <x:c r="D164" s="16">
        <x:v>0.22217762580456382</x:v>
      </x:c>
      <x:c r="E164" s="8">
        <x:v>0.011053613224107653</x:v>
      </x:c>
      <x:c r="F164" s="12">
        <x:v>97758.155354008079</x:v>
      </x:c>
      <x:c r="G164" s="12">
        <x:v>6692400</x:v>
      </x:c>
      <x:c r="H164" s="8">
        <x:v>0.27834991222937394</x:v>
      </x:c>
      <x:c r="I164" s="8">
        <x:v>0.28174597717963723</x:v>
      </x:c>
      <x:c r="J164" s="8">
        <x:v>0.16465769455822121</x:v>
      </x:c>
      <x:c r="K164" s="8">
        <x:v>0.16785528818022238</x:v>
      </x:c>
      <x:c r="L164" s="16">
        <x:v>0.20100000000000001</x:v>
      </x:c>
      <x:c r="M164" s="16">
        <x:v>0.20322177625804563</x:v>
      </x:c>
      <x:c r="N164" s="16">
        <x:v>101.10536132241077</x:v>
      </x:c>
      <x:c r="O164" s="1" t="inlineStr">
        <x:is>
          <x:t>Да</x:t>
        </x:is>
      </x:c>
      <x:c r="P164" s="1" t="inlineStr">
        <x:is>
          <x:t>Да</x:t>
        </x:is>
      </x:c>
      <x:c r="Q164" s="1" t="inlineStr">
        <x:is>
          <x:t>Да</x:t>
        </x:is>
      </x:c>
      <x:c r="R164" s="1" t="inlineStr">
        <x:is>
          <x:t>Да</x:t>
        </x:is>
      </x:c>
      <x:c r="S164" s="1" t="inlineStr">
        <x:is>
          <x:t>Да</x:t>
        </x:is>
      </x:c>
    </x:row>
    <x:row r="165" ht="26" customHeight="1">
      <x:c r="A165" s="1" t="inlineStr">
        <x:is>
          <x:t>Чувствительность CR 20.1%</x:t>
        </x:is>
      </x:c>
      <x:c r="B165" s="1" t="inlineStr">
        <x:is>
          <x:t>H3</x:t>
        </x:is>
      </x:c>
      <x:c r="C165" s="8">
        <x:v>0.20100000000000001</x:v>
      </x:c>
      <x:c r="D165" s="16">
        <x:v>0.16465747513166121</x:v>
      </x:c>
      <x:c r="E165" s="8">
        <x:v>0.0081919141856547865</x:v>
      </x:c>
      <x:c r="F165" s="12">
        <x:v>72449.289057930931</x:v>
      </x:c>
      <x:c r="G165" s="12">
        <x:v>5434000</x:v>
      </x:c>
      <x:c r="H165" s="8">
        <x:v>0.27834991222937394</x:v>
      </x:c>
      <x:c r="I165" s="8">
        <x:v>0.28088310415447632</x:v>
      </x:c>
      <x:c r="J165" s="8">
        <x:v>0.16465769455822121</x:v>
      </x:c>
      <x:c r="K165" s="8">
        <x:v>0.16608484493856057</x:v>
      </x:c>
      <x:c r="L165" s="16">
        <x:v>0.20100000000000001</x:v>
      </x:c>
      <x:c r="M165" s="16">
        <x:v>0.20264657475131662</x:v>
      </x:c>
      <x:c r="N165" s="16">
        <x:v>100.81919141856548</x:v>
      </x:c>
      <x:c r="O165" s="1" t="inlineStr">
        <x:is>
          <x:t>Да</x:t>
        </x:is>
      </x:c>
      <x:c r="P165" s="1" t="inlineStr">
        <x:is>
          <x:t>Да</x:t>
        </x:is>
      </x:c>
      <x:c r="Q165" s="1" t="inlineStr">
        <x:is>
          <x:t>Да</x:t>
        </x:is>
      </x:c>
      <x:c r="R165" s="1" t="inlineStr">
        <x:is>
          <x:t>Да</x:t>
        </x:is>
      </x:c>
      <x:c r="S165" s="1" t="inlineStr">
        <x:is>
          <x:t>Да</x:t>
        </x:is>
      </x:c>
    </x:row>
    <x:row r="166" ht="26" customHeight="1">
      <x:c r="A166" s="1" t="inlineStr">
        <x:is>
          <x:t>Чувствительность CR 20.1%</x:t>
        </x:is>
      </x:c>
      <x:c r="B166" s="1" t="inlineStr">
        <x:is>
          <x:t>H4</x:t>
        </x:is>
      </x:c>
      <x:c r="C166" s="8">
        <x:v>0.20100000000000001</x:v>
      </x:c>
      <x:c r="D166" s="16">
        <x:v>0.23959926126389339</x:v>
      </x:c>
      <x:c r="E166" s="8">
        <x:v>0.011920361256910119</x:v>
      </x:c>
      <x:c r="F166" s="12">
        <x:v>105423.6749561131</x:v>
      </x:c>
      <x:c r="G166" s="12">
        <x:v>7436000</x:v>
      </x:c>
      <x:c r="H166" s="8">
        <x:v>0.27834991222937394</x:v>
      </x:c>
      <x:c r="I166" s="8">
        <x:v>0.28201659596255119</x:v>
      </x:c>
      <x:c r="J166" s="8">
        <x:v>0.16465769455822121</x:v>
      </x:c>
      <x:c r="K166" s="8">
        <x:v>0.16776464306612054</x:v>
      </x:c>
      <x:c r="L166" s="16">
        <x:v>0.20100000000000001</x:v>
      </x:c>
      <x:c r="M166" s="16">
        <x:v>0.20339599261263894</x:v>
      </x:c>
      <x:c r="N166" s="16">
        <x:v>101.19203612569102</x:v>
      </x:c>
      <x:c r="O166" s="1" t="inlineStr">
        <x:is>
          <x:t>Да</x:t>
        </x:is>
      </x:c>
      <x:c r="P166" s="1" t="inlineStr">
        <x:is>
          <x:t>Да</x:t>
        </x:is>
      </x:c>
      <x:c r="Q166" s="1" t="inlineStr">
        <x:is>
          <x:t>Да</x:t>
        </x:is>
      </x:c>
      <x:c r="R166" s="1" t="inlineStr">
        <x:is>
          <x:t>Да</x:t>
        </x:is>
      </x:c>
      <x:c r="S166" s="1" t="inlineStr">
        <x:is>
          <x:t>Да</x:t>
        </x:is>
      </x:c>
    </x:row>
    <x:row r="167" ht="26" customHeight="1">
      <x:c r="A167" s="1" t="inlineStr">
        <x:is>
          <x:t>Чувствительность CR 20.1%</x:t>
        </x:is>
      </x:c>
      <x:c r="B167" s="1" t="inlineStr">
        <x:is>
          <x:t>H5</x:t>
        </x:is>
      </x:c>
      <x:c r="C167" s="8">
        <x:v>0.20100000000000001</x:v>
      </x:c>
      <x:c r="D167" s="16">
        <x:v>0.042411644236396324</x:v>
      </x:c>
      <x:c r="E167" s="8">
        <x:v>0.0021100320515620059</x:v>
      </x:c>
      <x:c r="F167" s="12">
        <x:v>18661.123464014381</x:v>
      </x:c>
      <x:c r="G167" s="12">
        <x:v>1830400</x:v>
      </x:c>
      <x:c r="H167" s="8">
        <x:v>0.27834991222937394</x:v>
      </x:c>
      <x:c r="I167" s="8">
        <x:v>0.27897132826214166</x:v>
      </x:c>
      <x:c r="J167" s="8">
        <x:v>0.16465769455822121</x:v>
      </x:c>
      <x:c r="K167" s="8">
        <x:v>0.16792012873025161</x:v>
      </x:c>
      <x:c r="L167" s="16">
        <x:v>0.20100000000000001</x:v>
      </x:c>
      <x:c r="M167" s="16">
        <x:v>0.20142411644236397</x:v>
      </x:c>
      <x:c r="N167" s="16">
        <x:v>100.2110032051562</x:v>
      </x:c>
      <x:c r="O167" s="1" t="inlineStr">
        <x:is>
          <x:t>Да</x:t>
        </x:is>
      </x:c>
      <x:c r="P167" s="1" t="inlineStr">
        <x:is>
          <x:t>Да</x:t>
        </x:is>
      </x:c>
      <x:c r="Q167" s="1" t="inlineStr">
        <x:is>
          <x:t>Да</x:t>
        </x:is>
      </x:c>
      <x:c r="R167" s="1" t="inlineStr">
        <x:is>
          <x:t>Да</x:t>
        </x:is>
      </x:c>
      <x:c r="S167" s="1" t="inlineStr">
        <x:is>
          <x:t>Да</x:t>
        </x:is>
      </x:c>
    </x:row>
    <x:row r="168" ht="26" customHeight="1">
      <x:c r="A168" s="1" t="inlineStr">
        <x:is>
          <x:t>Чувствительность CR 20.1%</x:t>
        </x:is>
      </x:c>
      <x:c r="B168" s="1" t="inlineStr">
        <x:is>
          <x:t>H6.1</x:t>
        </x:is>
      </x:c>
      <x:c r="C168" s="8">
        <x:v>0.20100000000000001</x:v>
      </x:c>
      <x:c r="D168" s="16">
        <x:v>0.024260898186075925</x:v>
      </x:c>
      <x:c r="E168" s="8">
        <x:v>0.0012070098600037774</x:v>
      </x:c>
      <x:c r="F168" s="12">
        <x:v>10674.795201873407</x:v>
      </x:c>
      <x:c r="G168" s="12">
        <x:v>1029600</x:v>
      </x:c>
      <x:c r="H168" s="8">
        <x:v>0.27834991222937394</x:v>
      </x:c>
      <x:c r="I168" s="8">
        <x:v>0.27870538326506733</x:v>
      </x:c>
      <x:c r="J168" s="8">
        <x:v>0.16465769455822121</x:v>
      </x:c>
      <x:c r="K168" s="8">
        <x:v>0.16652391749561152</x:v>
      </x:c>
      <x:c r="L168" s="16">
        <x:v>0.20100000000000001</x:v>
      </x:c>
      <x:c r="M168" s="16">
        <x:v>0.20124260898186075</x:v>
      </x:c>
      <x:c r="N168" s="16">
        <x:v>100.12070098600039</x:v>
      </x:c>
      <x:c r="O168" s="1" t="inlineStr">
        <x:is>
          <x:t>Да</x:t>
        </x:is>
      </x:c>
      <x:c r="P168" s="1" t="inlineStr">
        <x:is>
          <x:t>Да</x:t>
        </x:is>
      </x:c>
      <x:c r="Q168" s="1" t="inlineStr">
        <x:is>
          <x:t>Да</x:t>
        </x:is>
      </x:c>
      <x:c r="R168" s="1" t="inlineStr">
        <x:is>
          <x:t>Да</x:t>
        </x:is>
      </x:c>
      <x:c r="S168" s="1" t="inlineStr">
        <x:is>
          <x:t>Да</x:t>
        </x:is>
      </x:c>
    </x:row>
    <x:row r="169" ht="26" customHeight="1">
      <x:c r="A169" s="1" t="inlineStr">
        <x:is>
          <x:t>Чувствительность CR 20.1%</x:t>
        </x:is>
      </x:c>
      <x:c r="B169" s="1" t="inlineStr">
        <x:is>
          <x:t>H6.2</x:t>
        </x:is>
      </x:c>
      <x:c r="C169" s="8">
        <x:v>0.20100000000000001</x:v>
      </x:c>
      <x:c r="D169" s="16">
        <x:v>0.024260898186075925</x:v>
      </x:c>
      <x:c r="E169" s="8">
        <x:v>0.0012070098600037774</x:v>
      </x:c>
      <x:c r="F169" s="12">
        <x:v>10674.795201873407</x:v>
      </x:c>
      <x:c r="G169" s="12">
        <x:v>1029600</x:v>
      </x:c>
      <x:c r="H169" s="8">
        <x:v>0.27834991222937394</x:v>
      </x:c>
      <x:c r="I169" s="8">
        <x:v>0.27870538326506733</x:v>
      </x:c>
      <x:c r="J169" s="8">
        <x:v>0.16465769455822121</x:v>
      </x:c>
      <x:c r="K169" s="8">
        <x:v>0.16652391749561152</x:v>
      </x:c>
      <x:c r="L169" s="16">
        <x:v>0.20100000000000001</x:v>
      </x:c>
      <x:c r="M169" s="16">
        <x:v>0.20124260898186075</x:v>
      </x:c>
      <x:c r="N169" s="16">
        <x:v>100.12070098600039</x:v>
      </x:c>
      <x:c r="O169" s="1" t="inlineStr">
        <x:is>
          <x:t>Да</x:t>
        </x:is>
      </x:c>
      <x:c r="P169" s="1" t="inlineStr">
        <x:is>
          <x:t>Да</x:t>
        </x:is>
      </x:c>
      <x:c r="Q169" s="1" t="inlineStr">
        <x:is>
          <x:t>Да</x:t>
        </x:is>
      </x:c>
      <x:c r="R169" s="1" t="inlineStr">
        <x:is>
          <x:t>Да</x:t>
        </x:is>
      </x:c>
      <x:c r="S169" s="1" t="inlineStr">
        <x:is>
          <x:t>Да</x:t>
        </x:is>
      </x:c>
    </x:row>
    <x:row r="170" ht="26" customHeight="1">
      <x:c r="A170" s="1" t="inlineStr">
        <x:is>
          <x:t>Чувствительность CR 20.1%</x:t>
        </x:is>
      </x:c>
      <x:c r="B170" s="1" t="inlineStr">
        <x:is>
          <x:t>H6.3</x:t>
        </x:is>
      </x:c>
      <x:c r="C170" s="8">
        <x:v>0.20100000000000001</x:v>
      </x:c>
      <x:c r="D170" s="16">
        <x:v>0.024260898186075925</x:v>
      </x:c>
      <x:c r="E170" s="8">
        <x:v>0.0012070098600037774</x:v>
      </x:c>
      <x:c r="F170" s="12">
        <x:v>10674.795201873407</x:v>
      </x:c>
      <x:c r="G170" s="12">
        <x:v>1029600</x:v>
      </x:c>
      <x:c r="H170" s="8">
        <x:v>0.27834991222937394</x:v>
      </x:c>
      <x:c r="I170" s="8">
        <x:v>0.27870538326506733</x:v>
      </x:c>
      <x:c r="J170" s="8">
        <x:v>0.16465769455822121</x:v>
      </x:c>
      <x:c r="K170" s="8">
        <x:v>0.16652391749561152</x:v>
      </x:c>
      <x:c r="L170" s="16">
        <x:v>0.20100000000000001</x:v>
      </x:c>
      <x:c r="M170" s="16">
        <x:v>0.20124260898186075</x:v>
      </x:c>
      <x:c r="N170" s="16">
        <x:v>100.12070098600039</x:v>
      </x:c>
      <x:c r="O170" s="1" t="inlineStr">
        <x:is>
          <x:t>Да</x:t>
        </x:is>
      </x:c>
      <x:c r="P170" s="1" t="inlineStr">
        <x:is>
          <x:t>Да</x:t>
        </x:is>
      </x:c>
      <x:c r="Q170" s="1" t="inlineStr">
        <x:is>
          <x:t>Да</x:t>
        </x:is>
      </x:c>
      <x:c r="R170" s="1" t="inlineStr">
        <x:is>
          <x:t>Да</x:t>
        </x:is>
      </x:c>
      <x:c r="S170" s="1" t="inlineStr">
        <x:is>
          <x:t>Да</x:t>
        </x:is>
      </x:c>
    </x:row>
    <x:row r="171" ht="26" customHeight="1">
      <x:c r="A171" s="1" t="inlineStr">
        <x:is>
          <x:t>Пересечение визитов 0%</x:t>
        </x:is>
      </x:c>
      <x:c r="B171" s="1" t="inlineStr">
        <x:is>
          <x:t>H1</x:t>
        </x:is>
      </x:c>
      <x:c r="C171" s="8">
        <x:v>0.14999999999999994</x:v>
      </x:c>
      <x:c r="D171" s="16">
        <x:v>0.053661551077788784</x:v>
      </x:c>
      <x:c r="E171" s="8">
        <x:v>0.0035774367385192534</x:v>
      </x:c>
      <x:c r="F171" s="12">
        <x:v>23611.082474227063</x:v>
      </x:c>
      <x:c r="G171" s="12">
        <x:v>3432000</x:v>
      </x:c>
      <x:c r="H171" s="8">
        <x:v>0.21087160262417987</x:v>
      </x:c>
      <x:c r="I171" s="8">
        <x:v>0.2116971649484535</x:v>
      </x:c>
      <x:c r="J171" s="8">
        <x:v>0.028116213683223982</x:v>
      </x:c>
      <x:c r="K171" s="8">
        <x:v>0.028116213683223982</x:v>
      </x:c>
      <x:c r="L171" s="16">
        <x:v>0.14999999999999994</x:v>
      </x:c>
      <x:c r="M171" s="16">
        <x:v>0.15053661551077782</x:v>
      </x:c>
      <x:c r="N171" s="16">
        <x:v>100.35774367385193</x:v>
      </x:c>
      <x:c r="O171" s="1" t="inlineStr">
        <x:is>
          <x:t>Да</x:t>
        </x:is>
      </x:c>
      <x:c r="P171" s="1" t="inlineStr">
        <x:is>
          <x:t>Да</x:t>
        </x:is>
      </x:c>
      <x:c r="Q171" s="1" t="inlineStr">
        <x:is>
          <x:t>Да</x:t>
        </x:is>
      </x:c>
      <x:c r="R171" s="1" t="inlineStr">
        <x:is>
          <x:t>Да</x:t>
        </x:is>
      </x:c>
      <x:c r="S171" s="1" t="inlineStr">
        <x:is>
          <x:t>Да</x:t>
        </x:is>
      </x:c>
    </x:row>
    <x:row r="172" ht="26" customHeight="1">
      <x:c r="A172" s="1" t="inlineStr">
        <x:is>
          <x:t>Пересечение визитов 0%</x:t>
        </x:is>
      </x:c>
      <x:c r="B172" s="1" t="inlineStr">
        <x:is>
          <x:t>H2</x:t>
        </x:is>
      </x:c>
      <x:c r="C172" s="8">
        <x:v>0.14999999999999994</x:v>
      </x:c>
      <x:c r="D172" s="16">
        <x:v>0.15933985473289874</x:v>
      </x:c>
      <x:c r="E172" s="8">
        <x:v>0.010622656982193253</x:v>
      </x:c>
      <x:c r="F172" s="12">
        <x:v>70109.536082475446</x:v>
      </x:c>
      <x:c r="G172" s="12">
        <x:v>7150000</x:v>
      </x:c>
      <x:c r="H172" s="8">
        <x:v>0.21087160262417987</x:v>
      </x:c>
      <x:c r="I172" s="8">
        <x:v>0.21324390815370189</x:v>
      </x:c>
      <x:c r="J172" s="8">
        <x:v>0.028116213683223982</x:v>
      </x:c>
      <x:c r="K172" s="8">
        <x:v>0.028511597938144322</x:v>
      </x:c>
      <x:c r="L172" s="16">
        <x:v>0.14999999999999994</x:v>
      </x:c>
      <x:c r="M172" s="16">
        <x:v>0.15159339854732892</x:v>
      </x:c>
      <x:c r="N172" s="16">
        <x:v>101.06226569821932</x:v>
      </x:c>
      <x:c r="O172" s="1" t="inlineStr">
        <x:is>
          <x:t>Да</x:t>
        </x:is>
      </x:c>
      <x:c r="P172" s="1" t="inlineStr">
        <x:is>
          <x:t>Да</x:t>
        </x:is>
      </x:c>
      <x:c r="Q172" s="1" t="inlineStr">
        <x:is>
          <x:t>Да</x:t>
        </x:is>
      </x:c>
      <x:c r="R172" s="1" t="inlineStr">
        <x:is>
          <x:t>Да</x:t>
        </x:is>
      </x:c>
      <x:c r="S172" s="1" t="inlineStr">
        <x:is>
          <x:t>Да</x:t>
        </x:is>
      </x:c>
    </x:row>
    <x:row r="173" ht="26" customHeight="1">
      <x:c r="A173" s="1" t="inlineStr">
        <x:is>
          <x:t>Пересечение визитов 0%</x:t>
        </x:is>
      </x:c>
      <x:c r="B173" s="1" t="inlineStr">
        <x:is>
          <x:t>H3</x:t>
        </x:is>
      </x:c>
      <x:c r="C173" s="8">
        <x:v>0.14999999999999994</x:v>
      </x:c>
      <x:c r="D173" s="16">
        <x:v>0.11734609301780689</x:v>
      </x:c>
      <x:c r="E173" s="8">
        <x:v>0.0078230728678537961</x:v>
      </x:c>
      <x:c r="F173" s="12">
        <x:v>51632.280927835032</x:v>
      </x:c>
      <x:c r="G173" s="12">
        <x:v>5434000</x:v>
      </x:c>
      <x:c r="H173" s="8">
        <x:v>0.21087160262417987</x:v>
      </x:c>
      <x:c r="I173" s="8">
        <x:v>0.21267692713214612</x:v>
      </x:c>
      <x:c r="J173" s="8">
        <x:v>0.028116213683223982</x:v>
      </x:c>
      <x:c r="K173" s="8">
        <x:v>0.028116213683223982</x:v>
      </x:c>
      <x:c r="L173" s="16">
        <x:v>0.14999999999999994</x:v>
      </x:c>
      <x:c r="M173" s="16">
        <x:v>0.151173460930178</x:v>
      </x:c>
      <x:c r="N173" s="16">
        <x:v>100.78230728678538</x:v>
      </x:c>
      <x:c r="O173" s="1" t="inlineStr">
        <x:is>
          <x:t>Да</x:t>
        </x:is>
      </x:c>
      <x:c r="P173" s="1" t="inlineStr">
        <x:is>
          <x:t>Да</x:t>
        </x:is>
      </x:c>
      <x:c r="Q173" s="1" t="inlineStr">
        <x:is>
          <x:t>Да</x:t>
        </x:is>
      </x:c>
      <x:c r="R173" s="1" t="inlineStr">
        <x:is>
          <x:t>Да</x:t>
        </x:is>
      </x:c>
      <x:c r="S173" s="1" t="inlineStr">
        <x:is>
          <x:t>Да</x:t>
        </x:is>
      </x:c>
    </x:row>
    <x:row r="174" ht="26" customHeight="1">
      <x:c r="A174" s="1" t="inlineStr">
        <x:is>
          <x:t>Пересечение визитов 0%</x:t>
        </x:is>
      </x:c>
      <x:c r="B174" s="1" t="inlineStr">
        <x:is>
          <x:t>H4</x:t>
        </x:is>
      </x:c>
      <x:c r="C174" s="8">
        <x:v>0.14999999999999994</x:v>
      </x:c>
      <x:c r="D174" s="16">
        <x:v>0.17208498711340256</x:v>
      </x:c>
      <x:c r="E174" s="8">
        <x:v>0.011472332474226842</x:v>
      </x:c>
      <x:c r="F174" s="12">
        <x:v>75717.394329897128</x:v>
      </x:c>
      <x:c r="G174" s="12">
        <x:v>7893600</x:v>
      </x:c>
      <x:c r="H174" s="8">
        <x:v>0.21087160262417987</x:v>
      </x:c>
      <x:c r="I174" s="8">
        <x:v>0.21345029873477028</x:v>
      </x:c>
      <x:c r="J174" s="8">
        <x:v>0.028116213683223982</x:v>
      </x:c>
      <x:c r="K174" s="8">
        <x:v>0.02846003983130271</x:v>
      </x:c>
      <x:c r="L174" s="16">
        <x:v>0.14999999999999994</x:v>
      </x:c>
      <x:c r="M174" s="16">
        <x:v>0.15172084987113396</x:v>
      </x:c>
      <x:c r="N174" s="16">
        <x:v>101.14723324742269</x:v>
      </x:c>
      <x:c r="O174" s="1" t="inlineStr">
        <x:is>
          <x:t>Да</x:t>
        </x:is>
      </x:c>
      <x:c r="P174" s="1" t="inlineStr">
        <x:is>
          <x:t>Да</x:t>
        </x:is>
      </x:c>
      <x:c r="Q174" s="1" t="inlineStr">
        <x:is>
          <x:t>Да</x:t>
        </x:is>
      </x:c>
      <x:c r="R174" s="1" t="inlineStr">
        <x:is>
          <x:t>Да</x:t>
        </x:is>
      </x:c>
      <x:c r="S174" s="1" t="inlineStr">
        <x:is>
          <x:t>Да</x:t>
        </x:is>
      </x:c>
    </x:row>
    <x:row r="175" ht="26" customHeight="1">
      <x:c r="A175" s="1" t="inlineStr">
        <x:is>
          <x:t>Пересечение визитов 0%</x:t>
        </x:is>
      </x:c>
      <x:c r="B175" s="1" t="inlineStr">
        <x:is>
          <x:t>H5</x:t>
        </x:is>
      </x:c>
      <x:c r="C175" s="8">
        <x:v>0.14999999999999994</x:v>
      </x:c>
      <x:c r="D175" s="16">
        <x:v>0.0074673851921286602</x:v>
      </x:c>
      <x:c r="E175" s="8">
        <x:v>0.00049782567947524422</x:v>
      </x:c>
      <x:c r="F175" s="12">
        <x:v>3285.6494845366105</x:v>
      </x:c>
      <x:c r="G175" s="12">
        <x:v>1830400</x:v>
      </x:c>
      <x:c r="H175" s="8">
        <x:v>0.21087160262417987</x:v>
      </x:c>
      <x:c r="I175" s="8">
        <x:v>0.21087160262417987</x:v>
      </x:c>
      <x:c r="J175" s="8">
        <x:v>0.028116213683223982</x:v>
      </x:c>
      <x:c r="K175" s="8">
        <x:v>0.02869062792877225</x:v>
      </x:c>
      <x:c r="L175" s="16">
        <x:v>0.14999999999999994</x:v>
      </x:c>
      <x:c r="M175" s="16">
        <x:v>0.15007467385192122</x:v>
      </x:c>
      <x:c r="N175" s="16">
        <x:v>100.04978256794753</x:v>
      </x:c>
      <x:c r="O175" s="1" t="inlineStr">
        <x:is>
          <x:t>Да</x:t>
        </x:is>
      </x:c>
      <x:c r="P175" s="1" t="inlineStr">
        <x:is>
          <x:t>Да</x:t>
        </x:is>
      </x:c>
      <x:c r="Q175" s="1" t="inlineStr">
        <x:is>
          <x:t>Да</x:t>
        </x:is>
      </x:c>
      <x:c r="R175" s="1" t="inlineStr">
        <x:is>
          <x:t>Да</x:t>
        </x:is>
      </x:c>
      <x:c r="S175" s="1" t="inlineStr">
        <x:is>
          <x:t>Да</x:t>
        </x:is>
      </x:c>
    </x:row>
    <x:row r="176" ht="26" customHeight="1">
      <x:c r="A176" s="1" t="inlineStr">
        <x:is>
          <x:t>Пересечение визитов 0%</x:t>
        </x:is>
      </x:c>
      <x:c r="B176" s="1" t="inlineStr">
        <x:is>
          <x:t>H6.1</x:t>
        </x:is>
      </x:c>
      <x:c r="C176" s="8">
        <x:v>0.14999999999999994</x:v>
      </x:c>
      <x:c r="D176" s="16">
        <x:v>0.0042929240862246264</x:v>
      </x:c>
      <x:c r="E176" s="8">
        <x:v>0.00028619493908164191</x:v>
      </x:c>
      <x:c r="F176" s="12">
        <x:v>1888.8865979388356</x:v>
      </x:c>
      <x:c r="G176" s="12">
        <x:v>1029599.9999999999</x:v>
      </x:c>
      <x:c r="H176" s="8">
        <x:v>0.21087160262417987</x:v>
      </x:c>
      <x:c r="I176" s="8">
        <x:v>0.21087160262417987</x:v>
      </x:c>
      <x:c r="J176" s="8">
        <x:v>0.028116213683223982</x:v>
      </x:c>
      <x:c r="K176" s="8">
        <x:v>0.028446438612933451</x:v>
      </x:c>
      <x:c r="L176" s="16">
        <x:v>0.14999999999999994</x:v>
      </x:c>
      <x:c r="M176" s="16">
        <x:v>0.15004292924086218</x:v>
      </x:c>
      <x:c r="N176" s="16">
        <x:v>100.02861949390817</x:v>
      </x:c>
      <x:c r="O176" s="1" t="inlineStr">
        <x:is>
          <x:t>Да</x:t>
        </x:is>
      </x:c>
      <x:c r="P176" s="1" t="inlineStr">
        <x:is>
          <x:t>Да</x:t>
        </x:is>
      </x:c>
      <x:c r="Q176" s="1" t="inlineStr">
        <x:is>
          <x:t>Да</x:t>
        </x:is>
      </x:c>
      <x:c r="R176" s="1" t="inlineStr">
        <x:is>
          <x:t>Да</x:t>
        </x:is>
      </x:c>
      <x:c r="S176" s="1" t="inlineStr">
        <x:is>
          <x:t>Да</x:t>
        </x:is>
      </x:c>
    </x:row>
    <x:row r="177" ht="26" customHeight="1">
      <x:c r="A177" s="1" t="inlineStr">
        <x:is>
          <x:t>Пересечение визитов 0%</x:t>
        </x:is>
      </x:c>
      <x:c r="B177" s="1" t="inlineStr">
        <x:is>
          <x:t>H6.2</x:t>
        </x:is>
      </x:c>
      <x:c r="C177" s="8">
        <x:v>0.14999999999999994</x:v>
      </x:c>
      <x:c r="D177" s="16">
        <x:v>0.0042929240862246264</x:v>
      </x:c>
      <x:c r="E177" s="8">
        <x:v>0.00028619493908164191</x:v>
      </x:c>
      <x:c r="F177" s="12">
        <x:v>1888.8865979388356</x:v>
      </x:c>
      <x:c r="G177" s="12">
        <x:v>1029599.9999999999</x:v>
      </x:c>
      <x:c r="H177" s="8">
        <x:v>0.21087160262417987</x:v>
      </x:c>
      <x:c r="I177" s="8">
        <x:v>0.21087160262417987</x:v>
      </x:c>
      <x:c r="J177" s="8">
        <x:v>0.028116213683223982</x:v>
      </x:c>
      <x:c r="K177" s="8">
        <x:v>0.028446438612933451</x:v>
      </x:c>
      <x:c r="L177" s="16">
        <x:v>0.14999999999999994</x:v>
      </x:c>
      <x:c r="M177" s="16">
        <x:v>0.15004292924086218</x:v>
      </x:c>
      <x:c r="N177" s="16">
        <x:v>100.02861949390817</x:v>
      </x:c>
      <x:c r="O177" s="1" t="inlineStr">
        <x:is>
          <x:t>Да</x:t>
        </x:is>
      </x:c>
      <x:c r="P177" s="1" t="inlineStr">
        <x:is>
          <x:t>Да</x:t>
        </x:is>
      </x:c>
      <x:c r="Q177" s="1" t="inlineStr">
        <x:is>
          <x:t>Да</x:t>
        </x:is>
      </x:c>
      <x:c r="R177" s="1" t="inlineStr">
        <x:is>
          <x:t>Да</x:t>
        </x:is>
      </x:c>
      <x:c r="S177" s="1" t="inlineStr">
        <x:is>
          <x:t>Да</x:t>
        </x:is>
      </x:c>
    </x:row>
    <x:row r="178" ht="26" customHeight="1">
      <x:c r="A178" s="1" t="inlineStr">
        <x:is>
          <x:t>Пересечение визитов 0%</x:t>
        </x:is>
      </x:c>
      <x:c r="B178" s="1" t="inlineStr">
        <x:is>
          <x:t>H6.3</x:t>
        </x:is>
      </x:c>
      <x:c r="C178" s="8">
        <x:v>0.14999999999999994</x:v>
      </x:c>
      <x:c r="D178" s="16">
        <x:v>0.0042929240862246264</x:v>
      </x:c>
      <x:c r="E178" s="8">
        <x:v>0.00028619493908164191</x:v>
      </x:c>
      <x:c r="F178" s="12">
        <x:v>1888.8865979388356</x:v>
      </x:c>
      <x:c r="G178" s="12">
        <x:v>1029599.9999999999</x:v>
      </x:c>
      <x:c r="H178" s="8">
        <x:v>0.21087160262417987</x:v>
      </x:c>
      <x:c r="I178" s="8">
        <x:v>0.21087160262417987</x:v>
      </x:c>
      <x:c r="J178" s="8">
        <x:v>0.028116213683223982</x:v>
      </x:c>
      <x:c r="K178" s="8">
        <x:v>0.028446438612933451</x:v>
      </x:c>
      <x:c r="L178" s="16">
        <x:v>0.14999999999999994</x:v>
      </x:c>
      <x:c r="M178" s="16">
        <x:v>0.15004292924086218</x:v>
      </x:c>
      <x:c r="N178" s="16">
        <x:v>100.02861949390817</x:v>
      </x:c>
      <x:c r="O178" s="1" t="inlineStr">
        <x:is>
          <x:t>Да</x:t>
        </x:is>
      </x:c>
      <x:c r="P178" s="1" t="inlineStr">
        <x:is>
          <x:t>Да</x:t>
        </x:is>
      </x:c>
      <x:c r="Q178" s="1" t="inlineStr">
        <x:is>
          <x:t>Да</x:t>
        </x:is>
      </x:c>
      <x:c r="R178" s="1" t="inlineStr">
        <x:is>
          <x:t>Да</x:t>
        </x:is>
      </x:c>
      <x:c r="S178" s="1" t="inlineStr">
        <x:is>
          <x:t>Да</x:t>
        </x:is>
      </x:c>
    </x:row>
    <x:row r="179" ht="26" customHeight="1">
      <x:c r="A179" s="1" t="inlineStr">
        <x:is>
          <x:t>Пересечение визитов 50%</x:t>
        </x:is>
      </x:c>
      <x:c r="B179" s="1" t="inlineStr">
        <x:is>
          <x:t>H1</x:t>
        </x:is>
      </x:c>
      <x:c r="C179" s="8">
        <x:v>0.14999999999999997</x:v>
      </x:c>
      <x:c r="D179" s="16">
        <x:v>0.053168407780979761</x:v>
      </x:c>
      <x:c r="E179" s="8">
        <x:v>0.0035445605187319844</x:v>
      </x:c>
      <x:c r="F179" s="12">
        <x:v>23394.099423631094</x:v>
      </x:c>
      <x:c r="G179" s="12">
        <x:v>3432000</x:v>
      </x:c>
      <x:c r="H179" s="8">
        <x:v>0.20893371757925067</x:v>
      </x:c>
      <x:c r="I179" s="8">
        <x:v>0.20975169308357344</x:v>
      </x:c>
      <x:c r="J179" s="8">
        <x:v>0.08645533141210375</x:v>
      </x:c>
      <x:c r="K179" s="8">
        <x:v>0.086737391930835739</x:v>
      </x:c>
      <x:c r="L179" s="16">
        <x:v>0.14999999999999997</x:v>
      </x:c>
      <x:c r="M179" s="16">
        <x:v>0.15053168407780979</x:v>
      </x:c>
      <x:c r="N179" s="16">
        <x:v>100.3544560518732</x:v>
      </x:c>
      <x:c r="O179" s="1" t="inlineStr">
        <x:is>
          <x:t>Да</x:t>
        </x:is>
      </x:c>
      <x:c r="P179" s="1" t="inlineStr">
        <x:is>
          <x:t>Да</x:t>
        </x:is>
      </x:c>
      <x:c r="Q179" s="1" t="inlineStr">
        <x:is>
          <x:t>Да</x:t>
        </x:is>
      </x:c>
      <x:c r="R179" s="1" t="inlineStr">
        <x:is>
          <x:t>Да</x:t>
        </x:is>
      </x:c>
      <x:c r="S179" s="1" t="inlineStr">
        <x:is>
          <x:t>Да</x:t>
        </x:is>
      </x:c>
    </x:row>
    <x:row r="180" ht="26" customHeight="1">
      <x:c r="A180" s="1" t="inlineStr">
        <x:is>
          <x:t>Пересечение визитов 50%</x:t>
        </x:is>
      </x:c>
      <x:c r="B180" s="1" t="inlineStr">
        <x:is>
          <x:t>H2</x:t>
        </x:is>
      </x:c>
      <x:c r="C180" s="8">
        <x:v>0.14999999999999997</x:v>
      </x:c>
      <x:c r="D180" s="16">
        <x:v>0.16331952449567827</x:v>
      </x:c>
      <x:c r="E180" s="8">
        <x:v>0.010887968299711887</x:v>
      </x:c>
      <x:c r="F180" s="12">
        <x:v>71860.590778098442</x:v>
      </x:c>
      <x:c r="G180" s="12">
        <x:v>6864000</x:v>
      </x:c>
      <x:c r="H180" s="8">
        <x:v>0.20893371757925067</x:v>
      </x:c>
      <x:c r="I180" s="8">
        <x:v>0.2114057997118155</x:v>
      </x:c>
      <x:c r="J180" s="8">
        <x:v>0.08645533141210375</x:v>
      </x:c>
      <x:c r="K180" s="8">
        <x:v>0.088076368876080696</x:v>
      </x:c>
      <x:c r="L180" s="16">
        <x:v>0.14999999999999997</x:v>
      </x:c>
      <x:c r="M180" s="16">
        <x:v>0.15163319524495675</x:v>
      </x:c>
      <x:c r="N180" s="16">
        <x:v>101.0887968299712</x:v>
      </x:c>
      <x:c r="O180" s="1" t="inlineStr">
        <x:is>
          <x:t>Да</x:t>
        </x:is>
      </x:c>
      <x:c r="P180" s="1" t="inlineStr">
        <x:is>
          <x:t>Да</x:t>
        </x:is>
      </x:c>
      <x:c r="Q180" s="1" t="inlineStr">
        <x:is>
          <x:t>Да</x:t>
        </x:is>
      </x:c>
      <x:c r="R180" s="1" t="inlineStr">
        <x:is>
          <x:t>Да</x:t>
        </x:is>
      </x:c>
      <x:c r="S180" s="1" t="inlineStr">
        <x:is>
          <x:t>Да</x:t>
        </x:is>
      </x:c>
    </x:row>
    <x:row r="181" ht="26" customHeight="1">
      <x:c r="A181" s="1" t="inlineStr">
        <x:is>
          <x:t>Пересечение визитов 50%</x:t>
        </x:is>
      </x:c>
      <x:c r="B181" s="1" t="inlineStr">
        <x:is>
          <x:t>H3</x:t>
        </x:is>
      </x:c>
      <x:c r="C181" s="8">
        <x:v>0.14999999999999997</x:v>
      </x:c>
      <x:c r="D181" s="16">
        <x:v>0.11626769632564816</x:v>
      </x:c>
      <x:c r="E181" s="8">
        <x:v>0.0077511797550432115</x:v>
      </x:c>
      <x:c r="F181" s="12">
        <x:v>51157.786383285187</x:v>
      </x:c>
      <x:c r="G181" s="12">
        <x:v>5434000</x:v>
      </x:c>
      <x:c r="H181" s="8">
        <x:v>0.20893371757925067</x:v>
      </x:c>
      <x:c r="I181" s="8">
        <x:v>0.21072245136887607</x:v>
      </x:c>
      <x:c r="J181" s="8">
        <x:v>0.08645533141210375</x:v>
      </x:c>
      <x:c r="K181" s="8">
        <x:v>0.087072136167146985</x:v>
      </x:c>
      <x:c r="L181" s="16">
        <x:v>0.14999999999999997</x:v>
      </x:c>
      <x:c r="M181" s="16">
        <x:v>0.15116267696325647</x:v>
      </x:c>
      <x:c r="N181" s="16">
        <x:v>100.77511797550432</x:v>
      </x:c>
      <x:c r="O181" s="1" t="inlineStr">
        <x:is>
          <x:t>Да</x:t>
        </x:is>
      </x:c>
      <x:c r="P181" s="1" t="inlineStr">
        <x:is>
          <x:t>Да</x:t>
        </x:is>
      </x:c>
      <x:c r="Q181" s="1" t="inlineStr">
        <x:is>
          <x:t>Да</x:t>
        </x:is>
      </x:c>
      <x:c r="R181" s="1" t="inlineStr">
        <x:is>
          <x:t>Да</x:t>
        </x:is>
      </x:c>
      <x:c r="S181" s="1" t="inlineStr">
        <x:is>
          <x:t>Да</x:t>
        </x:is>
      </x:c>
    </x:row>
    <x:row r="182" ht="26" customHeight="1">
      <x:c r="A182" s="1" t="inlineStr">
        <x:is>
          <x:t>Пересечение визитов 50%</x:t>
        </x:is>
      </x:c>
      <x:c r="B182" s="1" t="inlineStr">
        <x:is>
          <x:t>H4</x:t>
        </x:is>
      </x:c>
      <x:c r="C182" s="8">
        <x:v>0.14999999999999997</x:v>
      </x:c>
      <x:c r="D182" s="16">
        <x:v>0.17455063940922053</x:v>
      </x:c>
      <x:c r="E182" s="8">
        <x:v>0.011636709293948036</x:v>
      </x:c>
      <x:c r="F182" s="12">
        <x:v>76802.28134005703</x:v>
      </x:c>
      <x:c r="G182" s="12">
        <x:v>7607600</x:v>
      </x:c>
      <x:c r="H182" s="8">
        <x:v>0.20893371757925067</x:v>
      </x:c>
      <x:c r="I182" s="8">
        <x:v>0.21158387067723339</x:v>
      </x:c>
      <x:c r="J182" s="8">
        <x:v>0.08645533141210375</x:v>
      </x:c>
      <x:c r="K182" s="8">
        <x:v>0.087988346541786736</x:v>
      </x:c>
      <x:c r="L182" s="16">
        <x:v>0.14999999999999997</x:v>
      </x:c>
      <x:c r="M182" s="16">
        <x:v>0.15174550639409218</x:v>
      </x:c>
      <x:c r="N182" s="16">
        <x:v>101.16367092939481</x:v>
      </x:c>
      <x:c r="O182" s="1" t="inlineStr">
        <x:is>
          <x:t>Да</x:t>
        </x:is>
      </x:c>
      <x:c r="P182" s="1" t="inlineStr">
        <x:is>
          <x:t>Да</x:t>
        </x:is>
      </x:c>
      <x:c r="Q182" s="1" t="inlineStr">
        <x:is>
          <x:t>Да</x:t>
        </x:is>
      </x:c>
      <x:c r="R182" s="1" t="inlineStr">
        <x:is>
          <x:t>Да</x:t>
        </x:is>
      </x:c>
      <x:c r="S182" s="1" t="inlineStr">
        <x:is>
          <x:t>Да</x:t>
        </x:is>
      </x:c>
    </x:row>
    <x:row r="183" ht="26" customHeight="1">
      <x:c r="A183" s="1" t="inlineStr">
        <x:is>
          <x:t>Пересечение визитов 50%</x:t>
        </x:is>
      </x:c>
      <x:c r="B183" s="1" t="inlineStr">
        <x:is>
          <x:t>H5</x:t>
        </x:is>
      </x:c>
      <x:c r="C183" s="8">
        <x:v>0.14999999999999997</x:v>
      </x:c>
      <x:c r="D183" s="16">
        <x:v>0.022961671469739469</x:v>
      </x:c>
      <x:c r="E183" s="8">
        <x:v>0.0015307780979826316</x:v>
      </x:c>
      <x:c r="F183" s="12">
        <x:v>10103.135446685366</x:v>
      </x:c>
      <x:c r="G183" s="12">
        <x:v>1830400</x:v>
      </x:c>
      <x:c r="H183" s="8">
        <x:v>0.20893371757925067</x:v>
      </x:c>
      <x:c r="I183" s="8">
        <x:v>0.20922809798270892</x:v>
      </x:c>
      <x:c r="J183" s="8">
        <x:v>0.08645533141210375</x:v>
      </x:c>
      <x:c r="K183" s="8">
        <x:v>0.088221613832853013</x:v>
      </x:c>
      <x:c r="L183" s="16">
        <x:v>0.14999999999999997</x:v>
      </x:c>
      <x:c r="M183" s="16">
        <x:v>0.15022961671469737</x:v>
      </x:c>
      <x:c r="N183" s="16">
        <x:v>100.15307780979826</x:v>
      </x:c>
      <x:c r="O183" s="1" t="inlineStr">
        <x:is>
          <x:t>Да</x:t>
        </x:is>
      </x:c>
      <x:c r="P183" s="1" t="inlineStr">
        <x:is>
          <x:t>Да</x:t>
        </x:is>
      </x:c>
      <x:c r="Q183" s="1" t="inlineStr">
        <x:is>
          <x:t>Да</x:t>
        </x:is>
      </x:c>
      <x:c r="R183" s="1" t="inlineStr">
        <x:is>
          <x:t>Да</x:t>
        </x:is>
      </x:c>
      <x:c r="S183" s="1" t="inlineStr">
        <x:is>
          <x:t>Да</x:t>
        </x:is>
      </x:c>
    </x:row>
    <x:row r="184" ht="26" customHeight="1">
      <x:c r="A184" s="1" t="inlineStr">
        <x:is>
          <x:t>Пересечение визитов 50%</x:t>
        </x:is>
      </x:c>
      <x:c r="B184" s="1" t="inlineStr">
        <x:is>
          <x:t>H6.1</x:t>
        </x:is>
      </x:c>
      <x:c r="C184" s="8">
        <x:v>0.14999999999999997</x:v>
      </x:c>
      <x:c r="D184" s="16">
        <x:v>0.013200432276658035</x:v>
      </x:c>
      <x:c r="E184" s="8">
        <x:v>0.00088002881844386925</x:v>
      </x:c>
      <x:c r="F184" s="12">
        <x:v>5808.1902017295361</x:v>
      </x:c>
      <x:c r="G184" s="12">
        <x:v>1029599.9999999999</x:v>
      </x:c>
      <x:c r="H184" s="8">
        <x:v>0.20893371757925067</x:v>
      </x:c>
      <x:c r="I184" s="8">
        <x:v>0.20910295389048986</x:v>
      </x:c>
      <x:c r="J184" s="8">
        <x:v>0.08645533141210375</x:v>
      </x:c>
      <x:c r="K184" s="8">
        <x:v>0.087470749279538892</x:v>
      </x:c>
      <x:c r="L184" s="16">
        <x:v>0.14999999999999997</x:v>
      </x:c>
      <x:c r="M184" s="16">
        <x:v>0.15013200432276655</x:v>
      </x:c>
      <x:c r="N184" s="16">
        <x:v>100.08800288184439</x:v>
      </x:c>
      <x:c r="O184" s="1" t="inlineStr">
        <x:is>
          <x:t>Да</x:t>
        </x:is>
      </x:c>
      <x:c r="P184" s="1" t="inlineStr">
        <x:is>
          <x:t>Да</x:t>
        </x:is>
      </x:c>
      <x:c r="Q184" s="1" t="inlineStr">
        <x:is>
          <x:t>Да</x:t>
        </x:is>
      </x:c>
      <x:c r="R184" s="1" t="inlineStr">
        <x:is>
          <x:t>Да</x:t>
        </x:is>
      </x:c>
      <x:c r="S184" s="1" t="inlineStr">
        <x:is>
          <x:t>Да</x:t>
        </x:is>
      </x:c>
    </x:row>
    <x:row r="185" ht="26" customHeight="1">
      <x:c r="A185" s="1" t="inlineStr">
        <x:is>
          <x:t>Пересечение визитов 50%</x:t>
        </x:is>
      </x:c>
      <x:c r="B185" s="1" t="inlineStr">
        <x:is>
          <x:t>H6.2</x:t>
        </x:is>
      </x:c>
      <x:c r="C185" s="8">
        <x:v>0.14999999999999997</x:v>
      </x:c>
      <x:c r="D185" s="16">
        <x:v>0.013200432276658035</x:v>
      </x:c>
      <x:c r="E185" s="8">
        <x:v>0.00088002881844386925</x:v>
      </x:c>
      <x:c r="F185" s="12">
        <x:v>5808.1902017295361</x:v>
      </x:c>
      <x:c r="G185" s="12">
        <x:v>1029599.9999999999</x:v>
      </x:c>
      <x:c r="H185" s="8">
        <x:v>0.20893371757925067</x:v>
      </x:c>
      <x:c r="I185" s="8">
        <x:v>0.20910295389048986</x:v>
      </x:c>
      <x:c r="J185" s="8">
        <x:v>0.08645533141210375</x:v>
      </x:c>
      <x:c r="K185" s="8">
        <x:v>0.087470749279538892</x:v>
      </x:c>
      <x:c r="L185" s="16">
        <x:v>0.14999999999999997</x:v>
      </x:c>
      <x:c r="M185" s="16">
        <x:v>0.15013200432276655</x:v>
      </x:c>
      <x:c r="N185" s="16">
        <x:v>100.08800288184439</x:v>
      </x:c>
      <x:c r="O185" s="1" t="inlineStr">
        <x:is>
          <x:t>Да</x:t>
        </x:is>
      </x:c>
      <x:c r="P185" s="1" t="inlineStr">
        <x:is>
          <x:t>Да</x:t>
        </x:is>
      </x:c>
      <x:c r="Q185" s="1" t="inlineStr">
        <x:is>
          <x:t>Да</x:t>
        </x:is>
      </x:c>
      <x:c r="R185" s="1" t="inlineStr">
        <x:is>
          <x:t>Да</x:t>
        </x:is>
      </x:c>
      <x:c r="S185" s="1" t="inlineStr">
        <x:is>
          <x:t>Да</x:t>
        </x:is>
      </x:c>
    </x:row>
    <x:row r="186" ht="26" customHeight="1">
      <x:c r="A186" s="1" t="inlineStr">
        <x:is>
          <x:t>Пересечение визитов 50%</x:t>
        </x:is>
      </x:c>
      <x:c r="B186" s="1" t="inlineStr">
        <x:is>
          <x:t>H6.3</x:t>
        </x:is>
      </x:c>
      <x:c r="C186" s="8">
        <x:v>0.14999999999999997</x:v>
      </x:c>
      <x:c r="D186" s="16">
        <x:v>0.013200432276658035</x:v>
      </x:c>
      <x:c r="E186" s="8">
        <x:v>0.00088002881844386925</x:v>
      </x:c>
      <x:c r="F186" s="12">
        <x:v>5808.1902017295361</x:v>
      </x:c>
      <x:c r="G186" s="12">
        <x:v>1029599.9999999999</x:v>
      </x:c>
      <x:c r="H186" s="8">
        <x:v>0.20893371757925067</x:v>
      </x:c>
      <x:c r="I186" s="8">
        <x:v>0.20910295389048986</x:v>
      </x:c>
      <x:c r="J186" s="8">
        <x:v>0.08645533141210375</x:v>
      </x:c>
      <x:c r="K186" s="8">
        <x:v>0.087470749279538892</x:v>
      </x:c>
      <x:c r="L186" s="16">
        <x:v>0.14999999999999997</x:v>
      </x:c>
      <x:c r="M186" s="16">
        <x:v>0.15013200432276655</x:v>
      </x:c>
      <x:c r="N186" s="16">
        <x:v>100.08800288184439</x:v>
      </x:c>
      <x:c r="O186" s="1" t="inlineStr">
        <x:is>
          <x:t>Да</x:t>
        </x:is>
      </x:c>
      <x:c r="P186" s="1" t="inlineStr">
        <x:is>
          <x:t>Да</x:t>
        </x:is>
      </x:c>
      <x:c r="Q186" s="1" t="inlineStr">
        <x:is>
          <x:t>Да</x:t>
        </x:is>
      </x:c>
      <x:c r="R186" s="1" t="inlineStr">
        <x:is>
          <x:t>Да</x:t>
        </x:is>
      </x:c>
      <x:c r="S186" s="1" t="inlineStr">
        <x:is>
          <x:t>Да</x:t>
        </x:is>
      </x:c>
    </x:row>
    <x:row r="187" ht="26" customHeight="1">
      <x:c r="A187" s="1" t="inlineStr">
        <x:is>
          <x:t>Пересечение визитов 100%</x:t>
        </x:is>
      </x:c>
      <x:c r="B187" s="1" t="inlineStr">
        <x:is>
          <x:t>H1</x:t>
        </x:is>
      </x:c>
      <x:c r="C187" s="8">
        <x:v>0.14999999999999997</x:v>
      </x:c>
      <x:c r="D187" s="16">
        <x:v>0.052649999999999995</x:v>
      </x:c>
      <x:c r="E187" s="8">
        <x:v>0.003510000000000001</x:v>
      </x:c>
      <x:c r="F187" s="12">
        <x:v>23166</x:v>
      </x:c>
      <x:c r="G187" s="12">
        <x:v>3432000</x:v>
      </x:c>
      <x:c r="H187" s="8">
        <x:v>0.20689655172413787</x:v>
      </x:c>
      <x:c r="I187" s="8">
        <x:v>0.20770655172413788</x:v>
      </x:c>
      <x:c r="J187" s="8">
        <x:v>0.14778325123152708</x:v>
      </x:c>
      <x:c r="K187" s="8">
        <x:v>0.14836182266009848</x:v>
      </x:c>
      <x:c r="L187" s="16">
        <x:v>0.14999999999999997</x:v>
      </x:c>
      <x:c r="M187" s="16">
        <x:v>0.15052649999999995</x:v>
      </x:c>
      <x:c r="N187" s="16">
        <x:v>100.351</x:v>
      </x:c>
      <x:c r="O187" s="1" t="inlineStr">
        <x:is>
          <x:t>Да</x:t>
        </x:is>
      </x:c>
      <x:c r="P187" s="1" t="inlineStr">
        <x:is>
          <x:t>Да</x:t>
        </x:is>
      </x:c>
      <x:c r="Q187" s="1" t="inlineStr">
        <x:is>
          <x:t>Да</x:t>
        </x:is>
      </x:c>
      <x:c r="R187" s="1" t="inlineStr">
        <x:is>
          <x:t>Да</x:t>
        </x:is>
      </x:c>
      <x:c r="S187" s="1" t="inlineStr">
        <x:is>
          <x:t>Да</x:t>
        </x:is>
      </x:c>
    </x:row>
    <x:row r="188" ht="26" customHeight="1">
      <x:c r="A188" s="1" t="inlineStr">
        <x:is>
          <x:t>Пересечение визитов 100%</x:t>
        </x:is>
      </x:c>
      <x:c r="B188" s="1" t="inlineStr">
        <x:is>
          <x:t>H2</x:t>
        </x:is>
      </x:c>
      <x:c r="C188" s="8">
        <x:v>0.14999999999999997</x:v>
      </x:c>
      <x:c r="D188" s="16">
        <x:v>0.1675030788177328</x:v>
      </x:c>
      <x:c r="E188" s="8">
        <x:v>0.01116687192118219</x:v>
      </x:c>
      <x:c r="F188" s="12">
        <x:v>73701.354679802433</x:v>
      </x:c>
      <x:c r="G188" s="12">
        <x:v>6578000</x:v>
      </x:c>
      <x:c r="H188" s="8">
        <x:v>0.20689655172413787</x:v>
      </x:c>
      <x:c r="I188" s="8">
        <x:v>0.20947352216748763</x:v>
      </x:c>
      <x:c r="J188" s="8">
        <x:v>0.14778325123152708</x:v>
      </x:c>
      <x:c r="K188" s="8">
        <x:v>0.15069273399014776</x:v>
      </x:c>
      <x:c r="L188" s="16">
        <x:v>0.14999999999999997</x:v>
      </x:c>
      <x:c r="M188" s="16">
        <x:v>0.15167503078817729</x:v>
      </x:c>
      <x:c r="N188" s="16">
        <x:v>101.11668719211822</x:v>
      </x:c>
      <x:c r="O188" s="1" t="inlineStr">
        <x:is>
          <x:t>Да</x:t>
        </x:is>
      </x:c>
      <x:c r="P188" s="1" t="inlineStr">
        <x:is>
          <x:t>Да</x:t>
        </x:is>
      </x:c>
      <x:c r="Q188" s="1" t="inlineStr">
        <x:is>
          <x:t>Да</x:t>
        </x:is>
      </x:c>
      <x:c r="R188" s="1" t="inlineStr">
        <x:is>
          <x:t>Да</x:t>
        </x:is>
      </x:c>
      <x:c r="S188" s="1" t="inlineStr">
        <x:is>
          <x:t>Да</x:t>
        </x:is>
      </x:c>
    </x:row>
    <x:row r="189" ht="26" customHeight="1">
      <x:c r="A189" s="1" t="inlineStr">
        <x:is>
          <x:t>Пересечение визитов 100%</x:t>
        </x:is>
      </x:c>
      <x:c r="B189" s="1" t="inlineStr">
        <x:is>
          <x:t>H3</x:t>
        </x:is>
      </x:c>
      <x:c r="C189" s="8">
        <x:v>0.14999999999999997</x:v>
      </x:c>
      <x:c r="D189" s="16">
        <x:v>0.11513405172414019</x:v>
      </x:c>
      <x:c r="E189" s="8">
        <x:v>0.0076756034482760149</x:v>
      </x:c>
      <x:c r="F189" s="12">
        <x:v>50658.982758621685</x:v>
      </x:c>
      <x:c r="G189" s="12">
        <x:v>5434000</x:v>
      </x:c>
      <x:c r="H189" s="8">
        <x:v>0.20689655172413787</x:v>
      </x:c>
      <x:c r="I189" s="8">
        <x:v>0.20866784482758619</x:v>
      </x:c>
      <x:c r="J189" s="8">
        <x:v>0.14778325123152708</x:v>
      </x:c>
      <x:c r="K189" s="8">
        <x:v>0.149048460591133</x:v>
      </x:c>
      <x:c r="L189" s="16">
        <x:v>0.14999999999999997</x:v>
      </x:c>
      <x:c r="M189" s="16">
        <x:v>0.15115134051724136</x:v>
      </x:c>
      <x:c r="N189" s="16">
        <x:v>100.7675603448276</x:v>
      </x:c>
      <x:c r="O189" s="1" t="inlineStr">
        <x:is>
          <x:t>Да</x:t>
        </x:is>
      </x:c>
      <x:c r="P189" s="1" t="inlineStr">
        <x:is>
          <x:t>Да</x:t>
        </x:is>
      </x:c>
      <x:c r="Q189" s="1" t="inlineStr">
        <x:is>
          <x:t>Да</x:t>
        </x:is>
      </x:c>
      <x:c r="R189" s="1" t="inlineStr">
        <x:is>
          <x:t>Да</x:t>
        </x:is>
      </x:c>
      <x:c r="S189" s="1" t="inlineStr">
        <x:is>
          <x:t>Да</x:t>
        </x:is>
      </x:c>
    </x:row>
    <x:row r="190" ht="26" customHeight="1">
      <x:c r="A190" s="1" t="inlineStr">
        <x:is>
          <x:t>Пересечение визитов 100%</x:t>
        </x:is>
      </x:c>
      <x:c r="B190" s="1" t="inlineStr">
        <x:is>
          <x:t>H4</x:t>
        </x:is>
      </x:c>
      <x:c r="C190" s="8">
        <x:v>0.14999999999999997</x:v>
      </x:c>
      <x:c r="D190" s="16">
        <x:v>0.17714261083743874</x:v>
      </x:c>
      <x:c r="E190" s="8">
        <x:v>0.011809507389162586</x:v>
      </x:c>
      <x:c r="F190" s="12">
        <x:v>77942.748768473044</x:v>
      </x:c>
      <x:c r="G190" s="12">
        <x:v>7321600</x:v>
      </x:c>
      <x:c r="H190" s="8">
        <x:v>0.20689655172413787</x:v>
      </x:c>
      <x:c r="I190" s="8">
        <x:v>0.20962182266009849</x:v>
      </x:c>
      <x:c r="J190" s="8">
        <x:v>0.14778325123152708</x:v>
      </x:c>
      <x:c r="K190" s="8">
        <x:v>0.15056637931034478</x:v>
      </x:c>
      <x:c r="L190" s="16">
        <x:v>0.14999999999999997</x:v>
      </x:c>
      <x:c r="M190" s="16">
        <x:v>0.15177142610837435</x:v>
      </x:c>
      <x:c r="N190" s="16">
        <x:v>101.18095073891627</x:v>
      </x:c>
      <x:c r="O190" s="1" t="inlineStr">
        <x:is>
          <x:t>Да</x:t>
        </x:is>
      </x:c>
      <x:c r="P190" s="1" t="inlineStr">
        <x:is>
          <x:t>Да</x:t>
        </x:is>
      </x:c>
      <x:c r="Q190" s="1" t="inlineStr">
        <x:is>
          <x:t>Да</x:t>
        </x:is>
      </x:c>
      <x:c r="R190" s="1" t="inlineStr">
        <x:is>
          <x:t>Да</x:t>
        </x:is>
      </x:c>
      <x:c r="S190" s="1" t="inlineStr">
        <x:is>
          <x:t>Да</x:t>
        </x:is>
      </x:c>
    </x:row>
    <x:row r="191" ht="26" customHeight="1">
      <x:c r="A191" s="1" t="inlineStr">
        <x:is>
          <x:t>Пересечение визитов 100%</x:t>
        </x:is>
      </x:c>
      <x:c r="B191" s="1" t="inlineStr">
        <x:is>
          <x:t>H5</x:t>
        </x:is>
      </x:c>
      <x:c r="C191" s="8">
        <x:v>0.14999999999999997</x:v>
      </x:c>
      <x:c r="D191" s="16">
        <x:v>0.039249753694581294</x:v>
      </x:c>
      <x:c r="E191" s="8">
        <x:v>0.0026166502463054199</x:v>
      </x:c>
      <x:c r="F191" s="12">
        <x:v>17269.891625615768</x:v>
      </x:c>
      <x:c r="G191" s="12">
        <x:v>1830400</x:v>
      </x:c>
      <x:c r="H191" s="8">
        <x:v>0.20689655172413787</x:v>
      </x:c>
      <x:c r="I191" s="8">
        <x:v>0.20750039408866991</x:v>
      </x:c>
      <x:c r="J191" s="8">
        <x:v>0.14778325123152708</x:v>
      </x:c>
      <x:c r="K191" s="8">
        <x:v>0.15080246305418712</x:v>
      </x:c>
      <x:c r="L191" s="16">
        <x:v>0.14999999999999997</x:v>
      </x:c>
      <x:c r="M191" s="16">
        <x:v>0.15039249753694578</x:v>
      </x:c>
      <x:c r="N191" s="16">
        <x:v>100.26166502463055</x:v>
      </x:c>
      <x:c r="O191" s="1" t="inlineStr">
        <x:is>
          <x:t>Да</x:t>
        </x:is>
      </x:c>
      <x:c r="P191" s="1" t="inlineStr">
        <x:is>
          <x:t>Да</x:t>
        </x:is>
      </x:c>
      <x:c r="Q191" s="1" t="inlineStr">
        <x:is>
          <x:t>Да</x:t>
        </x:is>
      </x:c>
      <x:c r="R191" s="1" t="inlineStr">
        <x:is>
          <x:t>Да</x:t>
        </x:is>
      </x:c>
      <x:c r="S191" s="1" t="inlineStr">
        <x:is>
          <x:t>Да</x:t>
        </x:is>
      </x:c>
    </x:row>
    <x:row r="192" ht="26" customHeight="1">
      <x:c r="A192" s="1" t="inlineStr">
        <x:is>
          <x:t>Пересечение визитов 100%</x:t>
        </x:is>
      </x:c>
      <x:c r="B192" s="1" t="inlineStr">
        <x:is>
          <x:t>H6.1</x:t>
        </x:is>
      </x:c>
      <x:c r="C192" s="8">
        <x:v>0.14999999999999997</x:v>
      </x:c>
      <x:c r="D192" s="16">
        <x:v>0.02256428571428511</x:v>
      </x:c>
      <x:c r="E192" s="8">
        <x:v>0.0015042857142856744</x:v>
      </x:c>
      <x:c r="F192" s="12">
        <x:v>9928.2857142854482</x:v>
      </x:c>
      <x:c r="G192" s="12">
        <x:v>1029599.9999999999</x:v>
      </x:c>
      <x:c r="H192" s="8">
        <x:v>0.20689655172413787</x:v>
      </x:c>
      <x:c r="I192" s="8">
        <x:v>0.20724369458128072</x:v>
      </x:c>
      <x:c r="J192" s="8">
        <x:v>0.14778325123152708</x:v>
      </x:c>
      <x:c r="K192" s="8">
        <x:v>0.14951896551724134</x:v>
      </x:c>
      <x:c r="L192" s="16">
        <x:v>0.14999999999999997</x:v>
      </x:c>
      <x:c r="M192" s="16">
        <x:v>0.15022564285714282</x:v>
      </x:c>
      <x:c r="N192" s="16">
        <x:v>100.15042857142856</x:v>
      </x:c>
      <x:c r="O192" s="1" t="inlineStr">
        <x:is>
          <x:t>Да</x:t>
        </x:is>
      </x:c>
      <x:c r="P192" s="1" t="inlineStr">
        <x:is>
          <x:t>Да</x:t>
        </x:is>
      </x:c>
      <x:c r="Q192" s="1" t="inlineStr">
        <x:is>
          <x:t>Да</x:t>
        </x:is>
      </x:c>
      <x:c r="R192" s="1" t="inlineStr">
        <x:is>
          <x:t>Да</x:t>
        </x:is>
      </x:c>
      <x:c r="S192" s="1" t="inlineStr">
        <x:is>
          <x:t>Да</x:t>
        </x:is>
      </x:c>
    </x:row>
    <x:row r="193" ht="26" customHeight="1">
      <x:c r="A193" s="1" t="inlineStr">
        <x:is>
          <x:t>Пересечение визитов 100%</x:t>
        </x:is>
      </x:c>
      <x:c r="B193" s="1" t="inlineStr">
        <x:is>
          <x:t>H6.2</x:t>
        </x:is>
      </x:c>
      <x:c r="C193" s="8">
        <x:v>0.14999999999999997</x:v>
      </x:c>
      <x:c r="D193" s="16">
        <x:v>0.02256428571428511</x:v>
      </x:c>
      <x:c r="E193" s="8">
        <x:v>0.0015042857142856744</x:v>
      </x:c>
      <x:c r="F193" s="12">
        <x:v>9928.2857142854482</x:v>
      </x:c>
      <x:c r="G193" s="12">
        <x:v>1029599.9999999999</x:v>
      </x:c>
      <x:c r="H193" s="8">
        <x:v>0.20689655172413787</x:v>
      </x:c>
      <x:c r="I193" s="8">
        <x:v>0.20724369458128072</x:v>
      </x:c>
      <x:c r="J193" s="8">
        <x:v>0.14778325123152708</x:v>
      </x:c>
      <x:c r="K193" s="8">
        <x:v>0.14951896551724134</x:v>
      </x:c>
      <x:c r="L193" s="16">
        <x:v>0.14999999999999997</x:v>
      </x:c>
      <x:c r="M193" s="16">
        <x:v>0.15022564285714282</x:v>
      </x:c>
      <x:c r="N193" s="16">
        <x:v>100.15042857142856</x:v>
      </x:c>
      <x:c r="O193" s="1" t="inlineStr">
        <x:is>
          <x:t>Да</x:t>
        </x:is>
      </x:c>
      <x:c r="P193" s="1" t="inlineStr">
        <x:is>
          <x:t>Да</x:t>
        </x:is>
      </x:c>
      <x:c r="Q193" s="1" t="inlineStr">
        <x:is>
          <x:t>Да</x:t>
        </x:is>
      </x:c>
      <x:c r="R193" s="1" t="inlineStr">
        <x:is>
          <x:t>Да</x:t>
        </x:is>
      </x:c>
      <x:c r="S193" s="1" t="inlineStr">
        <x:is>
          <x:t>Да</x:t>
        </x:is>
      </x:c>
    </x:row>
    <x:row r="194" ht="26" customHeight="1">
      <x:c r="A194" s="1" t="inlineStr">
        <x:is>
          <x:t>Пересечение визитов 100%</x:t>
        </x:is>
      </x:c>
      <x:c r="B194" s="1" t="inlineStr">
        <x:is>
          <x:t>H6.3</x:t>
        </x:is>
      </x:c>
      <x:c r="C194" s="8">
        <x:v>0.14999999999999997</x:v>
      </x:c>
      <x:c r="D194" s="16">
        <x:v>0.02256428571428511</x:v>
      </x:c>
      <x:c r="E194" s="8">
        <x:v>0.0015042857142856744</x:v>
      </x:c>
      <x:c r="F194" s="12">
        <x:v>9928.2857142854482</x:v>
      </x:c>
      <x:c r="G194" s="12">
        <x:v>1029599.9999999999</x:v>
      </x:c>
      <x:c r="H194" s="8">
        <x:v>0.20689655172413787</x:v>
      </x:c>
      <x:c r="I194" s="8">
        <x:v>0.20724369458128072</x:v>
      </x:c>
      <x:c r="J194" s="8">
        <x:v>0.14778325123152708</x:v>
      </x:c>
      <x:c r="K194" s="8">
        <x:v>0.14951896551724134</x:v>
      </x:c>
      <x:c r="L194" s="16">
        <x:v>0.14999999999999997</x:v>
      </x:c>
      <x:c r="M194" s="16">
        <x:v>0.15022564285714282</x:v>
      </x:c>
      <x:c r="N194" s="16">
        <x:v>100.15042857142856</x:v>
      </x:c>
      <x:c r="O194" s="1" t="inlineStr">
        <x:is>
          <x:t>Да</x:t>
        </x:is>
      </x:c>
      <x:c r="P194" s="1" t="inlineStr">
        <x:is>
          <x:t>Да</x:t>
        </x:is>
      </x:c>
      <x:c r="Q194" s="1" t="inlineStr">
        <x:is>
          <x:t>Да</x:t>
        </x:is>
      </x:c>
      <x:c r="R194" s="1" t="inlineStr">
        <x:is>
          <x:t>Да</x:t>
        </x:is>
      </x:c>
      <x:c r="S194" s="1" t="inlineStr">
        <x:is>
          <x:t>Да</x:t>
        </x:is>
      </x:c>
    </x:row>
    <x:row r="195" ht="26" customHeight="1">
      <x:c r="A195" s="1" t="inlineStr">
        <x:is>
          <x:t>Охват ×0.5</x:t>
        </x:is>
      </x:c>
      <x:c r="B195" s="1" t="inlineStr">
        <x:is>
          <x:t>H1</x:t>
        </x:is>
      </x:c>
      <x:c r="C195" s="8">
        <x:v>0.14999999999999997</x:v>
      </x:c>
      <x:c r="D195" s="16">
        <x:v>0.026430258923345669</x:v>
      </x:c>
      <x:c r="E195" s="8">
        <x:v>0.0017620172615563782</x:v>
      </x:c>
      <x:c r="F195" s="12">
        <x:v>11629.313926272094</x:v>
      </x:c>
      <x:c r="G195" s="12">
        <x:v>1716000</x:v>
      </x:c>
      <x:c r="H195" s="8">
        <x:v>0.20772381509654764</x:v>
      </x:c>
      <x:c r="I195" s="8">
        <x:v>0.20813043446459911</x:v>
      </x:c>
      <x:c r="J195" s="8">
        <x:v>0.12287887653598596</x:v>
      </x:c>
      <x:c r="K195" s="8">
        <x:v>0.12310795787009945</x:v>
      </x:c>
      <x:c r="L195" s="16">
        <x:v>0.14999999999999997</x:v>
      </x:c>
      <x:c r="M195" s="16">
        <x:v>0.15026430258923343</x:v>
      </x:c>
      <x:c r="N195" s="16">
        <x:v>100.17620172615564</x:v>
      </x:c>
      <x:c r="O195" s="1" t="inlineStr">
        <x:is>
          <x:t>Да</x:t>
        </x:is>
      </x:c>
      <x:c r="P195" s="1" t="inlineStr">
        <x:is>
          <x:t>Да</x:t>
        </x:is>
      </x:c>
      <x:c r="Q195" s="1" t="inlineStr">
        <x:is>
          <x:t>Да</x:t>
        </x:is>
      </x:c>
      <x:c r="R195" s="1" t="inlineStr">
        <x:is>
          <x:t>Да</x:t>
        </x:is>
      </x:c>
      <x:c r="S195" s="1" t="inlineStr">
        <x:is>
          <x:t>Да</x:t>
        </x:is>
      </x:c>
    </x:row>
    <x:row r="196" ht="26" customHeight="1">
      <x:c r="A196" s="1" t="inlineStr">
        <x:is>
          <x:t>Охват ×0.5</x:t>
        </x:is>
      </x:c>
      <x:c r="B196" s="1" t="inlineStr">
        <x:is>
          <x:t>H2</x:t>
        </x:is>
      </x:c>
      <x:c r="C196" s="8">
        <x:v>0.14999999999999997</x:v>
      </x:c>
      <x:c r="D196" s="16">
        <x:v>0.082902099180809985</x:v>
      </x:c>
      <x:c r="E196" s="8">
        <x:v>0.0055268066120539999</x:v>
      </x:c>
      <x:c r="F196" s="12">
        <x:v>36476.923639556393</x:v>
      </x:c>
      <x:c r="G196" s="12">
        <x:v>3346200</x:v>
      </x:c>
      <x:c r="H196" s="8">
        <x:v>0.20772381509654764</x:v>
      </x:c>
      <x:c r="I196" s="8">
        <x:v>0.20899100351082503</x:v>
      </x:c>
      <x:c r="J196" s="8">
        <x:v>0.12287887653598596</x:v>
      </x:c>
      <x:c r="K196" s="8">
        <x:v>0.12407200848449382</x:v>
      </x:c>
      <x:c r="L196" s="16">
        <x:v>0.14999999999999997</x:v>
      </x:c>
      <x:c r="M196" s="16">
        <x:v>0.15082902099180809</x:v>
      </x:c>
      <x:c r="N196" s="16">
        <x:v>100.55268066120539</x:v>
      </x:c>
      <x:c r="O196" s="1" t="inlineStr">
        <x:is>
          <x:t>Да</x:t>
        </x:is>
      </x:c>
      <x:c r="P196" s="1" t="inlineStr">
        <x:is>
          <x:t>Да</x:t>
        </x:is>
      </x:c>
      <x:c r="Q196" s="1" t="inlineStr">
        <x:is>
          <x:t>Да</x:t>
        </x:is>
      </x:c>
      <x:c r="R196" s="1" t="inlineStr">
        <x:is>
          <x:t>Да</x:t>
        </x:is>
      </x:c>
      <x:c r="S196" s="1" t="inlineStr">
        <x:is>
          <x:t>Да</x:t>
        </x:is>
      </x:c>
    </x:row>
    <x:row r="197" ht="26" customHeight="1">
      <x:c r="A197" s="1" t="inlineStr">
        <x:is>
          <x:t>Охват ×0.5</x:t>
        </x:is>
      </x:c>
      <x:c r="B197" s="1" t="inlineStr">
        <x:is>
          <x:t>H3</x:t>
        </x:is>
      </x:c>
      <x:c r="C197" s="8">
        <x:v>0.14999999999999997</x:v>
      </x:c>
      <x:c r="D197" s="16">
        <x:v>0.057797204139845612</x:v>
      </x:c>
      <x:c r="E197" s="8">
        <x:v>0.0038531469426563748</x:v>
      </x:c>
      <x:c r="F197" s="12">
        <x:v>25430.769821532071</x:v>
      </x:c>
      <x:c r="G197" s="12">
        <x:v>2717000</x:v>
      </x:c>
      <x:c r="H197" s="8">
        <x:v>0.20772381509654764</x:v>
      </x:c>
      <x:c r="I197" s="8">
        <x:v>0.2086130028525453</x:v>
      </x:c>
      <x:c r="J197" s="8">
        <x:v>0.12287887653598596</x:v>
      </x:c>
      <x:c r="K197" s="8">
        <x:v>0.12337982738443534</x:v>
      </x:c>
      <x:c r="L197" s="16">
        <x:v>0.14999999999999997</x:v>
      </x:c>
      <x:c r="M197" s="16">
        <x:v>0.15057797204139844</x:v>
      </x:c>
      <x:c r="N197" s="16">
        <x:v>100.38531469426563</x:v>
      </x:c>
      <x:c r="O197" s="1" t="inlineStr">
        <x:is>
          <x:t>Да</x:t>
        </x:is>
      </x:c>
      <x:c r="P197" s="1" t="inlineStr">
        <x:is>
          <x:t>Да</x:t>
        </x:is>
      </x:c>
      <x:c r="Q197" s="1" t="inlineStr">
        <x:is>
          <x:t>Да</x:t>
        </x:is>
      </x:c>
      <x:c r="R197" s="1" t="inlineStr">
        <x:is>
          <x:t>Да</x:t>
        </x:is>
      </x:c>
      <x:c r="S197" s="1" t="inlineStr">
        <x:is>
          <x:t>Да</x:t>
        </x:is>
      </x:c>
    </x:row>
    <x:row r="198" ht="26" customHeight="1">
      <x:c r="A198" s="1" t="inlineStr">
        <x:is>
          <x:t>Охват ×0.5</x:t>
        </x:is>
      </x:c>
      <x:c r="B198" s="1" t="inlineStr">
        <x:is>
          <x:t>H4</x:t>
        </x:is>
      </x:c>
      <x:c r="C198" s="8">
        <x:v>0.14999999999999997</x:v>
      </x:c>
      <x:c r="D198" s="16">
        <x:v>0.088045024502630853</x:v>
      </x:c>
      <x:c r="E198" s="8">
        <x:v>0.0058696683001753912</x:v>
      </x:c>
      <x:c r="F198" s="12">
        <x:v>38739.810781157576</x:v>
      </x:c>
      <x:c r="G198" s="12">
        <x:v>3718000</x:v>
      </x:c>
      <x:c r="H198" s="8">
        <x:v>0.20772381509654764</x:v>
      </x:c>
      <x:c r="I198" s="8">
        <x:v>0.20907119843475713</x:v>
      </x:c>
      <x:c r="J198" s="8">
        <x:v>0.12287887653598596</x:v>
      </x:c>
      <x:c r="K198" s="8">
        <x:v>0.12401661424809829</x:v>
      </x:c>
      <x:c r="L198" s="16">
        <x:v>0.14999999999999997</x:v>
      </x:c>
      <x:c r="M198" s="16">
        <x:v>0.15088045024502628</x:v>
      </x:c>
      <x:c r="N198" s="16">
        <x:v>100.58696683001754</x:v>
      </x:c>
      <x:c r="O198" s="1" t="inlineStr">
        <x:is>
          <x:t>Да</x:t>
        </x:is>
      </x:c>
      <x:c r="P198" s="1" t="inlineStr">
        <x:is>
          <x:t>Да</x:t>
        </x:is>
      </x:c>
      <x:c r="Q198" s="1" t="inlineStr">
        <x:is>
          <x:t>Да</x:t>
        </x:is>
      </x:c>
      <x:c r="R198" s="1" t="inlineStr">
        <x:is>
          <x:t>Да</x:t>
        </x:is>
      </x:c>
      <x:c r="S198" s="1" t="inlineStr">
        <x:is>
          <x:t>Да</x:t>
        </x:is>
      </x:c>
    </x:row>
    <x:row r="199" ht="26" customHeight="1">
      <x:c r="A199" s="1" t="inlineStr">
        <x:is>
          <x:t>Охват ×0.5</x:t>
        </x:is>
      </x:c>
      <x:c r="B199" s="1" t="inlineStr">
        <x:is>
          <x:t>H5</x:t>
        </x:is>
      </x:c>
      <x:c r="C199" s="8">
        <x:v>0.14999999999999997</x:v>
      </x:c>
      <x:c r="D199" s="16">
        <x:v>0.016317700409595008</x:v>
      </x:c>
      <x:c r="E199" s="8">
        <x:v>0.0010878466939730008</x:v>
      </x:c>
      <x:c r="F199" s="12">
        <x:v>7179.7881802218035</x:v>
      </x:c>
      <x:c r="G199" s="12">
        <x:v>915200</x:v>
      </x:c>
      <x:c r="H199" s="8">
        <x:v>0.20772381509654764</x:v>
      </x:c>
      <x:c r="I199" s="8">
        <x:v>0.20796290228203623</x:v>
      </x:c>
      <x:c r="J199" s="8">
        <x:v>0.12287887653598596</x:v>
      </x:c>
      <x:c r="K199" s="8">
        <x:v>0.12413408425980105</x:v>
      </x:c>
      <x:c r="L199" s="16">
        <x:v>0.14999999999999997</x:v>
      </x:c>
      <x:c r="M199" s="16">
        <x:v>0.15016317700409593</x:v>
      </x:c>
      <x:c r="N199" s="16">
        <x:v>100.10878466939731</x:v>
      </x:c>
      <x:c r="O199" s="1" t="inlineStr">
        <x:is>
          <x:t>Да</x:t>
        </x:is>
      </x:c>
      <x:c r="P199" s="1" t="inlineStr">
        <x:is>
          <x:t>Да</x:t>
        </x:is>
      </x:c>
      <x:c r="Q199" s="1" t="inlineStr">
        <x:is>
          <x:t>Да</x:t>
        </x:is>
      </x:c>
      <x:c r="R199" s="1" t="inlineStr">
        <x:is>
          <x:t>Да</x:t>
        </x:is>
      </x:c>
      <x:c r="S199" s="1" t="inlineStr">
        <x:is>
          <x:t>Да</x:t>
        </x:is>
      </x:c>
    </x:row>
    <x:row r="200" ht="26" customHeight="1">
      <x:c r="A200" s="1" t="inlineStr">
        <x:is>
          <x:t>Охват ×0.5</x:t>
        </x:is>
      </x:c>
      <x:c r="B200" s="1" t="inlineStr">
        <x:is>
          <x:t>H6.1</x:t>
        </x:is>
      </x:c>
      <x:c r="C200" s="8">
        <x:v>0.14999999999999997</x:v>
      </x:c>
      <x:c r="D200" s="16">
        <x:v>0.0093808806319467045</x:v>
      </x:c>
      <x:c r="E200" s="8">
        <x:v>0.00062539204212978036</x:v>
      </x:c>
      <x:c r="F200" s="12">
        <x:v>4127.58747805655</x:v>
      </x:c>
      <x:c r="G200" s="12">
        <x:v>514800</x:v>
      </x:c>
      <x:c r="H200" s="8">
        <x:v>0.20772381509654764</x:v>
      </x:c>
      <x:c r="I200" s="8">
        <x:v>0.20786126389701579</x:v>
      </x:c>
      <x:c r="J200" s="8">
        <x:v>0.12287887653598596</x:v>
      </x:c>
      <x:c r="K200" s="8">
        <x:v>0.12360048273844353</x:v>
      </x:c>
      <x:c r="L200" s="16">
        <x:v>0.14999999999999997</x:v>
      </x:c>
      <x:c r="M200" s="16">
        <x:v>0.15009380880631945</x:v>
      </x:c>
      <x:c r="N200" s="16">
        <x:v>100.06253920421298</x:v>
      </x:c>
      <x:c r="O200" s="1" t="inlineStr">
        <x:is>
          <x:t>Да</x:t>
        </x:is>
      </x:c>
      <x:c r="P200" s="1" t="inlineStr">
        <x:is>
          <x:t>Да</x:t>
        </x:is>
      </x:c>
      <x:c r="Q200" s="1" t="inlineStr">
        <x:is>
          <x:t>Да</x:t>
        </x:is>
      </x:c>
      <x:c r="R200" s="1" t="inlineStr">
        <x:is>
          <x:t>Да</x:t>
        </x:is>
      </x:c>
      <x:c r="S200" s="1" t="inlineStr">
        <x:is>
          <x:t>Да</x:t>
        </x:is>
      </x:c>
    </x:row>
    <x:row r="201" ht="26" customHeight="1">
      <x:c r="A201" s="1" t="inlineStr">
        <x:is>
          <x:t>Охват ×0.5</x:t>
        </x:is>
      </x:c>
      <x:c r="B201" s="1" t="inlineStr">
        <x:is>
          <x:t>H6.2</x:t>
        </x:is>
      </x:c>
      <x:c r="C201" s="8">
        <x:v>0.14999999999999997</x:v>
      </x:c>
      <x:c r="D201" s="16">
        <x:v>0.0093808806319467045</x:v>
      </x:c>
      <x:c r="E201" s="8">
        <x:v>0.00062539204212978036</x:v>
      </x:c>
      <x:c r="F201" s="12">
        <x:v>4127.58747805655</x:v>
      </x:c>
      <x:c r="G201" s="12">
        <x:v>514800</x:v>
      </x:c>
      <x:c r="H201" s="8">
        <x:v>0.20772381509654764</x:v>
      </x:c>
      <x:c r="I201" s="8">
        <x:v>0.20786126389701579</x:v>
      </x:c>
      <x:c r="J201" s="8">
        <x:v>0.12287887653598596</x:v>
      </x:c>
      <x:c r="K201" s="8">
        <x:v>0.12360048273844353</x:v>
      </x:c>
      <x:c r="L201" s="16">
        <x:v>0.14999999999999997</x:v>
      </x:c>
      <x:c r="M201" s="16">
        <x:v>0.15009380880631945</x:v>
      </x:c>
      <x:c r="N201" s="16">
        <x:v>100.06253920421298</x:v>
      </x:c>
      <x:c r="O201" s="1" t="inlineStr">
        <x:is>
          <x:t>Да</x:t>
        </x:is>
      </x:c>
      <x:c r="P201" s="1" t="inlineStr">
        <x:is>
          <x:t>Да</x:t>
        </x:is>
      </x:c>
      <x:c r="Q201" s="1" t="inlineStr">
        <x:is>
          <x:t>Да</x:t>
        </x:is>
      </x:c>
      <x:c r="R201" s="1" t="inlineStr">
        <x:is>
          <x:t>Да</x:t>
        </x:is>
      </x:c>
      <x:c r="S201" s="1" t="inlineStr">
        <x:is>
          <x:t>Да</x:t>
        </x:is>
      </x:c>
    </x:row>
    <x:row r="202" ht="26" customHeight="1">
      <x:c r="A202" s="1" t="inlineStr">
        <x:is>
          <x:t>Охват ×0.5</x:t>
        </x:is>
      </x:c>
      <x:c r="B202" s="1" t="inlineStr">
        <x:is>
          <x:t>H6.3</x:t>
        </x:is>
      </x:c>
      <x:c r="C202" s="8">
        <x:v>0.14999999999999997</x:v>
      </x:c>
      <x:c r="D202" s="16">
        <x:v>0.0093808806319467045</x:v>
      </x:c>
      <x:c r="E202" s="8">
        <x:v>0.00062539204212978036</x:v>
      </x:c>
      <x:c r="F202" s="12">
        <x:v>4127.58747805655</x:v>
      </x:c>
      <x:c r="G202" s="12">
        <x:v>514800</x:v>
      </x:c>
      <x:c r="H202" s="8">
        <x:v>0.20772381509654764</x:v>
      </x:c>
      <x:c r="I202" s="8">
        <x:v>0.20786126389701579</x:v>
      </x:c>
      <x:c r="J202" s="8">
        <x:v>0.12287887653598596</x:v>
      </x:c>
      <x:c r="K202" s="8">
        <x:v>0.12360048273844353</x:v>
      </x:c>
      <x:c r="L202" s="16">
        <x:v>0.14999999999999997</x:v>
      </x:c>
      <x:c r="M202" s="16">
        <x:v>0.15009380880631945</x:v>
      </x:c>
      <x:c r="N202" s="16">
        <x:v>100.06253920421298</x:v>
      </x:c>
      <x:c r="O202" s="1" t="inlineStr">
        <x:is>
          <x:t>Да</x:t>
        </x:is>
      </x:c>
      <x:c r="P202" s="1" t="inlineStr">
        <x:is>
          <x:t>Да</x:t>
        </x:is>
      </x:c>
      <x:c r="Q202" s="1" t="inlineStr">
        <x:is>
          <x:t>Да</x:t>
        </x:is>
      </x:c>
      <x:c r="R202" s="1" t="inlineStr">
        <x:is>
          <x:t>Да</x:t>
        </x:is>
      </x:c>
      <x:c r="S202" s="1" t="inlineStr">
        <x:is>
          <x:t>Да</x:t>
        </x:is>
      </x:c>
    </x:row>
    <x:row r="203" ht="26" customHeight="1">
      <x:c r="A203" s="1" t="inlineStr">
        <x:is>
          <x:t>Охват ×1.5</x:t>
        </x:is>
      </x:c>
      <x:c r="B203" s="1" t="inlineStr">
        <x:is>
          <x:t>H1</x:t>
        </x:is>
      </x:c>
      <x:c r="C203" s="8">
        <x:v>0.14999999999999997</x:v>
      </x:c>
      <x:c r="D203" s="16">
        <x:v>0.079290776770039123</x:v>
      </x:c>
      <x:c r="E203" s="8">
        <x:v>0.0052860517846692757</x:v>
      </x:c>
      <x:c r="F203" s="12">
        <x:v>34887.941778817214</x:v>
      </x:c>
      <x:c r="G203" s="12">
        <x:v>5148000.0000000009</x:v>
      </x:c>
      <x:c r="H203" s="8">
        <x:v>0.20772381509654764</x:v>
      </x:c>
      <x:c r="I203" s="8">
        <x:v>0.20894367320070212</x:v>
      </x:c>
      <x:c r="J203" s="8">
        <x:v>0.12287887653598596</x:v>
      </x:c>
      <x:c r="K203" s="8">
        <x:v>0.1235661205383265</x:v>
      </x:c>
      <x:c r="L203" s="16">
        <x:v>0.14999999999999997</x:v>
      </x:c>
      <x:c r="M203" s="16">
        <x:v>0.15079290776770038</x:v>
      </x:c>
      <x:c r="N203" s="16">
        <x:v>100.52860517846692</x:v>
      </x:c>
      <x:c r="O203" s="1" t="inlineStr">
        <x:is>
          <x:t>Да</x:t>
        </x:is>
      </x:c>
      <x:c r="P203" s="1" t="inlineStr">
        <x:is>
          <x:t>Да</x:t>
        </x:is>
      </x:c>
      <x:c r="Q203" s="1" t="inlineStr">
        <x:is>
          <x:t>Да</x:t>
        </x:is>
      </x:c>
      <x:c r="R203" s="1" t="inlineStr">
        <x:is>
          <x:t>Да</x:t>
        </x:is>
      </x:c>
      <x:c r="S203" s="1" t="inlineStr">
        <x:is>
          <x:t>Да</x:t>
        </x:is>
      </x:c>
    </x:row>
    <x:row r="204" ht="26" customHeight="1">
      <x:c r="A204" s="1" t="inlineStr">
        <x:is>
          <x:t>Охват ×1.5</x:t>
        </x:is>
      </x:c>
      <x:c r="B204" s="1" t="inlineStr">
        <x:is>
          <x:t>H2</x:t>
        </x:is>
      </x:c>
      <x:c r="C204" s="8">
        <x:v>0.14999999999999997</x:v>
      </x:c>
      <x:c r="D204" s="16">
        <x:v>0.24870629754241935</x:v>
      </x:c>
      <x:c r="E204" s="8">
        <x:v>0.016580419836161292</x:v>
      </x:c>
      <x:c r="F204" s="12">
        <x:v>109430.77091866452</x:v>
      </x:c>
      <x:c r="G204" s="12">
        <x:v>10038600</x:v>
      </x:c>
      <x:c r="H204" s="8">
        <x:v>0.20772381509654764</x:v>
      </x:c>
      <x:c r="I204" s="8">
        <x:v>0.2115253803393797</x:v>
      </x:c>
      <x:c r="J204" s="8">
        <x:v>0.12287887653598596</x:v>
      </x:c>
      <x:c r="K204" s="8">
        <x:v>0.12645827238150964</x:v>
      </x:c>
      <x:c r="L204" s="16">
        <x:v>0.14999999999999997</x:v>
      </x:c>
      <x:c r="M204" s="16">
        <x:v>0.15248706297542416</x:v>
      </x:c>
      <x:c r="N204" s="16">
        <x:v>101.65804198361613</x:v>
      </x:c>
      <x:c r="O204" s="1" t="inlineStr">
        <x:is>
          <x:t>Да</x:t>
        </x:is>
      </x:c>
      <x:c r="P204" s="1" t="inlineStr">
        <x:is>
          <x:t>Да</x:t>
        </x:is>
      </x:c>
      <x:c r="Q204" s="1" t="inlineStr">
        <x:is>
          <x:t>Да</x:t>
        </x:is>
      </x:c>
      <x:c r="R204" s="1" t="inlineStr">
        <x:is>
          <x:t>Да</x:t>
        </x:is>
      </x:c>
      <x:c r="S204" s="1" t="inlineStr">
        <x:is>
          <x:t>Да</x:t>
        </x:is>
      </x:c>
    </x:row>
    <x:row r="205" ht="26" customHeight="1">
      <x:c r="A205" s="1" t="inlineStr">
        <x:is>
          <x:t>Охват ×1.5</x:t>
        </x:is>
      </x:c>
      <x:c r="B205" s="1" t="inlineStr">
        <x:is>
          <x:t>H3</x:t>
        </x:is>
      </x:c>
      <x:c r="C205" s="8">
        <x:v>0.14999999999999997</x:v>
      </x:c>
      <x:c r="D205" s="16">
        <x:v>0.17339161241954321</x:v>
      </x:c>
      <x:c r="E205" s="8">
        <x:v>0.011559440827969548</x:v>
      </x:c>
      <x:c r="F205" s="12">
        <x:v>76292.309464599006</x:v>
      </x:c>
      <x:c r="G205" s="12">
        <x:v>8151000</x:v>
      </x:c>
      <x:c r="H205" s="8">
        <x:v>0.20772381509654764</x:v>
      </x:c>
      <x:c r="I205" s="8">
        <x:v>0.21039137836454064</x:v>
      </x:c>
      <x:c r="J205" s="8">
        <x:v>0.12287887653598596</x:v>
      </x:c>
      <x:c r="K205" s="8">
        <x:v>0.12438172908133409</x:v>
      </x:c>
      <x:c r="L205" s="16">
        <x:v>0.14999999999999997</x:v>
      </x:c>
      <x:c r="M205" s="16">
        <x:v>0.1517339161241954</x:v>
      </x:c>
      <x:c r="N205" s="16">
        <x:v>101.15594408279695</x:v>
      </x:c>
      <x:c r="O205" s="1" t="inlineStr">
        <x:is>
          <x:t>Да</x:t>
        </x:is>
      </x:c>
      <x:c r="P205" s="1" t="inlineStr">
        <x:is>
          <x:t>Да</x:t>
        </x:is>
      </x:c>
      <x:c r="Q205" s="1" t="inlineStr">
        <x:is>
          <x:t>Да</x:t>
        </x:is>
      </x:c>
      <x:c r="R205" s="1" t="inlineStr">
        <x:is>
          <x:t>Да</x:t>
        </x:is>
      </x:c>
      <x:c r="S205" s="1" t="inlineStr">
        <x:is>
          <x:t>Да</x:t>
        </x:is>
      </x:c>
    </x:row>
    <x:row r="206" ht="26" customHeight="1">
      <x:c r="A206" s="1" t="inlineStr">
        <x:is>
          <x:t>Охват ×1.5</x:t>
        </x:is>
      </x:c>
      <x:c r="B206" s="1" t="inlineStr">
        <x:is>
          <x:t>H4</x:t>
        </x:is>
      </x:c>
      <x:c r="C206" s="8">
        <x:v>0.14999999999999997</x:v>
      </x:c>
      <x:c r="D206" s="16">
        <x:v>0.26413507350789467</x:v>
      </x:c>
      <x:c r="E206" s="8">
        <x:v>0.017609004900526314</x:v>
      </x:c>
      <x:c r="F206" s="12">
        <x:v>116219.43234347366</x:v>
      </x:c>
      <x:c r="G206" s="12">
        <x:v>11154000</x:v>
      </x:c>
      <x:c r="H206" s="8">
        <x:v>0.20772381509654764</x:v>
      </x:c>
      <x:c r="I206" s="8">
        <x:v>0.2117659651111761</x:v>
      </x:c>
      <x:c r="J206" s="8">
        <x:v>0.12287887653598596</x:v>
      </x:c>
      <x:c r="K206" s="8">
        <x:v>0.12629208967232297</x:v>
      </x:c>
      <x:c r="L206" s="16">
        <x:v>0.14999999999999997</x:v>
      </x:c>
      <x:c r="M206" s="16">
        <x:v>0.15264135073507892</x:v>
      </x:c>
      <x:c r="N206" s="16">
        <x:v>101.76090049005262</x:v>
      </x:c>
      <x:c r="O206" s="1" t="inlineStr">
        <x:is>
          <x:t>Да</x:t>
        </x:is>
      </x:c>
      <x:c r="P206" s="1" t="inlineStr">
        <x:is>
          <x:t>Да</x:t>
        </x:is>
      </x:c>
      <x:c r="Q206" s="1" t="inlineStr">
        <x:is>
          <x:t>Да</x:t>
        </x:is>
      </x:c>
      <x:c r="R206" s="1" t="inlineStr">
        <x:is>
          <x:t>Да</x:t>
        </x:is>
      </x:c>
      <x:c r="S206" s="1" t="inlineStr">
        <x:is>
          <x:t>Да</x:t>
        </x:is>
      </x:c>
    </x:row>
    <x:row r="207" ht="26" customHeight="1">
      <x:c r="A207" s="1" t="inlineStr">
        <x:is>
          <x:t>Охват ×1.5</x:t>
        </x:is>
      </x:c>
      <x:c r="B207" s="1" t="inlineStr">
        <x:is>
          <x:t>H5</x:t>
        </x:is>
      </x:c>
      <x:c r="C207" s="8">
        <x:v>0.14999999999999997</x:v>
      </x:c>
      <x:c r="D207" s="16">
        <x:v>0.048953101228789257</x:v>
      </x:c>
      <x:c r="E207" s="8">
        <x:v>0.0032635400819192844</x:v>
      </x:c>
      <x:c r="F207" s="12">
        <x:v>21539.364540667273</x:v>
      </x:c>
      <x:c r="G207" s="12">
        <x:v>2745600</x:v>
      </x:c>
      <x:c r="H207" s="8">
        <x:v>0.20772381509654764</x:v>
      </x:c>
      <x:c r="I207" s="8">
        <x:v>0.20844107665301342</x:v>
      </x:c>
      <x:c r="J207" s="8">
        <x:v>0.12287887653598596</x:v>
      </x:c>
      <x:c r="K207" s="8">
        <x:v>0.12664449970743125</x:v>
      </x:c>
      <x:c r="L207" s="16">
        <x:v>0.14999999999999997</x:v>
      </x:c>
      <x:c r="M207" s="16">
        <x:v>0.15048953101228787</x:v>
      </x:c>
      <x:c r="N207" s="16">
        <x:v>100.32635400819193</x:v>
      </x:c>
      <x:c r="O207" s="1" t="inlineStr">
        <x:is>
          <x:t>Да</x:t>
        </x:is>
      </x:c>
      <x:c r="P207" s="1" t="inlineStr">
        <x:is>
          <x:t>Да</x:t>
        </x:is>
      </x:c>
      <x:c r="Q207" s="1" t="inlineStr">
        <x:is>
          <x:t>Да</x:t>
        </x:is>
      </x:c>
      <x:c r="R207" s="1" t="inlineStr">
        <x:is>
          <x:t>Да</x:t>
        </x:is>
      </x:c>
      <x:c r="S207" s="1" t="inlineStr">
        <x:is>
          <x:t>Да</x:t>
        </x:is>
      </x:c>
    </x:row>
    <x:row r="208" ht="26" customHeight="1">
      <x:c r="A208" s="1" t="inlineStr">
        <x:is>
          <x:t>Охват ×1.5</x:t>
        </x:is>
      </x:c>
      <x:c r="B208" s="1" t="inlineStr">
        <x:is>
          <x:t>H6.1</x:t>
        </x:is>
      </x:c>
      <x:c r="C208" s="8">
        <x:v>0.14999999999999997</x:v>
      </x:c>
      <x:c r="D208" s="16">
        <x:v>0.02814264189584435</x:v>
      </x:c>
      <x:c r="E208" s="8">
        <x:v>0.0018761761263896234</x:v>
      </x:c>
      <x:c r="F208" s="12">
        <x:v>12382.762434171513</x:v>
      </x:c>
      <x:c r="G208" s="12">
        <x:v>1544400</x:v>
      </x:c>
      <x:c r="H208" s="8">
        <x:v>0.20772381509654764</x:v>
      </x:c>
      <x:c r="I208" s="8">
        <x:v>0.208136161497952</x:v>
      </x:c>
      <x:c r="J208" s="8">
        <x:v>0.12287887653598596</x:v>
      </x:c>
      <x:c r="K208" s="8">
        <x:v>0.1250436951433587</x:v>
      </x:c>
      <x:c r="L208" s="16">
        <x:v>0.14999999999999997</x:v>
      </x:c>
      <x:c r="M208" s="16">
        <x:v>0.15028142641895842</x:v>
      </x:c>
      <x:c r="N208" s="16">
        <x:v>100.18761761263896</x:v>
      </x:c>
      <x:c r="O208" s="1" t="inlineStr">
        <x:is>
          <x:t>Да</x:t>
        </x:is>
      </x:c>
      <x:c r="P208" s="1" t="inlineStr">
        <x:is>
          <x:t>Да</x:t>
        </x:is>
      </x:c>
      <x:c r="Q208" s="1" t="inlineStr">
        <x:is>
          <x:t>Да</x:t>
        </x:is>
      </x:c>
      <x:c r="R208" s="1" t="inlineStr">
        <x:is>
          <x:t>Да</x:t>
        </x:is>
      </x:c>
      <x:c r="S208" s="1" t="inlineStr">
        <x:is>
          <x:t>Да</x:t>
        </x:is>
      </x:c>
    </x:row>
    <x:row r="209" ht="26" customHeight="1">
      <x:c r="A209" s="1" t="inlineStr">
        <x:is>
          <x:t>Охват ×1.5</x:t>
        </x:is>
      </x:c>
      <x:c r="B209" s="1" t="inlineStr">
        <x:is>
          <x:t>H6.2</x:t>
        </x:is>
      </x:c>
      <x:c r="C209" s="8">
        <x:v>0.14999999999999997</x:v>
      </x:c>
      <x:c r="D209" s="16">
        <x:v>0.02814264189584435</x:v>
      </x:c>
      <x:c r="E209" s="8">
        <x:v>0.0018761761263896234</x:v>
      </x:c>
      <x:c r="F209" s="12">
        <x:v>12382.762434171513</x:v>
      </x:c>
      <x:c r="G209" s="12">
        <x:v>1544400</x:v>
      </x:c>
      <x:c r="H209" s="8">
        <x:v>0.20772381509654764</x:v>
      </x:c>
      <x:c r="I209" s="8">
        <x:v>0.208136161497952</x:v>
      </x:c>
      <x:c r="J209" s="8">
        <x:v>0.12287887653598596</x:v>
      </x:c>
      <x:c r="K209" s="8">
        <x:v>0.1250436951433587</x:v>
      </x:c>
      <x:c r="L209" s="16">
        <x:v>0.14999999999999997</x:v>
      </x:c>
      <x:c r="M209" s="16">
        <x:v>0.15028142641895842</x:v>
      </x:c>
      <x:c r="N209" s="16">
        <x:v>100.18761761263896</x:v>
      </x:c>
      <x:c r="O209" s="1" t="inlineStr">
        <x:is>
          <x:t>Да</x:t>
        </x:is>
      </x:c>
      <x:c r="P209" s="1" t="inlineStr">
        <x:is>
          <x:t>Да</x:t>
        </x:is>
      </x:c>
      <x:c r="Q209" s="1" t="inlineStr">
        <x:is>
          <x:t>Да</x:t>
        </x:is>
      </x:c>
      <x:c r="R209" s="1" t="inlineStr">
        <x:is>
          <x:t>Да</x:t>
        </x:is>
      </x:c>
      <x:c r="S209" s="1" t="inlineStr">
        <x:is>
          <x:t>Да</x:t>
        </x:is>
      </x:c>
    </x:row>
    <x:row r="210" ht="26" customHeight="1">
      <x:c r="A210" s="1" t="inlineStr">
        <x:is>
          <x:t>Охват ×1.5</x:t>
        </x:is>
      </x:c>
      <x:c r="B210" s="1" t="inlineStr">
        <x:is>
          <x:t>H6.3</x:t>
        </x:is>
      </x:c>
      <x:c r="C210" s="8">
        <x:v>0.14999999999999997</x:v>
      </x:c>
      <x:c r="D210" s="16">
        <x:v>0.02814264189584435</x:v>
      </x:c>
      <x:c r="E210" s="8">
        <x:v>0.0018761761263896234</x:v>
      </x:c>
      <x:c r="F210" s="12">
        <x:v>12382.762434171513</x:v>
      </x:c>
      <x:c r="G210" s="12">
        <x:v>1544400</x:v>
      </x:c>
      <x:c r="H210" s="8">
        <x:v>0.20772381509654764</x:v>
      </x:c>
      <x:c r="I210" s="8">
        <x:v>0.208136161497952</x:v>
      </x:c>
      <x:c r="J210" s="8">
        <x:v>0.12287887653598596</x:v>
      </x:c>
      <x:c r="K210" s="8">
        <x:v>0.1250436951433587</x:v>
      </x:c>
      <x:c r="L210" s="16">
        <x:v>0.14999999999999997</x:v>
      </x:c>
      <x:c r="M210" s="16">
        <x:v>0.15028142641895842</x:v>
      </x:c>
      <x:c r="N210" s="16">
        <x:v>100.18761761263896</x:v>
      </x:c>
      <x:c r="O210" s="1" t="inlineStr">
        <x:is>
          <x:t>Да</x:t>
        </x:is>
      </x:c>
      <x:c r="P210" s="1" t="inlineStr">
        <x:is>
          <x:t>Да</x:t>
        </x:is>
      </x:c>
      <x:c r="Q210" s="1" t="inlineStr">
        <x:is>
          <x:t>Да</x:t>
        </x:is>
      </x:c>
      <x:c r="R210" s="1" t="inlineStr">
        <x:is>
          <x:t>Да</x:t>
        </x:is>
      </x:c>
      <x:c r="S210" s="1" t="inlineStr">
        <x:is>
          <x:t>Да</x:t>
        </x:is>
      </x:c>
    </x:row>
    <x:row r="211" ht="26" customHeight="1">
      <x:c r="A211" s="1" t="inlineStr">
        <x:is>
          <x:t>Сдвиг состава визитов: стресс</x:t>
        </x:is>
      </x:c>
      <x:c r="B211" s="1" t="inlineStr">
        <x:is>
          <x:t>H1</x:t>
        </x:is>
      </x:c>
      <x:c r="C211" s="8">
        <x:v>0.14999999999999997</x:v>
      </x:c>
      <x:c r="D211" s="16">
        <x:v>0.048147594869052145</x:v>
      </x:c>
      <x:c r="E211" s="8">
        <x:v>0.0032098396579368104</x:v>
      </x:c>
      <x:c r="F211" s="12">
        <x:v>21184.941742382944</x:v>
      </x:c>
      <x:c r="G211" s="12">
        <x:v>3432000</x:v>
      </x:c>
      <x:c r="H211" s="8">
        <x:v>0.18920363442009611</x:v>
      </x:c>
      <x:c r="I211" s="8">
        <x:v>0.18994436664885084</x:v>
      </x:c>
      <x:c r="J211" s="8">
        <x:v>0.11223944414751467</x:v>
      </x:c>
      <x:c r="K211" s="8">
        <x:v>0.11255331373597005</x:v>
      </x:c>
      <x:c r="L211" s="16">
        <x:v>0.14999999999999997</x:v>
      </x:c>
      <x:c r="M211" s="16">
        <x:v>0.15048147594869049</x:v>
      </x:c>
      <x:c r="N211" s="16">
        <x:v>100.32098396579367</x:v>
      </x:c>
      <x:c r="O211" s="1" t="inlineStr">
        <x:is>
          <x:t>Да</x:t>
        </x:is>
      </x:c>
      <x:c r="P211" s="1" t="inlineStr">
        <x:is>
          <x:t>Да</x:t>
        </x:is>
      </x:c>
      <x:c r="Q211" s="1" t="inlineStr">
        <x:is>
          <x:t>Да</x:t>
        </x:is>
      </x:c>
      <x:c r="R211" s="1" t="inlineStr">
        <x:is>
          <x:t>Да</x:t>
        </x:is>
      </x:c>
      <x:c r="S211" s="1" t="inlineStr">
        <x:is>
          <x:t>Да</x:t>
        </x:is>
      </x:c>
    </x:row>
    <x:row r="212" ht="26" customHeight="1">
      <x:c r="A212" s="1" t="inlineStr">
        <x:is>
          <x:t>Сдвиг состава визитов: стресс</x:t>
        </x:is>
      </x:c>
      <x:c r="B212" s="1" t="inlineStr">
        <x:is>
          <x:t>H2</x:t>
        </x:is>
      </x:c>
      <x:c r="C212" s="8">
        <x:v>0.14999999999999997</x:v>
      </x:c>
      <x:c r="D212" s="16">
        <x:v>0.15301142437199386</x:v>
      </x:c>
      <x:c r="E212" s="8">
        <x:v>0.010200761624799593</x:v>
      </x:c>
      <x:c r="F212" s="12">
        <x:v>67325.026723677292</x:v>
      </x:c>
      <x:c r="G212" s="12">
        <x:v>6864000</x:v>
      </x:c>
      <x:c r="H212" s="8">
        <x:v>0.18920363442009611</x:v>
      </x:c>
      <x:c r="I212" s="8">
        <x:v>0.19146746392303576</x:v>
      </x:c>
      <x:c r="J212" s="8">
        <x:v>0.11223944414751467</x:v>
      </x:c>
      <x:c r="K212" s="8">
        <x:v>0.11426877338321753</x:v>
      </x:c>
      <x:c r="L212" s="16">
        <x:v>0.14999999999999997</x:v>
      </x:c>
      <x:c r="M212" s="16">
        <x:v>0.1515301142437199</x:v>
      </x:c>
      <x:c r="N212" s="16">
        <x:v>101.02007616247997</x:v>
      </x:c>
      <x:c r="O212" s="1" t="inlineStr">
        <x:is>
          <x:t>Да</x:t>
        </x:is>
      </x:c>
      <x:c r="P212" s="1" t="inlineStr">
        <x:is>
          <x:t>Да</x:t>
        </x:is>
      </x:c>
      <x:c r="Q212" s="1" t="inlineStr">
        <x:is>
          <x:t>Да</x:t>
        </x:is>
      </x:c>
      <x:c r="R212" s="1" t="inlineStr">
        <x:is>
          <x:t>Да</x:t>
        </x:is>
      </x:c>
      <x:c r="S212" s="1" t="inlineStr">
        <x:is>
          <x:t>Да</x:t>
        </x:is>
      </x:c>
    </x:row>
    <x:row r="213" ht="26" customHeight="1">
      <x:c r="A213" s="1" t="inlineStr">
        <x:is>
          <x:t>Сдвиг состава визитов: стресс</x:t>
        </x:is>
      </x:c>
      <x:c r="B213" s="1" t="inlineStr">
        <x:is>
          <x:t>H3</x:t>
        </x:is>
      </x:c>
      <x:c r="C213" s="8">
        <x:v>0.14999999999999997</x:v>
      </x:c>
      <x:c r="D213" s="16">
        <x:v>0.10528827498663978</x:v>
      </x:c>
      <x:c r="E213" s="8">
        <x:v>0.0070192183324426548</x:v>
      </x:c>
      <x:c r="F213" s="12">
        <x:v>46326.840994121507</x:v>
      </x:c>
      <x:c r="G213" s="12">
        <x:v>5434000</x:v>
      </x:c>
      <x:c r="H213" s="8">
        <x:v>0.18920363442009611</x:v>
      </x:c>
      <x:c r="I213" s="8">
        <x:v>0.19082345403527523</x:v>
      </x:c>
      <x:c r="J213" s="8">
        <x:v>0.11223944414751467</x:v>
      </x:c>
      <x:c r="K213" s="8">
        <x:v>0.11292580839123462</x:v>
      </x:c>
      <x:c r="L213" s="16">
        <x:v>0.14999999999999997</x:v>
      </x:c>
      <x:c r="M213" s="16">
        <x:v>0.15105288274986636</x:v>
      </x:c>
      <x:c r="N213" s="16">
        <x:v>100.70192183324427</x:v>
      </x:c>
      <x:c r="O213" s="1" t="inlineStr">
        <x:is>
          <x:t>Да</x:t>
        </x:is>
      </x:c>
      <x:c r="P213" s="1" t="inlineStr">
        <x:is>
          <x:t>Да</x:t>
        </x:is>
      </x:c>
      <x:c r="Q213" s="1" t="inlineStr">
        <x:is>
          <x:t>Да</x:t>
        </x:is>
      </x:c>
      <x:c r="R213" s="1" t="inlineStr">
        <x:is>
          <x:t>Да</x:t>
        </x:is>
      </x:c>
      <x:c r="S213" s="1" t="inlineStr">
        <x:is>
          <x:t>Да</x:t>
        </x:is>
      </x:c>
    </x:row>
    <x:row r="214" ht="26" customHeight="1">
      <x:c r="A214" s="1" t="inlineStr">
        <x:is>
          <x:t>Сдвиг состава визитов: стресс</x:t>
        </x:is>
      </x:c>
      <x:c r="B214" s="1" t="inlineStr">
        <x:is>
          <x:t>H4</x:t>
        </x:is>
      </x:c>
      <x:c r="C214" s="8">
        <x:v>0.14999999999999997</x:v>
      </x:c>
      <x:c r="D214" s="16">
        <x:v>0.16237267504008487</x:v>
      </x:c>
      <x:c r="E214" s="8">
        <x:v>0.010824845002672327</x:v>
      </x:c>
      <x:c r="F214" s="12">
        <x:v>71443.977017637342</x:v>
      </x:c>
      <x:c r="G214" s="12">
        <x:v>7607600</x:v>
      </x:c>
      <x:c r="H214" s="8">
        <x:v>0.18920363442009611</x:v>
      </x:c>
      <x:c r="I214" s="8">
        <x:v>0.19162324425440935</x:v>
      </x:c>
      <x:c r="J214" s="8">
        <x:v>0.11223944414751467</x:v>
      </x:c>
      <x:c r="K214" s="8">
        <x:v>0.11414142169962585</x:v>
      </x:c>
      <x:c r="L214" s="16">
        <x:v>0.14999999999999997</x:v>
      </x:c>
      <x:c r="M214" s="16">
        <x:v>0.15162372675040081</x:v>
      </x:c>
      <x:c r="N214" s="16">
        <x:v>101.08248450026723</x:v>
      </x:c>
      <x:c r="O214" s="1" t="inlineStr">
        <x:is>
          <x:t>Да</x:t>
        </x:is>
      </x:c>
      <x:c r="P214" s="1" t="inlineStr">
        <x:is>
          <x:t>Да</x:t>
        </x:is>
      </x:c>
      <x:c r="Q214" s="1" t="inlineStr">
        <x:is>
          <x:t>Да</x:t>
        </x:is>
      </x:c>
      <x:c r="R214" s="1" t="inlineStr">
        <x:is>
          <x:t>Да</x:t>
        </x:is>
      </x:c>
      <x:c r="S214" s="1" t="inlineStr">
        <x:is>
          <x:t>Да</x:t>
        </x:is>
      </x:c>
    </x:row>
    <x:row r="215" ht="26" customHeight="1">
      <x:c r="A215" s="1" t="inlineStr">
        <x:is>
          <x:t>Сдвиг состава визитов: стресс</x:t>
        </x:is>
      </x:c>
      <x:c r="B215" s="1" t="inlineStr">
        <x:is>
          <x:t>H5</x:t>
        </x:is>
      </x:c>
      <x:c r="C215" s="8">
        <x:v>0.14999999999999997</x:v>
      </x:c>
      <x:c r="D215" s="16">
        <x:v>0.029809673971136694</x:v>
      </x:c>
      <x:c r="E215" s="8">
        <x:v>0.0019873115980757802</x:v>
      </x:c>
      <x:c r="F215" s="12">
        <x:v>13116.256547300145</x:v>
      </x:c>
      <x:c r="G215" s="12">
        <x:v>1830400</x:v>
      </x:c>
      <x:c r="H215" s="8">
        <x:v>0.18920363442009611</x:v>
      </x:c>
      <x:c r="I215" s="8">
        <x:v>0.18953121325494379</x:v>
      </x:c>
      <x:c r="J215" s="8">
        <x:v>0.11223944414751467</x:v>
      </x:c>
      <x:c r="K215" s="8">
        <x:v>0.11453249599144839</x:v>
      </x:c>
      <x:c r="L215" s="16">
        <x:v>0.14999999999999997</x:v>
      </x:c>
      <x:c r="M215" s="16">
        <x:v>0.15029809673971131</x:v>
      </x:c>
      <x:c r="N215" s="16">
        <x:v>100.19873115980758</x:v>
      </x:c>
      <x:c r="O215" s="1" t="inlineStr">
        <x:is>
          <x:t>Да</x:t>
        </x:is>
      </x:c>
      <x:c r="P215" s="1" t="inlineStr">
        <x:is>
          <x:t>Да</x:t>
        </x:is>
      </x:c>
      <x:c r="Q215" s="1" t="inlineStr">
        <x:is>
          <x:t>Да</x:t>
        </x:is>
      </x:c>
      <x:c r="R215" s="1" t="inlineStr">
        <x:is>
          <x:t>Да</x:t>
        </x:is>
      </x:c>
      <x:c r="S215" s="1" t="inlineStr">
        <x:is>
          <x:t>Да</x:t>
        </x:is>
      </x:c>
    </x:row>
    <x:row r="216" ht="26" customHeight="1">
      <x:c r="A216" s="1" t="inlineStr">
        <x:is>
          <x:t>Сдвиг состава визитов: стресс</x:t>
        </x:is>
      </x:c>
      <x:c r="B216" s="1" t="inlineStr">
        <x:is>
          <x:t>H6.1</x:t>
        </x:is>
      </x:c>
      <x:c r="C216" s="8">
        <x:v>0.14999999999999997</x:v>
      </x:c>
      <x:c r="D216" s="16">
        <x:v>0.017137279529662128</x:v>
      </x:c>
      <x:c r="E216" s="8">
        <x:v>0.0011424853019774753</x:v>
      </x:c>
      <x:c r="F216" s="12">
        <x:v>7540.4029930513352</x:v>
      </x:c>
      <x:c r="G216" s="12">
        <x:v>1029599.9999999999</x:v>
      </x:c>
      <x:c r="H216" s="8">
        <x:v>0.18920363442009611</x:v>
      </x:c>
      <x:c r="I216" s="8">
        <x:v>0.1893919561731694</x:v>
      </x:c>
      <x:c r="J216" s="8">
        <x:v>0.11223944414751467</x:v>
      </x:c>
      <x:c r="K216" s="8">
        <x:v>0.11355769641902723</x:v>
      </x:c>
      <x:c r="L216" s="16">
        <x:v>0.14999999999999997</x:v>
      </x:c>
      <x:c r="M216" s="16">
        <x:v>0.15017137279529658</x:v>
      </x:c>
      <x:c r="N216" s="16">
        <x:v>100.11424853019776</x:v>
      </x:c>
      <x:c r="O216" s="1" t="inlineStr">
        <x:is>
          <x:t>Да</x:t>
        </x:is>
      </x:c>
      <x:c r="P216" s="1" t="inlineStr">
        <x:is>
          <x:t>Да</x:t>
        </x:is>
      </x:c>
      <x:c r="Q216" s="1" t="inlineStr">
        <x:is>
          <x:t>Да</x:t>
        </x:is>
      </x:c>
      <x:c r="R216" s="1" t="inlineStr">
        <x:is>
          <x:t>Да</x:t>
        </x:is>
      </x:c>
      <x:c r="S216" s="1" t="inlineStr">
        <x:is>
          <x:t>Да</x:t>
        </x:is>
      </x:c>
    </x:row>
    <x:row r="217" ht="26" customHeight="1">
      <x:c r="A217" s="1" t="inlineStr">
        <x:is>
          <x:t>Сдвиг состава визитов: стресс</x:t>
        </x:is>
      </x:c>
      <x:c r="B217" s="1" t="inlineStr">
        <x:is>
          <x:t>H6.2</x:t>
        </x:is>
      </x:c>
      <x:c r="C217" s="8">
        <x:v>0.14999999999999997</x:v>
      </x:c>
      <x:c r="D217" s="16">
        <x:v>0.017137279529662128</x:v>
      </x:c>
      <x:c r="E217" s="8">
        <x:v>0.0011424853019774753</x:v>
      </x:c>
      <x:c r="F217" s="12">
        <x:v>7540.4029930513352</x:v>
      </x:c>
      <x:c r="G217" s="12">
        <x:v>1029599.9999999999</x:v>
      </x:c>
      <x:c r="H217" s="8">
        <x:v>0.18920363442009611</x:v>
      </x:c>
      <x:c r="I217" s="8">
        <x:v>0.1893919561731694</x:v>
      </x:c>
      <x:c r="J217" s="8">
        <x:v>0.11223944414751467</x:v>
      </x:c>
      <x:c r="K217" s="8">
        <x:v>0.11355769641902723</x:v>
      </x:c>
      <x:c r="L217" s="16">
        <x:v>0.14999999999999997</x:v>
      </x:c>
      <x:c r="M217" s="16">
        <x:v>0.15017137279529658</x:v>
      </x:c>
      <x:c r="N217" s="16">
        <x:v>100.11424853019776</x:v>
      </x:c>
      <x:c r="O217" s="1" t="inlineStr">
        <x:is>
          <x:t>Да</x:t>
        </x:is>
      </x:c>
      <x:c r="P217" s="1" t="inlineStr">
        <x:is>
          <x:t>Да</x:t>
        </x:is>
      </x:c>
      <x:c r="Q217" s="1" t="inlineStr">
        <x:is>
          <x:t>Да</x:t>
        </x:is>
      </x:c>
      <x:c r="R217" s="1" t="inlineStr">
        <x:is>
          <x:t>Да</x:t>
        </x:is>
      </x:c>
      <x:c r="S217" s="1" t="inlineStr">
        <x:is>
          <x:t>Да</x:t>
        </x:is>
      </x:c>
    </x:row>
    <x:row r="218" ht="26" customHeight="1">
      <x:c r="A218" s="1" t="inlineStr">
        <x:is>
          <x:t>Сдвиг состава визитов: стресс</x:t>
        </x:is>
      </x:c>
      <x:c r="B218" s="1" t="inlineStr">
        <x:is>
          <x:t>H6.3</x:t>
        </x:is>
      </x:c>
      <x:c r="C218" s="8">
        <x:v>0.14999999999999997</x:v>
      </x:c>
      <x:c r="D218" s="16">
        <x:v>0.017137279529662128</x:v>
      </x:c>
      <x:c r="E218" s="8">
        <x:v>0.0011424853019774753</x:v>
      </x:c>
      <x:c r="F218" s="12">
        <x:v>7540.4029930513352</x:v>
      </x:c>
      <x:c r="G218" s="12">
        <x:v>1029599.9999999999</x:v>
      </x:c>
      <x:c r="H218" s="8">
        <x:v>0.18920363442009611</x:v>
      </x:c>
      <x:c r="I218" s="8">
        <x:v>0.1893919561731694</x:v>
      </x:c>
      <x:c r="J218" s="8">
        <x:v>0.11223944414751467</x:v>
      </x:c>
      <x:c r="K218" s="8">
        <x:v>0.11355769641902723</x:v>
      </x:c>
      <x:c r="L218" s="16">
        <x:v>0.14999999999999997</x:v>
      </x:c>
      <x:c r="M218" s="16">
        <x:v>0.15017137279529658</x:v>
      </x:c>
      <x:c r="N218" s="16">
        <x:v>100.11424853019776</x:v>
      </x:c>
      <x:c r="O218" s="1" t="inlineStr">
        <x:is>
          <x:t>Да</x:t>
        </x:is>
      </x:c>
      <x:c r="P218" s="1" t="inlineStr">
        <x:is>
          <x:t>Да</x:t>
        </x:is>
      </x:c>
      <x:c r="Q218" s="1" t="inlineStr">
        <x:is>
          <x:t>Да</x:t>
        </x:is>
      </x:c>
      <x:c r="R218" s="1" t="inlineStr">
        <x:is>
          <x:t>Да</x:t>
        </x:is>
      </x:c>
      <x:c r="S218" s="1" t="inlineStr">
        <x:is>
          <x:t>Да</x:t>
        </x:is>
      </x:c>
    </x:row>
    <x:row r="219" ht="26" customHeight="1">
      <x:c r="A219" s="1" t="inlineStr">
        <x:is>
          <x:t>Потребность в H1 среди 40+: 25%</x:t>
        </x:is>
      </x:c>
      <x:c r="B219" s="1" t="inlineStr">
        <x:is>
          <x:t>H1</x:t>
        </x:is>
      </x:c>
      <x:c r="C219" s="8">
        <x:v>0.14999999999999997</x:v>
      </x:c>
      <x:c r="D219" s="16">
        <x:v>0.033037823654184201</x:v>
      </x:c>
      <x:c r="E219" s="8">
        <x:v>0.0022025215769456139</x:v>
      </x:c>
      <x:c r="F219" s="12">
        <x:v>14536.642407841049</x:v>
      </x:c>
      <x:c r="G219" s="12">
        <x:v>2145000</x:v>
      </x:c>
      <x:c r="H219" s="8">
        <x:v>0.20772381509654764</x:v>
      </x:c>
      <x:c r="I219" s="8">
        <x:v>0.20823208930661202</x:v>
      </x:c>
      <x:c r="J219" s="8">
        <x:v>0.12287887653598596</x:v>
      </x:c>
      <x:c r="K219" s="8">
        <x:v>0.12316522820362784</x:v>
      </x:c>
      <x:c r="L219" s="16">
        <x:v>0.14999999999999997</x:v>
      </x:c>
      <x:c r="M219" s="16">
        <x:v>0.15033037823654183</x:v>
      </x:c>
      <x:c r="N219" s="16">
        <x:v>100.22025215769456</x:v>
      </x:c>
      <x:c r="O219" s="1" t="inlineStr">
        <x:is>
          <x:t>Да</x:t>
        </x:is>
      </x:c>
      <x:c r="P219" s="1" t="inlineStr">
        <x:is>
          <x:t>Да</x:t>
        </x:is>
      </x:c>
      <x:c r="Q219" s="1" t="inlineStr">
        <x:is>
          <x:t>Да</x:t>
        </x:is>
      </x:c>
      <x:c r="R219" s="1" t="inlineStr">
        <x:is>
          <x:t>Да</x:t>
        </x:is>
      </x:c>
      <x:c r="S219" s="1" t="inlineStr">
        <x:is>
          <x:t>Да</x:t>
        </x:is>
      </x:c>
    </x:row>
    <x:row r="220" ht="26" customHeight="1">
      <x:c r="A220" s="1" t="inlineStr">
        <x:is>
          <x:t>Потребность в H1 среди 40+: 25%</x:t>
        </x:is>
      </x:c>
      <x:c r="B220" s="1" t="inlineStr">
        <x:is>
          <x:t>H2</x:t>
        </x:is>
      </x:c>
      <x:c r="C220" s="8">
        <x:v>0.14999999999999997</x:v>
      </x:c>
      <x:c r="D220" s="16">
        <x:v>0.1658041983616115</x:v>
      </x:c>
      <x:c r="E220" s="8">
        <x:v>0.011053613224107434</x:v>
      </x:c>
      <x:c r="F220" s="12">
        <x:v>72953.847279109061</x:v>
      </x:c>
      <x:c r="G220" s="12">
        <x:v>6692400</x:v>
      </x:c>
      <x:c r="H220" s="8">
        <x:v>0.20772381509654764</x:v>
      </x:c>
      <x:c r="I220" s="8">
        <x:v>0.21025819192510231</x:v>
      </x:c>
      <x:c r="J220" s="8">
        <x:v>0.12287887653598596</x:v>
      </x:c>
      <x:c r="K220" s="8">
        <x:v>0.12526514043300177</x:v>
      </x:c>
      <x:c r="L220" s="16">
        <x:v>0.14999999999999997</x:v>
      </x:c>
      <x:c r="M220" s="16">
        <x:v>0.1516580419836161</x:v>
      </x:c>
      <x:c r="N220" s="16">
        <x:v>101.10536132241073</x:v>
      </x:c>
      <x:c r="O220" s="1" t="inlineStr">
        <x:is>
          <x:t>Да</x:t>
        </x:is>
      </x:c>
      <x:c r="P220" s="1" t="inlineStr">
        <x:is>
          <x:t>Да</x:t>
        </x:is>
      </x:c>
      <x:c r="Q220" s="1" t="inlineStr">
        <x:is>
          <x:t>Да</x:t>
        </x:is>
      </x:c>
      <x:c r="R220" s="1" t="inlineStr">
        <x:is>
          <x:t>Да</x:t>
        </x:is>
      </x:c>
      <x:c r="S220" s="1" t="inlineStr">
        <x:is>
          <x:t>Да</x:t>
        </x:is>
      </x:c>
    </x:row>
    <x:row r="221" ht="26" customHeight="1">
      <x:c r="A221" s="1" t="inlineStr">
        <x:is>
          <x:t>Потребность в H1 среди 40+: 25%</x:t>
        </x:is>
      </x:c>
      <x:c r="B221" s="1" t="inlineStr">
        <x:is>
          <x:t>H3</x:t>
        </x:is>
      </x:c>
      <x:c r="C221" s="8">
        <x:v>0.14999999999999997</x:v>
      </x:c>
      <x:c r="D221" s="16">
        <x:v>0.11559440827969335</x:v>
      </x:c>
      <x:c r="E221" s="8">
        <x:v>0.007706293885312891</x:v>
      </x:c>
      <x:c r="F221" s="12">
        <x:v>50861.539643065073</x:v>
      </x:c>
      <x:c r="G221" s="12">
        <x:v>5434000</x:v>
      </x:c>
      <x:c r="H221" s="8">
        <x:v>0.20772381509654764</x:v>
      </x:c>
      <x:c r="I221" s="8">
        <x:v>0.20950219060854297</x:v>
      </x:c>
      <x:c r="J221" s="8">
        <x:v>0.12287887653598596</x:v>
      </x:c>
      <x:c r="K221" s="8">
        <x:v>0.12388077823288472</x:v>
      </x:c>
      <x:c r="L221" s="16">
        <x:v>0.14999999999999997</x:v>
      </x:c>
      <x:c r="M221" s="16">
        <x:v>0.15115594408279692</x:v>
      </x:c>
      <x:c r="N221" s="16">
        <x:v>100.77062938853128</x:v>
      </x:c>
      <x:c r="O221" s="1" t="inlineStr">
        <x:is>
          <x:t>Да</x:t>
        </x:is>
      </x:c>
      <x:c r="P221" s="1" t="inlineStr">
        <x:is>
          <x:t>Да</x:t>
        </x:is>
      </x:c>
      <x:c r="Q221" s="1" t="inlineStr">
        <x:is>
          <x:t>Да</x:t>
        </x:is>
      </x:c>
      <x:c r="R221" s="1" t="inlineStr">
        <x:is>
          <x:t>Да</x:t>
        </x:is>
      </x:c>
      <x:c r="S221" s="1" t="inlineStr">
        <x:is>
          <x:t>Да</x:t>
        </x:is>
      </x:c>
    </x:row>
    <x:row r="222" ht="26" customHeight="1">
      <x:c r="A222" s="1" t="inlineStr">
        <x:is>
          <x:t>Потребность в H1 среди 40+: 25%</x:t>
        </x:is>
      </x:c>
      <x:c r="B222" s="1" t="inlineStr">
        <x:is>
          <x:t>H4</x:t>
        </x:is>
      </x:c>
      <x:c r="C222" s="8">
        <x:v>0.14999999999999997</x:v>
      </x:c>
      <x:c r="D222" s="16">
        <x:v>0.17609004900526382</x:v>
      </x:c>
      <x:c r="E222" s="8">
        <x:v>0.011739336600350923</x:v>
      </x:c>
      <x:c r="F222" s="12">
        <x:v>77479.621562316082</x:v>
      </x:c>
      <x:c r="G222" s="12">
        <x:v>7436000</x:v>
      </x:c>
      <x:c r="H222" s="8">
        <x:v>0.20772381509654764</x:v>
      </x:c>
      <x:c r="I222" s="8">
        <x:v>0.21041858177296657</x:v>
      </x:c>
      <x:c r="J222" s="8">
        <x:v>0.12287887653598596</x:v>
      </x:c>
      <x:c r="K222" s="8">
        <x:v>0.12515435196021063</x:v>
      </x:c>
      <x:c r="L222" s="16">
        <x:v>0.14999999999999997</x:v>
      </x:c>
      <x:c r="M222" s="16">
        <x:v>0.15176090049005261</x:v>
      </x:c>
      <x:c r="N222" s="16">
        <x:v>101.17393366003509</x:v>
      </x:c>
      <x:c r="O222" s="1" t="inlineStr">
        <x:is>
          <x:t>Да</x:t>
        </x:is>
      </x:c>
      <x:c r="P222" s="1" t="inlineStr">
        <x:is>
          <x:t>Да</x:t>
        </x:is>
      </x:c>
      <x:c r="Q222" s="1" t="inlineStr">
        <x:is>
          <x:t>Да</x:t>
        </x:is>
      </x:c>
      <x:c r="R222" s="1" t="inlineStr">
        <x:is>
          <x:t>Да</x:t>
        </x:is>
      </x:c>
      <x:c r="S222" s="1" t="inlineStr">
        <x:is>
          <x:t>Да</x:t>
        </x:is>
      </x:c>
    </x:row>
    <x:row r="223" ht="26" customHeight="1">
      <x:c r="A223" s="1" t="inlineStr">
        <x:is>
          <x:t>Потребность в H1 среди 40+: 25%</x:t>
        </x:is>
      </x:c>
      <x:c r="B223" s="1" t="inlineStr">
        <x:is>
          <x:t>H5</x:t>
        </x:is>
      </x:c>
      <x:c r="C223" s="8">
        <x:v>0.14999999999999997</x:v>
      </x:c>
      <x:c r="D223" s="16">
        <x:v>0.032635400819192133</x:v>
      </x:c>
      <x:c r="E223" s="8">
        <x:v>0.0021756933879461425</x:v>
      </x:c>
      <x:c r="F223" s="12">
        <x:v>14359.576360444538</x:v>
      </x:c>
      <x:c r="G223" s="12">
        <x:v>1830400</x:v>
      </x:c>
      <x:c r="H223" s="8">
        <x:v>0.20772381509654764</x:v>
      </x:c>
      <x:c r="I223" s="8">
        <x:v>0.20820198946752486</x:v>
      </x:c>
      <x:c r="J223" s="8">
        <x:v>0.12287887653598596</x:v>
      </x:c>
      <x:c r="K223" s="8">
        <x:v>0.12538929198361612</x:v>
      </x:c>
      <x:c r="L223" s="16">
        <x:v>0.14999999999999997</x:v>
      </x:c>
      <x:c r="M223" s="16">
        <x:v>0.15032635400819189</x:v>
      </x:c>
      <x:c r="N223" s="16">
        <x:v>100.21756933879462</x:v>
      </x:c>
      <x:c r="O223" s="1" t="inlineStr">
        <x:is>
          <x:t>Да</x:t>
        </x:is>
      </x:c>
      <x:c r="P223" s="1" t="inlineStr">
        <x:is>
          <x:t>Да</x:t>
        </x:is>
      </x:c>
      <x:c r="Q223" s="1" t="inlineStr">
        <x:is>
          <x:t>Да</x:t>
        </x:is>
      </x:c>
      <x:c r="R223" s="1" t="inlineStr">
        <x:is>
          <x:t>Да</x:t>
        </x:is>
      </x:c>
      <x:c r="S223" s="1" t="inlineStr">
        <x:is>
          <x:t>Да</x:t>
        </x:is>
      </x:c>
    </x:row>
    <x:row r="224" ht="26" customHeight="1">
      <x:c r="A224" s="1" t="inlineStr">
        <x:is>
          <x:t>Потребность в H1 среди 40+: 25%</x:t>
        </x:is>
      </x:c>
      <x:c r="B224" s="1" t="inlineStr">
        <x:is>
          <x:t>H6.1</x:t>
        </x:is>
      </x:c>
      <x:c r="C224" s="8">
        <x:v>0.14999999999999997</x:v>
      </x:c>
      <x:c r="D224" s="16">
        <x:v>0.018761761263895525</x:v>
      </x:c>
      <x:c r="E224" s="8">
        <x:v>0.0012507840842597019</x:v>
      </x:c>
      <x:c r="F224" s="12">
        <x:v>8255.1749561140314</x:v>
      </x:c>
      <x:c r="G224" s="12">
        <x:v>1029600</x:v>
      </x:c>
      <x:c r="H224" s="8">
        <x:v>0.20772381509654764</x:v>
      </x:c>
      <x:c r="I224" s="8">
        <x:v>0.20799871269748388</x:v>
      </x:c>
      <x:c r="J224" s="8">
        <x:v>0.12287887653598596</x:v>
      </x:c>
      <x:c r="K224" s="8">
        <x:v>0.12432208894090108</x:v>
      </x:c>
      <x:c r="L224" s="16">
        <x:v>0.14999999999999997</x:v>
      </x:c>
      <x:c r="M224" s="16">
        <x:v>0.15018761761263894</x:v>
      </x:c>
      <x:c r="N224" s="16">
        <x:v>100.12507840842596</x:v>
      </x:c>
      <x:c r="O224" s="1" t="inlineStr">
        <x:is>
          <x:t>Да</x:t>
        </x:is>
      </x:c>
      <x:c r="P224" s="1" t="inlineStr">
        <x:is>
          <x:t>Да</x:t>
        </x:is>
      </x:c>
      <x:c r="Q224" s="1" t="inlineStr">
        <x:is>
          <x:t>Да</x:t>
        </x:is>
      </x:c>
      <x:c r="R224" s="1" t="inlineStr">
        <x:is>
          <x:t>Да</x:t>
        </x:is>
      </x:c>
      <x:c r="S224" s="1" t="inlineStr">
        <x:is>
          <x:t>Да</x:t>
        </x:is>
      </x:c>
    </x:row>
    <x:row r="225" ht="26" customHeight="1">
      <x:c r="A225" s="1" t="inlineStr">
        <x:is>
          <x:t>Потребность в H1 среди 40+: 25%</x:t>
        </x:is>
      </x:c>
      <x:c r="B225" s="1" t="inlineStr">
        <x:is>
          <x:t>H6.2</x:t>
        </x:is>
      </x:c>
      <x:c r="C225" s="8">
        <x:v>0.14999999999999997</x:v>
      </x:c>
      <x:c r="D225" s="16">
        <x:v>0.018761761263895525</x:v>
      </x:c>
      <x:c r="E225" s="8">
        <x:v>0.0012507840842597019</x:v>
      </x:c>
      <x:c r="F225" s="12">
        <x:v>8255.1749561140314</x:v>
      </x:c>
      <x:c r="G225" s="12">
        <x:v>1029600</x:v>
      </x:c>
      <x:c r="H225" s="8">
        <x:v>0.20772381509654764</x:v>
      </x:c>
      <x:c r="I225" s="8">
        <x:v>0.20799871269748388</x:v>
      </x:c>
      <x:c r="J225" s="8">
        <x:v>0.12287887653598596</x:v>
      </x:c>
      <x:c r="K225" s="8">
        <x:v>0.12432208894090108</x:v>
      </x:c>
      <x:c r="L225" s="16">
        <x:v>0.14999999999999997</x:v>
      </x:c>
      <x:c r="M225" s="16">
        <x:v>0.15018761761263894</x:v>
      </x:c>
      <x:c r="N225" s="16">
        <x:v>100.12507840842596</x:v>
      </x:c>
      <x:c r="O225" s="1" t="inlineStr">
        <x:is>
          <x:t>Да</x:t>
        </x:is>
      </x:c>
      <x:c r="P225" s="1" t="inlineStr">
        <x:is>
          <x:t>Да</x:t>
        </x:is>
      </x:c>
      <x:c r="Q225" s="1" t="inlineStr">
        <x:is>
          <x:t>Да</x:t>
        </x:is>
      </x:c>
      <x:c r="R225" s="1" t="inlineStr">
        <x:is>
          <x:t>Да</x:t>
        </x:is>
      </x:c>
      <x:c r="S225" s="1" t="inlineStr">
        <x:is>
          <x:t>Да</x:t>
        </x:is>
      </x:c>
    </x:row>
    <x:row r="226" ht="26" customHeight="1">
      <x:c r="A226" s="1" t="inlineStr">
        <x:is>
          <x:t>Потребность в H1 среди 40+: 25%</x:t>
        </x:is>
      </x:c>
      <x:c r="B226" s="1" t="inlineStr">
        <x:is>
          <x:t>H6.3</x:t>
        </x:is>
      </x:c>
      <x:c r="C226" s="8">
        <x:v>0.14999999999999997</x:v>
      </x:c>
      <x:c r="D226" s="16">
        <x:v>0.018761761263895525</x:v>
      </x:c>
      <x:c r="E226" s="8">
        <x:v>0.0012507840842597019</x:v>
      </x:c>
      <x:c r="F226" s="12">
        <x:v>8255.1749561140314</x:v>
      </x:c>
      <x:c r="G226" s="12">
        <x:v>1029600</x:v>
      </x:c>
      <x:c r="H226" s="8">
        <x:v>0.20772381509654764</x:v>
      </x:c>
      <x:c r="I226" s="8">
        <x:v>0.20799871269748388</x:v>
      </x:c>
      <x:c r="J226" s="8">
        <x:v>0.12287887653598596</x:v>
      </x:c>
      <x:c r="K226" s="8">
        <x:v>0.12432208894090108</x:v>
      </x:c>
      <x:c r="L226" s="16">
        <x:v>0.14999999999999997</x:v>
      </x:c>
      <x:c r="M226" s="16">
        <x:v>0.15018761761263894</x:v>
      </x:c>
      <x:c r="N226" s="16">
        <x:v>100.12507840842596</x:v>
      </x:c>
      <x:c r="O226" s="1" t="inlineStr">
        <x:is>
          <x:t>Да</x:t>
        </x:is>
      </x:c>
      <x:c r="P226" s="1" t="inlineStr">
        <x:is>
          <x:t>Да</x:t>
        </x:is>
      </x:c>
      <x:c r="Q226" s="1" t="inlineStr">
        <x:is>
          <x:t>Да</x:t>
        </x:is>
      </x:c>
      <x:c r="R226" s="1" t="inlineStr">
        <x:is>
          <x:t>Да</x:t>
        </x:is>
      </x:c>
      <x:c r="S226" s="1" t="inlineStr">
        <x:is>
          <x:t>Да</x:t>
        </x:is>
      </x:c>
    </x:row>
    <x:row r="227" ht="26" customHeight="1">
      <x:c r="A227" s="1" t="inlineStr">
        <x:is>
          <x:t>Потребность в H1 среди 40+: 60%</x:t>
        </x:is>
      </x:c>
      <x:c r="B227" s="1" t="inlineStr">
        <x:is>
          <x:t>H1</x:t>
        </x:is>
      </x:c>
      <x:c r="C227" s="8">
        <x:v>0.14999999999999997</x:v>
      </x:c>
      <x:c r="D227" s="16">
        <x:v>0.079290776770039123</x:v>
      </x:c>
      <x:c r="E227" s="8">
        <x:v>0.0052860517846692757</x:v>
      </x:c>
      <x:c r="F227" s="12">
        <x:v>34887.941778817214</x:v>
      </x:c>
      <x:c r="G227" s="12">
        <x:v>5148000</x:v>
      </x:c>
      <x:c r="H227" s="8">
        <x:v>0.20772381509654764</x:v>
      </x:c>
      <x:c r="I227" s="8">
        <x:v>0.20894367320070212</x:v>
      </x:c>
      <x:c r="J227" s="8">
        <x:v>0.12287887653598596</x:v>
      </x:c>
      <x:c r="K227" s="8">
        <x:v>0.1235661205383265</x:v>
      </x:c>
      <x:c r="L227" s="16">
        <x:v>0.14999999999999997</x:v>
      </x:c>
      <x:c r="M227" s="16">
        <x:v>0.15079290776770038</x:v>
      </x:c>
      <x:c r="N227" s="16">
        <x:v>100.52860517846692</x:v>
      </x:c>
      <x:c r="O227" s="1" t="inlineStr">
        <x:is>
          <x:t>Да</x:t>
        </x:is>
      </x:c>
      <x:c r="P227" s="1" t="inlineStr">
        <x:is>
          <x:t>Да</x:t>
        </x:is>
      </x:c>
      <x:c r="Q227" s="1" t="inlineStr">
        <x:is>
          <x:t>Да</x:t>
        </x:is>
      </x:c>
      <x:c r="R227" s="1" t="inlineStr">
        <x:is>
          <x:t>Да</x:t>
        </x:is>
      </x:c>
      <x:c r="S227" s="1" t="inlineStr">
        <x:is>
          <x:t>Да</x:t>
        </x:is>
      </x:c>
    </x:row>
    <x:row r="228" ht="26" customHeight="1">
      <x:c r="A228" s="1" t="inlineStr">
        <x:is>
          <x:t>Потребность в H1 среди 40+: 60%</x:t>
        </x:is>
      </x:c>
      <x:c r="B228" s="1" t="inlineStr">
        <x:is>
          <x:t>H2</x:t>
        </x:is>
      </x:c>
      <x:c r="C228" s="8">
        <x:v>0.14999999999999997</x:v>
      </x:c>
      <x:c r="D228" s="16">
        <x:v>0.1658041983616115</x:v>
      </x:c>
      <x:c r="E228" s="8">
        <x:v>0.011053613224107434</x:v>
      </x:c>
      <x:c r="F228" s="12">
        <x:v>72953.847279109061</x:v>
      </x:c>
      <x:c r="G228" s="12">
        <x:v>6692400</x:v>
      </x:c>
      <x:c r="H228" s="8">
        <x:v>0.20772381509654764</x:v>
      </x:c>
      <x:c r="I228" s="8">
        <x:v>0.21025819192510231</x:v>
      </x:c>
      <x:c r="J228" s="8">
        <x:v>0.12287887653598596</x:v>
      </x:c>
      <x:c r="K228" s="8">
        <x:v>0.12526514043300177</x:v>
      </x:c>
      <x:c r="L228" s="16">
        <x:v>0.14999999999999997</x:v>
      </x:c>
      <x:c r="M228" s="16">
        <x:v>0.1516580419836161</x:v>
      </x:c>
      <x:c r="N228" s="16">
        <x:v>101.10536132241073</x:v>
      </x:c>
      <x:c r="O228" s="1" t="inlineStr">
        <x:is>
          <x:t>Да</x:t>
        </x:is>
      </x:c>
      <x:c r="P228" s="1" t="inlineStr">
        <x:is>
          <x:t>Да</x:t>
        </x:is>
      </x:c>
      <x:c r="Q228" s="1" t="inlineStr">
        <x:is>
          <x:t>Да</x:t>
        </x:is>
      </x:c>
      <x:c r="R228" s="1" t="inlineStr">
        <x:is>
          <x:t>Да</x:t>
        </x:is>
      </x:c>
      <x:c r="S228" s="1" t="inlineStr">
        <x:is>
          <x:t>Да</x:t>
        </x:is>
      </x:c>
    </x:row>
    <x:row r="229" ht="26" customHeight="1">
      <x:c r="A229" s="1" t="inlineStr">
        <x:is>
          <x:t>Потребность в H1 среди 40+: 60%</x:t>
        </x:is>
      </x:c>
      <x:c r="B229" s="1" t="inlineStr">
        <x:is>
          <x:t>H3</x:t>
        </x:is>
      </x:c>
      <x:c r="C229" s="8">
        <x:v>0.14999999999999997</x:v>
      </x:c>
      <x:c r="D229" s="16">
        <x:v>0.11559440827969335</x:v>
      </x:c>
      <x:c r="E229" s="8">
        <x:v>0.007706293885312891</x:v>
      </x:c>
      <x:c r="F229" s="12">
        <x:v>50861.539643065073</x:v>
      </x:c>
      <x:c r="G229" s="12">
        <x:v>5434000</x:v>
      </x:c>
      <x:c r="H229" s="8">
        <x:v>0.20772381509654764</x:v>
      </x:c>
      <x:c r="I229" s="8">
        <x:v>0.20950219060854297</x:v>
      </x:c>
      <x:c r="J229" s="8">
        <x:v>0.12287887653598596</x:v>
      </x:c>
      <x:c r="K229" s="8">
        <x:v>0.12388077823288472</x:v>
      </x:c>
      <x:c r="L229" s="16">
        <x:v>0.14999999999999997</x:v>
      </x:c>
      <x:c r="M229" s="16">
        <x:v>0.15115594408279692</x:v>
      </x:c>
      <x:c r="N229" s="16">
        <x:v>100.77062938853128</x:v>
      </x:c>
      <x:c r="O229" s="1" t="inlineStr">
        <x:is>
          <x:t>Да</x:t>
        </x:is>
      </x:c>
      <x:c r="P229" s="1" t="inlineStr">
        <x:is>
          <x:t>Да</x:t>
        </x:is>
      </x:c>
      <x:c r="Q229" s="1" t="inlineStr">
        <x:is>
          <x:t>Да</x:t>
        </x:is>
      </x:c>
      <x:c r="R229" s="1" t="inlineStr">
        <x:is>
          <x:t>Да</x:t>
        </x:is>
      </x:c>
      <x:c r="S229" s="1" t="inlineStr">
        <x:is>
          <x:t>Да</x:t>
        </x:is>
      </x:c>
    </x:row>
    <x:row r="230" ht="26" customHeight="1">
      <x:c r="A230" s="1" t="inlineStr">
        <x:is>
          <x:t>Потребность в H1 среди 40+: 60%</x:t>
        </x:is>
      </x:c>
      <x:c r="B230" s="1" t="inlineStr">
        <x:is>
          <x:t>H4</x:t>
        </x:is>
      </x:c>
      <x:c r="C230" s="8">
        <x:v>0.14999999999999997</x:v>
      </x:c>
      <x:c r="D230" s="16">
        <x:v>0.17609004900526382</x:v>
      </x:c>
      <x:c r="E230" s="8">
        <x:v>0.011739336600350923</x:v>
      </x:c>
      <x:c r="F230" s="12">
        <x:v>77479.621562316082</x:v>
      </x:c>
      <x:c r="G230" s="12">
        <x:v>7436000</x:v>
      </x:c>
      <x:c r="H230" s="8">
        <x:v>0.20772381509654764</x:v>
      </x:c>
      <x:c r="I230" s="8">
        <x:v>0.21041858177296657</x:v>
      </x:c>
      <x:c r="J230" s="8">
        <x:v>0.12287887653598596</x:v>
      </x:c>
      <x:c r="K230" s="8">
        <x:v>0.12515435196021063</x:v>
      </x:c>
      <x:c r="L230" s="16">
        <x:v>0.14999999999999997</x:v>
      </x:c>
      <x:c r="M230" s="16">
        <x:v>0.15176090049005261</x:v>
      </x:c>
      <x:c r="N230" s="16">
        <x:v>101.17393366003509</x:v>
      </x:c>
      <x:c r="O230" s="1" t="inlineStr">
        <x:is>
          <x:t>Да</x:t>
        </x:is>
      </x:c>
      <x:c r="P230" s="1" t="inlineStr">
        <x:is>
          <x:t>Да</x:t>
        </x:is>
      </x:c>
      <x:c r="Q230" s="1" t="inlineStr">
        <x:is>
          <x:t>Да</x:t>
        </x:is>
      </x:c>
      <x:c r="R230" s="1" t="inlineStr">
        <x:is>
          <x:t>Да</x:t>
        </x:is>
      </x:c>
      <x:c r="S230" s="1" t="inlineStr">
        <x:is>
          <x:t>Да</x:t>
        </x:is>
      </x:c>
    </x:row>
    <x:row r="231" ht="26" customHeight="1">
      <x:c r="A231" s="1" t="inlineStr">
        <x:is>
          <x:t>Потребность в H1 среди 40+: 60%</x:t>
        </x:is>
      </x:c>
      <x:c r="B231" s="1" t="inlineStr">
        <x:is>
          <x:t>H5</x:t>
        </x:is>
      </x:c>
      <x:c r="C231" s="8">
        <x:v>0.14999999999999997</x:v>
      </x:c>
      <x:c r="D231" s="16">
        <x:v>0.032635400819192133</x:v>
      </x:c>
      <x:c r="E231" s="8">
        <x:v>0.0021756933879461425</x:v>
      </x:c>
      <x:c r="F231" s="12">
        <x:v>14359.576360444538</x:v>
      </x:c>
      <x:c r="G231" s="12">
        <x:v>1830400</x:v>
      </x:c>
      <x:c r="H231" s="8">
        <x:v>0.20772381509654764</x:v>
      </x:c>
      <x:c r="I231" s="8">
        <x:v>0.20820198946752486</x:v>
      </x:c>
      <x:c r="J231" s="8">
        <x:v>0.12287887653598596</x:v>
      </x:c>
      <x:c r="K231" s="8">
        <x:v>0.12538929198361612</x:v>
      </x:c>
      <x:c r="L231" s="16">
        <x:v>0.14999999999999997</x:v>
      </x:c>
      <x:c r="M231" s="16">
        <x:v>0.15032635400819189</x:v>
      </x:c>
      <x:c r="N231" s="16">
        <x:v>100.21756933879462</x:v>
      </x:c>
      <x:c r="O231" s="1" t="inlineStr">
        <x:is>
          <x:t>Да</x:t>
        </x:is>
      </x:c>
      <x:c r="P231" s="1" t="inlineStr">
        <x:is>
          <x:t>Да</x:t>
        </x:is>
      </x:c>
      <x:c r="Q231" s="1" t="inlineStr">
        <x:is>
          <x:t>Да</x:t>
        </x:is>
      </x:c>
      <x:c r="R231" s="1" t="inlineStr">
        <x:is>
          <x:t>Да</x:t>
        </x:is>
      </x:c>
      <x:c r="S231" s="1" t="inlineStr">
        <x:is>
          <x:t>Да</x:t>
        </x:is>
      </x:c>
    </x:row>
    <x:row r="232" ht="26" customHeight="1">
      <x:c r="A232" s="1" t="inlineStr">
        <x:is>
          <x:t>Потребность в H1 среди 40+: 60%</x:t>
        </x:is>
      </x:c>
      <x:c r="B232" s="1" t="inlineStr">
        <x:is>
          <x:t>H6.1</x:t>
        </x:is>
      </x:c>
      <x:c r="C232" s="8">
        <x:v>0.14999999999999997</x:v>
      </x:c>
      <x:c r="D232" s="16">
        <x:v>0.018761761263895525</x:v>
      </x:c>
      <x:c r="E232" s="8">
        <x:v>0.0012507840842597019</x:v>
      </x:c>
      <x:c r="F232" s="12">
        <x:v>8255.1749561140314</x:v>
      </x:c>
      <x:c r="G232" s="12">
        <x:v>1029600</x:v>
      </x:c>
      <x:c r="H232" s="8">
        <x:v>0.20772381509654764</x:v>
      </x:c>
      <x:c r="I232" s="8">
        <x:v>0.20799871269748388</x:v>
      </x:c>
      <x:c r="J232" s="8">
        <x:v>0.12287887653598596</x:v>
      </x:c>
      <x:c r="K232" s="8">
        <x:v>0.12432208894090108</x:v>
      </x:c>
      <x:c r="L232" s="16">
        <x:v>0.14999999999999997</x:v>
      </x:c>
      <x:c r="M232" s="16">
        <x:v>0.15018761761263894</x:v>
      </x:c>
      <x:c r="N232" s="16">
        <x:v>100.12507840842596</x:v>
      </x:c>
      <x:c r="O232" s="1" t="inlineStr">
        <x:is>
          <x:t>Да</x:t>
        </x:is>
      </x:c>
      <x:c r="P232" s="1" t="inlineStr">
        <x:is>
          <x:t>Да</x:t>
        </x:is>
      </x:c>
      <x:c r="Q232" s="1" t="inlineStr">
        <x:is>
          <x:t>Да</x:t>
        </x:is>
      </x:c>
      <x:c r="R232" s="1" t="inlineStr">
        <x:is>
          <x:t>Да</x:t>
        </x:is>
      </x:c>
      <x:c r="S232" s="1" t="inlineStr">
        <x:is>
          <x:t>Да</x:t>
        </x:is>
      </x:c>
    </x:row>
    <x:row r="233" ht="26" customHeight="1">
      <x:c r="A233" s="1" t="inlineStr">
        <x:is>
          <x:t>Потребность в H1 среди 40+: 60%</x:t>
        </x:is>
      </x:c>
      <x:c r="B233" s="1" t="inlineStr">
        <x:is>
          <x:t>H6.2</x:t>
        </x:is>
      </x:c>
      <x:c r="C233" s="8">
        <x:v>0.14999999999999997</x:v>
      </x:c>
      <x:c r="D233" s="16">
        <x:v>0.018761761263895525</x:v>
      </x:c>
      <x:c r="E233" s="8">
        <x:v>0.0012507840842597019</x:v>
      </x:c>
      <x:c r="F233" s="12">
        <x:v>8255.1749561140314</x:v>
      </x:c>
      <x:c r="G233" s="12">
        <x:v>1029600</x:v>
      </x:c>
      <x:c r="H233" s="8">
        <x:v>0.20772381509654764</x:v>
      </x:c>
      <x:c r="I233" s="8">
        <x:v>0.20799871269748388</x:v>
      </x:c>
      <x:c r="J233" s="8">
        <x:v>0.12287887653598596</x:v>
      </x:c>
      <x:c r="K233" s="8">
        <x:v>0.12432208894090108</x:v>
      </x:c>
      <x:c r="L233" s="16">
        <x:v>0.14999999999999997</x:v>
      </x:c>
      <x:c r="M233" s="16">
        <x:v>0.15018761761263894</x:v>
      </x:c>
      <x:c r="N233" s="16">
        <x:v>100.12507840842596</x:v>
      </x:c>
      <x:c r="O233" s="1" t="inlineStr">
        <x:is>
          <x:t>Да</x:t>
        </x:is>
      </x:c>
      <x:c r="P233" s="1" t="inlineStr">
        <x:is>
          <x:t>Да</x:t>
        </x:is>
      </x:c>
      <x:c r="Q233" s="1" t="inlineStr">
        <x:is>
          <x:t>Да</x:t>
        </x:is>
      </x:c>
      <x:c r="R233" s="1" t="inlineStr">
        <x:is>
          <x:t>Да</x:t>
        </x:is>
      </x:c>
      <x:c r="S233" s="1" t="inlineStr">
        <x:is>
          <x:t>Да</x:t>
        </x:is>
      </x:c>
    </x:row>
    <x:row r="234" ht="26" customHeight="1">
      <x:c r="A234" s="1" t="inlineStr">
        <x:is>
          <x:t>Потребность в H1 среди 40+: 60%</x:t>
        </x:is>
      </x:c>
      <x:c r="B234" s="1" t="inlineStr">
        <x:is>
          <x:t>H6.3</x:t>
        </x:is>
      </x:c>
      <x:c r="C234" s="8">
        <x:v>0.14999999999999997</x:v>
      </x:c>
      <x:c r="D234" s="16">
        <x:v>0.018761761263895525</x:v>
      </x:c>
      <x:c r="E234" s="8">
        <x:v>0.0012507840842597019</x:v>
      </x:c>
      <x:c r="F234" s="12">
        <x:v>8255.1749561140314</x:v>
      </x:c>
      <x:c r="G234" s="12">
        <x:v>1029600</x:v>
      </x:c>
      <x:c r="H234" s="8">
        <x:v>0.20772381509654764</x:v>
      </x:c>
      <x:c r="I234" s="8">
        <x:v>0.20799871269748388</x:v>
      </x:c>
      <x:c r="J234" s="8">
        <x:v>0.12287887653598596</x:v>
      </x:c>
      <x:c r="K234" s="8">
        <x:v>0.12432208894090108</x:v>
      </x:c>
      <x:c r="L234" s="16">
        <x:v>0.14999999999999997</x:v>
      </x:c>
      <x:c r="M234" s="16">
        <x:v>0.15018761761263894</x:v>
      </x:c>
      <x:c r="N234" s="16">
        <x:v>100.12507840842596</x:v>
      </x:c>
      <x:c r="O234" s="1" t="inlineStr">
        <x:is>
          <x:t>Да</x:t>
        </x:is>
      </x:c>
      <x:c r="P234" s="1" t="inlineStr">
        <x:is>
          <x:t>Да</x:t>
        </x:is>
      </x:c>
      <x:c r="Q234" s="1" t="inlineStr">
        <x:is>
          <x:t>Да</x:t>
        </x:is>
      </x:c>
      <x:c r="R234" s="1" t="inlineStr">
        <x:is>
          <x:t>Да</x:t>
        </x:is>
      </x:c>
      <x:c r="S234" s="1" t="inlineStr">
        <x:is>
          <x:t>Да</x:t>
        </x:is>
      </x:c>
    </x:row>
    <x:row r="235" ht="26" customHeight="1">
      <x:c r="A235" s="1" t="inlineStr">
        <x:is>
          <x:t>Потребность в H1 среди 40+: 80%</x:t>
        </x:is>
      </x:c>
      <x:c r="B235" s="1" t="inlineStr">
        <x:is>
          <x:t>H1</x:t>
        </x:is>
      </x:c>
      <x:c r="C235" s="8">
        <x:v>0.14999999999999997</x:v>
      </x:c>
      <x:c r="D235" s="16">
        <x:v>0.10572103569338689</x:v>
      </x:c>
      <x:c r="E235" s="8">
        <x:v>0.0070480690462257946</x:v>
      </x:c>
      <x:c r="F235" s="12">
        <x:v>46517.25570509024</x:v>
      </x:c>
      <x:c r="G235" s="12">
        <x:v>6864000</x:v>
      </x:c>
      <x:c r="H235" s="8">
        <x:v>0.20772381509654764</x:v>
      </x:c>
      <x:c r="I235" s="8">
        <x:v>0.20935029256875359</x:v>
      </x:c>
      <x:c r="J235" s="8">
        <x:v>0.12287887653598596</x:v>
      </x:c>
      <x:c r="K235" s="8">
        <x:v>0.12379520187244002</x:v>
      </x:c>
      <x:c r="L235" s="16">
        <x:v>0.14999999999999997</x:v>
      </x:c>
      <x:c r="M235" s="16">
        <x:v>0.15105721035693384</x:v>
      </x:c>
      <x:c r="N235" s="16">
        <x:v>100.70480690462259</x:v>
      </x:c>
      <x:c r="O235" s="1" t="inlineStr">
        <x:is>
          <x:t>Да</x:t>
        </x:is>
      </x:c>
      <x:c r="P235" s="1" t="inlineStr">
        <x:is>
          <x:t>Да</x:t>
        </x:is>
      </x:c>
      <x:c r="Q235" s="1" t="inlineStr">
        <x:is>
          <x:t>Да</x:t>
        </x:is>
      </x:c>
      <x:c r="R235" s="1" t="inlineStr">
        <x:is>
          <x:t>Да</x:t>
        </x:is>
      </x:c>
      <x:c r="S235" s="1" t="inlineStr">
        <x:is>
          <x:t>Да</x:t>
        </x:is>
      </x:c>
    </x:row>
    <x:row r="236" ht="26" customHeight="1">
      <x:c r="A236" s="1" t="inlineStr">
        <x:is>
          <x:t>Потребность в H1 среди 40+: 80%</x:t>
        </x:is>
      </x:c>
      <x:c r="B236" s="1" t="inlineStr">
        <x:is>
          <x:t>H2</x:t>
        </x:is>
      </x:c>
      <x:c r="C236" s="8">
        <x:v>0.14999999999999997</x:v>
      </x:c>
      <x:c r="D236" s="16">
        <x:v>0.1658041983616115</x:v>
      </x:c>
      <x:c r="E236" s="8">
        <x:v>0.011053613224107434</x:v>
      </x:c>
      <x:c r="F236" s="12">
        <x:v>72953.847279109061</x:v>
      </x:c>
      <x:c r="G236" s="12">
        <x:v>6692400</x:v>
      </x:c>
      <x:c r="H236" s="8">
        <x:v>0.20772381509654764</x:v>
      </x:c>
      <x:c r="I236" s="8">
        <x:v>0.21025819192510231</x:v>
      </x:c>
      <x:c r="J236" s="8">
        <x:v>0.12287887653598596</x:v>
      </x:c>
      <x:c r="K236" s="8">
        <x:v>0.12526514043300177</x:v>
      </x:c>
      <x:c r="L236" s="16">
        <x:v>0.14999999999999997</x:v>
      </x:c>
      <x:c r="M236" s="16">
        <x:v>0.1516580419836161</x:v>
      </x:c>
      <x:c r="N236" s="16">
        <x:v>101.10536132241073</x:v>
      </x:c>
      <x:c r="O236" s="1" t="inlineStr">
        <x:is>
          <x:t>Да</x:t>
        </x:is>
      </x:c>
      <x:c r="P236" s="1" t="inlineStr">
        <x:is>
          <x:t>Да</x:t>
        </x:is>
      </x:c>
      <x:c r="Q236" s="1" t="inlineStr">
        <x:is>
          <x:t>Да</x:t>
        </x:is>
      </x:c>
      <x:c r="R236" s="1" t="inlineStr">
        <x:is>
          <x:t>Да</x:t>
        </x:is>
      </x:c>
      <x:c r="S236" s="1" t="inlineStr">
        <x:is>
          <x:t>Да</x:t>
        </x:is>
      </x:c>
    </x:row>
    <x:row r="237" ht="26" customHeight="1">
      <x:c r="A237" s="1" t="inlineStr">
        <x:is>
          <x:t>Потребность в H1 среди 40+: 80%</x:t>
        </x:is>
      </x:c>
      <x:c r="B237" s="1" t="inlineStr">
        <x:is>
          <x:t>H3</x:t>
        </x:is>
      </x:c>
      <x:c r="C237" s="8">
        <x:v>0.14999999999999997</x:v>
      </x:c>
      <x:c r="D237" s="16">
        <x:v>0.11559440827969335</x:v>
      </x:c>
      <x:c r="E237" s="8">
        <x:v>0.007706293885312891</x:v>
      </x:c>
      <x:c r="F237" s="12">
        <x:v>50861.539643065073</x:v>
      </x:c>
      <x:c r="G237" s="12">
        <x:v>5434000</x:v>
      </x:c>
      <x:c r="H237" s="8">
        <x:v>0.20772381509654764</x:v>
      </x:c>
      <x:c r="I237" s="8">
        <x:v>0.20950219060854297</x:v>
      </x:c>
      <x:c r="J237" s="8">
        <x:v>0.12287887653598596</x:v>
      </x:c>
      <x:c r="K237" s="8">
        <x:v>0.12388077823288472</x:v>
      </x:c>
      <x:c r="L237" s="16">
        <x:v>0.14999999999999997</x:v>
      </x:c>
      <x:c r="M237" s="16">
        <x:v>0.15115594408279692</x:v>
      </x:c>
      <x:c r="N237" s="16">
        <x:v>100.77062938853128</x:v>
      </x:c>
      <x:c r="O237" s="1" t="inlineStr">
        <x:is>
          <x:t>Да</x:t>
        </x:is>
      </x:c>
      <x:c r="P237" s="1" t="inlineStr">
        <x:is>
          <x:t>Да</x:t>
        </x:is>
      </x:c>
      <x:c r="Q237" s="1" t="inlineStr">
        <x:is>
          <x:t>Да</x:t>
        </x:is>
      </x:c>
      <x:c r="R237" s="1" t="inlineStr">
        <x:is>
          <x:t>Да</x:t>
        </x:is>
      </x:c>
      <x:c r="S237" s="1" t="inlineStr">
        <x:is>
          <x:t>Да</x:t>
        </x:is>
      </x:c>
    </x:row>
    <x:row r="238" ht="26" customHeight="1">
      <x:c r="A238" s="1" t="inlineStr">
        <x:is>
          <x:t>Потребность в H1 среди 40+: 80%</x:t>
        </x:is>
      </x:c>
      <x:c r="B238" s="1" t="inlineStr">
        <x:is>
          <x:t>H4</x:t>
        </x:is>
      </x:c>
      <x:c r="C238" s="8">
        <x:v>0.14999999999999997</x:v>
      </x:c>
      <x:c r="D238" s="16">
        <x:v>0.17609004900526382</x:v>
      </x:c>
      <x:c r="E238" s="8">
        <x:v>0.011739336600350923</x:v>
      </x:c>
      <x:c r="F238" s="12">
        <x:v>77479.621562316082</x:v>
      </x:c>
      <x:c r="G238" s="12">
        <x:v>7436000</x:v>
      </x:c>
      <x:c r="H238" s="8">
        <x:v>0.20772381509654764</x:v>
      </x:c>
      <x:c r="I238" s="8">
        <x:v>0.21041858177296657</x:v>
      </x:c>
      <x:c r="J238" s="8">
        <x:v>0.12287887653598596</x:v>
      </x:c>
      <x:c r="K238" s="8">
        <x:v>0.12515435196021063</x:v>
      </x:c>
      <x:c r="L238" s="16">
        <x:v>0.14999999999999997</x:v>
      </x:c>
      <x:c r="M238" s="16">
        <x:v>0.15176090049005261</x:v>
      </x:c>
      <x:c r="N238" s="16">
        <x:v>101.17393366003509</x:v>
      </x:c>
      <x:c r="O238" s="1" t="inlineStr">
        <x:is>
          <x:t>Да</x:t>
        </x:is>
      </x:c>
      <x:c r="P238" s="1" t="inlineStr">
        <x:is>
          <x:t>Да</x:t>
        </x:is>
      </x:c>
      <x:c r="Q238" s="1" t="inlineStr">
        <x:is>
          <x:t>Да</x:t>
        </x:is>
      </x:c>
      <x:c r="R238" s="1" t="inlineStr">
        <x:is>
          <x:t>Да</x:t>
        </x:is>
      </x:c>
      <x:c r="S238" s="1" t="inlineStr">
        <x:is>
          <x:t>Да</x:t>
        </x:is>
      </x:c>
    </x:row>
    <x:row r="239" ht="26" customHeight="1">
      <x:c r="A239" s="1" t="inlineStr">
        <x:is>
          <x:t>Потребность в H1 среди 40+: 80%</x:t>
        </x:is>
      </x:c>
      <x:c r="B239" s="1" t="inlineStr">
        <x:is>
          <x:t>H5</x:t>
        </x:is>
      </x:c>
      <x:c r="C239" s="8">
        <x:v>0.14999999999999997</x:v>
      </x:c>
      <x:c r="D239" s="16">
        <x:v>0.032635400819192133</x:v>
      </x:c>
      <x:c r="E239" s="8">
        <x:v>0.0021756933879461425</x:v>
      </x:c>
      <x:c r="F239" s="12">
        <x:v>14359.576360444538</x:v>
      </x:c>
      <x:c r="G239" s="12">
        <x:v>1830400</x:v>
      </x:c>
      <x:c r="H239" s="8">
        <x:v>0.20772381509654764</x:v>
      </x:c>
      <x:c r="I239" s="8">
        <x:v>0.20820198946752486</x:v>
      </x:c>
      <x:c r="J239" s="8">
        <x:v>0.12287887653598596</x:v>
      </x:c>
      <x:c r="K239" s="8">
        <x:v>0.12538929198361612</x:v>
      </x:c>
      <x:c r="L239" s="16">
        <x:v>0.14999999999999997</x:v>
      </x:c>
      <x:c r="M239" s="16">
        <x:v>0.15032635400819189</x:v>
      </x:c>
      <x:c r="N239" s="16">
        <x:v>100.21756933879462</x:v>
      </x:c>
      <x:c r="O239" s="1" t="inlineStr">
        <x:is>
          <x:t>Да</x:t>
        </x:is>
      </x:c>
      <x:c r="P239" s="1" t="inlineStr">
        <x:is>
          <x:t>Да</x:t>
        </x:is>
      </x:c>
      <x:c r="Q239" s="1" t="inlineStr">
        <x:is>
          <x:t>Да</x:t>
        </x:is>
      </x:c>
      <x:c r="R239" s="1" t="inlineStr">
        <x:is>
          <x:t>Да</x:t>
        </x:is>
      </x:c>
      <x:c r="S239" s="1" t="inlineStr">
        <x:is>
          <x:t>Да</x:t>
        </x:is>
      </x:c>
    </x:row>
    <x:row r="240" ht="26" customHeight="1">
      <x:c r="A240" s="1" t="inlineStr">
        <x:is>
          <x:t>Потребность в H1 среди 40+: 80%</x:t>
        </x:is>
      </x:c>
      <x:c r="B240" s="1" t="inlineStr">
        <x:is>
          <x:t>H6.1</x:t>
        </x:is>
      </x:c>
      <x:c r="C240" s="8">
        <x:v>0.14999999999999997</x:v>
      </x:c>
      <x:c r="D240" s="16">
        <x:v>0.018761761263895525</x:v>
      </x:c>
      <x:c r="E240" s="8">
        <x:v>0.0012507840842597019</x:v>
      </x:c>
      <x:c r="F240" s="12">
        <x:v>8255.1749561140314</x:v>
      </x:c>
      <x:c r="G240" s="12">
        <x:v>1029600</x:v>
      </x:c>
      <x:c r="H240" s="8">
        <x:v>0.20772381509654764</x:v>
      </x:c>
      <x:c r="I240" s="8">
        <x:v>0.20799871269748388</x:v>
      </x:c>
      <x:c r="J240" s="8">
        <x:v>0.12287887653598596</x:v>
      </x:c>
      <x:c r="K240" s="8">
        <x:v>0.12432208894090108</x:v>
      </x:c>
      <x:c r="L240" s="16">
        <x:v>0.14999999999999997</x:v>
      </x:c>
      <x:c r="M240" s="16">
        <x:v>0.15018761761263894</x:v>
      </x:c>
      <x:c r="N240" s="16">
        <x:v>100.12507840842596</x:v>
      </x:c>
      <x:c r="O240" s="1" t="inlineStr">
        <x:is>
          <x:t>Да</x:t>
        </x:is>
      </x:c>
      <x:c r="P240" s="1" t="inlineStr">
        <x:is>
          <x:t>Да</x:t>
        </x:is>
      </x:c>
      <x:c r="Q240" s="1" t="inlineStr">
        <x:is>
          <x:t>Да</x:t>
        </x:is>
      </x:c>
      <x:c r="R240" s="1" t="inlineStr">
        <x:is>
          <x:t>Да</x:t>
        </x:is>
      </x:c>
      <x:c r="S240" s="1" t="inlineStr">
        <x:is>
          <x:t>Да</x:t>
        </x:is>
      </x:c>
    </x:row>
    <x:row r="241" ht="26" customHeight="1">
      <x:c r="A241" s="1" t="inlineStr">
        <x:is>
          <x:t>Потребность в H1 среди 40+: 80%</x:t>
        </x:is>
      </x:c>
      <x:c r="B241" s="1" t="inlineStr">
        <x:is>
          <x:t>H6.2</x:t>
        </x:is>
      </x:c>
      <x:c r="C241" s="8">
        <x:v>0.14999999999999997</x:v>
      </x:c>
      <x:c r="D241" s="16">
        <x:v>0.018761761263895525</x:v>
      </x:c>
      <x:c r="E241" s="8">
        <x:v>0.0012507840842597019</x:v>
      </x:c>
      <x:c r="F241" s="12">
        <x:v>8255.1749561140314</x:v>
      </x:c>
      <x:c r="G241" s="12">
        <x:v>1029600</x:v>
      </x:c>
      <x:c r="H241" s="8">
        <x:v>0.20772381509654764</x:v>
      </x:c>
      <x:c r="I241" s="8">
        <x:v>0.20799871269748388</x:v>
      </x:c>
      <x:c r="J241" s="8">
        <x:v>0.12287887653598596</x:v>
      </x:c>
      <x:c r="K241" s="8">
        <x:v>0.12432208894090108</x:v>
      </x:c>
      <x:c r="L241" s="16">
        <x:v>0.14999999999999997</x:v>
      </x:c>
      <x:c r="M241" s="16">
        <x:v>0.15018761761263894</x:v>
      </x:c>
      <x:c r="N241" s="16">
        <x:v>100.12507840842596</x:v>
      </x:c>
      <x:c r="O241" s="1" t="inlineStr">
        <x:is>
          <x:t>Да</x:t>
        </x:is>
      </x:c>
      <x:c r="P241" s="1" t="inlineStr">
        <x:is>
          <x:t>Да</x:t>
        </x:is>
      </x:c>
      <x:c r="Q241" s="1" t="inlineStr">
        <x:is>
          <x:t>Да</x:t>
        </x:is>
      </x:c>
      <x:c r="R241" s="1" t="inlineStr">
        <x:is>
          <x:t>Да</x:t>
        </x:is>
      </x:c>
      <x:c r="S241" s="1" t="inlineStr">
        <x:is>
          <x:t>Да</x:t>
        </x:is>
      </x:c>
    </x:row>
    <x:row r="242" ht="26" customHeight="1">
      <x:c r="A242" s="1" t="inlineStr">
        <x:is>
          <x:t>Потребность в H1 среди 40+: 80%</x:t>
        </x:is>
      </x:c>
      <x:c r="B242" s="1" t="inlineStr">
        <x:is>
          <x:t>H6.3</x:t>
        </x:is>
      </x:c>
      <x:c r="C242" s="8">
        <x:v>0.14999999999999997</x:v>
      </x:c>
      <x:c r="D242" s="16">
        <x:v>0.018761761263895525</x:v>
      </x:c>
      <x:c r="E242" s="8">
        <x:v>0.0012507840842597019</x:v>
      </x:c>
      <x:c r="F242" s="12">
        <x:v>8255.1749561140314</x:v>
      </x:c>
      <x:c r="G242" s="12">
        <x:v>1029600</x:v>
      </x:c>
      <x:c r="H242" s="8">
        <x:v>0.20772381509654764</x:v>
      </x:c>
      <x:c r="I242" s="8">
        <x:v>0.20799871269748388</x:v>
      </x:c>
      <x:c r="J242" s="8">
        <x:v>0.12287887653598596</x:v>
      </x:c>
      <x:c r="K242" s="8">
        <x:v>0.12432208894090108</x:v>
      </x:c>
      <x:c r="L242" s="16">
        <x:v>0.14999999999999997</x:v>
      </x:c>
      <x:c r="M242" s="16">
        <x:v>0.15018761761263894</x:v>
      </x:c>
      <x:c r="N242" s="16">
        <x:v>100.12507840842596</x:v>
      </x:c>
      <x:c r="O242" s="1" t="inlineStr">
        <x:is>
          <x:t>Да</x:t>
        </x:is>
      </x:c>
      <x:c r="P242" s="1" t="inlineStr">
        <x:is>
          <x:t>Да</x:t>
        </x:is>
      </x:c>
      <x:c r="Q242" s="1" t="inlineStr">
        <x:is>
          <x:t>Да</x:t>
        </x:is>
      </x:c>
      <x:c r="R242" s="1" t="inlineStr">
        <x:is>
          <x:t>Да</x:t>
        </x:is>
      </x:c>
      <x:c r="S242" s="1" t="inlineStr">
        <x:is>
          <x:t>Да</x:t>
        </x:is>
      </x:c>
    </x:row>
    <x:row r="243" ht="26" customHeight="1">
      <x:c r="A243" s="1" t="inlineStr">
        <x:is>
          <x:t>Потребность в H1 среди 40+: 100%</x:t>
        </x:is>
      </x:c>
      <x:c r="B243" s="1" t="inlineStr">
        <x:is>
          <x:t>H1</x:t>
        </x:is>
      </x:c>
      <x:c r="C243" s="8">
        <x:v>0.14999999999999997</x:v>
      </x:c>
      <x:c r="D243" s="16">
        <x:v>0.13215129461673469</x:v>
      </x:c>
      <x:c r="E243" s="8">
        <x:v>0.0088100863077823135</x:v>
      </x:c>
      <x:c r="F243" s="12">
        <x:v>58146.569631363265</x:v>
      </x:c>
      <x:c r="G243" s="12">
        <x:v>8580000</x:v>
      </x:c>
      <x:c r="H243" s="8">
        <x:v>0.20772381509654764</x:v>
      </x:c>
      <x:c r="I243" s="8">
        <x:v>0.2097569119368051</x:v>
      </x:c>
      <x:c r="J243" s="8">
        <x:v>0.12287887653598596</x:v>
      </x:c>
      <x:c r="K243" s="8">
        <x:v>0.12402428320655351</x:v>
      </x:c>
      <x:c r="L243" s="16">
        <x:v>0.14999999999999997</x:v>
      </x:c>
      <x:c r="M243" s="16">
        <x:v>0.15132151294616733</x:v>
      </x:c>
      <x:c r="N243" s="16">
        <x:v>100.88100863077823</x:v>
      </x:c>
      <x:c r="O243" s="1" t="inlineStr">
        <x:is>
          <x:t>Да</x:t>
        </x:is>
      </x:c>
      <x:c r="P243" s="1" t="inlineStr">
        <x:is>
          <x:t>Да</x:t>
        </x:is>
      </x:c>
      <x:c r="Q243" s="1" t="inlineStr">
        <x:is>
          <x:t>Да</x:t>
        </x:is>
      </x:c>
      <x:c r="R243" s="1" t="inlineStr">
        <x:is>
          <x:t>Да</x:t>
        </x:is>
      </x:c>
      <x:c r="S243" s="1" t="inlineStr">
        <x:is>
          <x:t>Да</x:t>
        </x:is>
      </x:c>
    </x:row>
    <x:row r="244" ht="26" customHeight="1">
      <x:c r="A244" s="1" t="inlineStr">
        <x:is>
          <x:t>Потребность в H1 среди 40+: 100%</x:t>
        </x:is>
      </x:c>
      <x:c r="B244" s="1" t="inlineStr">
        <x:is>
          <x:t>H2</x:t>
        </x:is>
      </x:c>
      <x:c r="C244" s="8">
        <x:v>0.14999999999999997</x:v>
      </x:c>
      <x:c r="D244" s="16">
        <x:v>0.1658041983616115</x:v>
      </x:c>
      <x:c r="E244" s="8">
        <x:v>0.011053613224107434</x:v>
      </x:c>
      <x:c r="F244" s="12">
        <x:v>72953.847279109061</x:v>
      </x:c>
      <x:c r="G244" s="12">
        <x:v>6692400</x:v>
      </x:c>
      <x:c r="H244" s="8">
        <x:v>0.20772381509654764</x:v>
      </x:c>
      <x:c r="I244" s="8">
        <x:v>0.21025819192510231</x:v>
      </x:c>
      <x:c r="J244" s="8">
        <x:v>0.12287887653598596</x:v>
      </x:c>
      <x:c r="K244" s="8">
        <x:v>0.12526514043300177</x:v>
      </x:c>
      <x:c r="L244" s="16">
        <x:v>0.14999999999999997</x:v>
      </x:c>
      <x:c r="M244" s="16">
        <x:v>0.1516580419836161</x:v>
      </x:c>
      <x:c r="N244" s="16">
        <x:v>101.10536132241073</x:v>
      </x:c>
      <x:c r="O244" s="1" t="inlineStr">
        <x:is>
          <x:t>Да</x:t>
        </x:is>
      </x:c>
      <x:c r="P244" s="1" t="inlineStr">
        <x:is>
          <x:t>Да</x:t>
        </x:is>
      </x:c>
      <x:c r="Q244" s="1" t="inlineStr">
        <x:is>
          <x:t>Да</x:t>
        </x:is>
      </x:c>
      <x:c r="R244" s="1" t="inlineStr">
        <x:is>
          <x:t>Да</x:t>
        </x:is>
      </x:c>
      <x:c r="S244" s="1" t="inlineStr">
        <x:is>
          <x:t>Да</x:t>
        </x:is>
      </x:c>
    </x:row>
    <x:row r="245" ht="26" customHeight="1">
      <x:c r="A245" s="1" t="inlineStr">
        <x:is>
          <x:t>Потребность в H1 среди 40+: 100%</x:t>
        </x:is>
      </x:c>
      <x:c r="B245" s="1" t="inlineStr">
        <x:is>
          <x:t>H3</x:t>
        </x:is>
      </x:c>
      <x:c r="C245" s="8">
        <x:v>0.14999999999999997</x:v>
      </x:c>
      <x:c r="D245" s="16">
        <x:v>0.11559440827969335</x:v>
      </x:c>
      <x:c r="E245" s="8">
        <x:v>0.007706293885312891</x:v>
      </x:c>
      <x:c r="F245" s="12">
        <x:v>50861.539643065073</x:v>
      </x:c>
      <x:c r="G245" s="12">
        <x:v>5434000</x:v>
      </x:c>
      <x:c r="H245" s="8">
        <x:v>0.20772381509654764</x:v>
      </x:c>
      <x:c r="I245" s="8">
        <x:v>0.20950219060854297</x:v>
      </x:c>
      <x:c r="J245" s="8">
        <x:v>0.12287887653598596</x:v>
      </x:c>
      <x:c r="K245" s="8">
        <x:v>0.12388077823288472</x:v>
      </x:c>
      <x:c r="L245" s="16">
        <x:v>0.14999999999999997</x:v>
      </x:c>
      <x:c r="M245" s="16">
        <x:v>0.15115594408279692</x:v>
      </x:c>
      <x:c r="N245" s="16">
        <x:v>100.77062938853128</x:v>
      </x:c>
      <x:c r="O245" s="1" t="inlineStr">
        <x:is>
          <x:t>Да</x:t>
        </x:is>
      </x:c>
      <x:c r="P245" s="1" t="inlineStr">
        <x:is>
          <x:t>Да</x:t>
        </x:is>
      </x:c>
      <x:c r="Q245" s="1" t="inlineStr">
        <x:is>
          <x:t>Да</x:t>
        </x:is>
      </x:c>
      <x:c r="R245" s="1" t="inlineStr">
        <x:is>
          <x:t>Да</x:t>
        </x:is>
      </x:c>
      <x:c r="S245" s="1" t="inlineStr">
        <x:is>
          <x:t>Да</x:t>
        </x:is>
      </x:c>
    </x:row>
    <x:row r="246" ht="26" customHeight="1">
      <x:c r="A246" s="1" t="inlineStr">
        <x:is>
          <x:t>Потребность в H1 среди 40+: 100%</x:t>
        </x:is>
      </x:c>
      <x:c r="B246" s="1" t="inlineStr">
        <x:is>
          <x:t>H4</x:t>
        </x:is>
      </x:c>
      <x:c r="C246" s="8">
        <x:v>0.14999999999999997</x:v>
      </x:c>
      <x:c r="D246" s="16">
        <x:v>0.17609004900526382</x:v>
      </x:c>
      <x:c r="E246" s="8">
        <x:v>0.011739336600350923</x:v>
      </x:c>
      <x:c r="F246" s="12">
        <x:v>77479.621562316082</x:v>
      </x:c>
      <x:c r="G246" s="12">
        <x:v>7436000</x:v>
      </x:c>
      <x:c r="H246" s="8">
        <x:v>0.20772381509654764</x:v>
      </x:c>
      <x:c r="I246" s="8">
        <x:v>0.21041858177296657</x:v>
      </x:c>
      <x:c r="J246" s="8">
        <x:v>0.12287887653598596</x:v>
      </x:c>
      <x:c r="K246" s="8">
        <x:v>0.12515435196021063</x:v>
      </x:c>
      <x:c r="L246" s="16">
        <x:v>0.14999999999999997</x:v>
      </x:c>
      <x:c r="M246" s="16">
        <x:v>0.15176090049005261</x:v>
      </x:c>
      <x:c r="N246" s="16">
        <x:v>101.17393366003509</x:v>
      </x:c>
      <x:c r="O246" s="1" t="inlineStr">
        <x:is>
          <x:t>Да</x:t>
        </x:is>
      </x:c>
      <x:c r="P246" s="1" t="inlineStr">
        <x:is>
          <x:t>Да</x:t>
        </x:is>
      </x:c>
      <x:c r="Q246" s="1" t="inlineStr">
        <x:is>
          <x:t>Да</x:t>
        </x:is>
      </x:c>
      <x:c r="R246" s="1" t="inlineStr">
        <x:is>
          <x:t>Да</x:t>
        </x:is>
      </x:c>
      <x:c r="S246" s="1" t="inlineStr">
        <x:is>
          <x:t>Да</x:t>
        </x:is>
      </x:c>
    </x:row>
    <x:row r="247" ht="26" customHeight="1">
      <x:c r="A247" s="1" t="inlineStr">
        <x:is>
          <x:t>Потребность в H1 среди 40+: 100%</x:t>
        </x:is>
      </x:c>
      <x:c r="B247" s="1" t="inlineStr">
        <x:is>
          <x:t>H5</x:t>
        </x:is>
      </x:c>
      <x:c r="C247" s="8">
        <x:v>0.14999999999999997</x:v>
      </x:c>
      <x:c r="D247" s="16">
        <x:v>0.032635400819192133</x:v>
      </x:c>
      <x:c r="E247" s="8">
        <x:v>0.0021756933879461425</x:v>
      </x:c>
      <x:c r="F247" s="12">
        <x:v>14359.576360444538</x:v>
      </x:c>
      <x:c r="G247" s="12">
        <x:v>1830400</x:v>
      </x:c>
      <x:c r="H247" s="8">
        <x:v>0.20772381509654764</x:v>
      </x:c>
      <x:c r="I247" s="8">
        <x:v>0.20820198946752486</x:v>
      </x:c>
      <x:c r="J247" s="8">
        <x:v>0.12287887653598596</x:v>
      </x:c>
      <x:c r="K247" s="8">
        <x:v>0.12538929198361612</x:v>
      </x:c>
      <x:c r="L247" s="16">
        <x:v>0.14999999999999997</x:v>
      </x:c>
      <x:c r="M247" s="16">
        <x:v>0.15032635400819189</x:v>
      </x:c>
      <x:c r="N247" s="16">
        <x:v>100.21756933879462</x:v>
      </x:c>
      <x:c r="O247" s="1" t="inlineStr">
        <x:is>
          <x:t>Да</x:t>
        </x:is>
      </x:c>
      <x:c r="P247" s="1" t="inlineStr">
        <x:is>
          <x:t>Да</x:t>
        </x:is>
      </x:c>
      <x:c r="Q247" s="1" t="inlineStr">
        <x:is>
          <x:t>Да</x:t>
        </x:is>
      </x:c>
      <x:c r="R247" s="1" t="inlineStr">
        <x:is>
          <x:t>Да</x:t>
        </x:is>
      </x:c>
      <x:c r="S247" s="1" t="inlineStr">
        <x:is>
          <x:t>Да</x:t>
        </x:is>
      </x:c>
    </x:row>
    <x:row r="248" ht="26" customHeight="1">
      <x:c r="A248" s="1" t="inlineStr">
        <x:is>
          <x:t>Потребность в H1 среди 40+: 100%</x:t>
        </x:is>
      </x:c>
      <x:c r="B248" s="1" t="inlineStr">
        <x:is>
          <x:t>H6.1</x:t>
        </x:is>
      </x:c>
      <x:c r="C248" s="8">
        <x:v>0.14999999999999997</x:v>
      </x:c>
      <x:c r="D248" s="16">
        <x:v>0.018761761263895525</x:v>
      </x:c>
      <x:c r="E248" s="8">
        <x:v>0.0012507840842597019</x:v>
      </x:c>
      <x:c r="F248" s="12">
        <x:v>8255.1749561140314</x:v>
      </x:c>
      <x:c r="G248" s="12">
        <x:v>1029600</x:v>
      </x:c>
      <x:c r="H248" s="8">
        <x:v>0.20772381509654764</x:v>
      </x:c>
      <x:c r="I248" s="8">
        <x:v>0.20799871269748388</x:v>
      </x:c>
      <x:c r="J248" s="8">
        <x:v>0.12287887653598596</x:v>
      </x:c>
      <x:c r="K248" s="8">
        <x:v>0.12432208894090108</x:v>
      </x:c>
      <x:c r="L248" s="16">
        <x:v>0.14999999999999997</x:v>
      </x:c>
      <x:c r="M248" s="16">
        <x:v>0.15018761761263894</x:v>
      </x:c>
      <x:c r="N248" s="16">
        <x:v>100.12507840842596</x:v>
      </x:c>
      <x:c r="O248" s="1" t="inlineStr">
        <x:is>
          <x:t>Да</x:t>
        </x:is>
      </x:c>
      <x:c r="P248" s="1" t="inlineStr">
        <x:is>
          <x:t>Да</x:t>
        </x:is>
      </x:c>
      <x:c r="Q248" s="1" t="inlineStr">
        <x:is>
          <x:t>Да</x:t>
        </x:is>
      </x:c>
      <x:c r="R248" s="1" t="inlineStr">
        <x:is>
          <x:t>Да</x:t>
        </x:is>
      </x:c>
      <x:c r="S248" s="1" t="inlineStr">
        <x:is>
          <x:t>Да</x:t>
        </x:is>
      </x:c>
    </x:row>
    <x:row r="249" ht="26" customHeight="1">
      <x:c r="A249" s="1" t="inlineStr">
        <x:is>
          <x:t>Потребность в H1 среди 40+: 100%</x:t>
        </x:is>
      </x:c>
      <x:c r="B249" s="1" t="inlineStr">
        <x:is>
          <x:t>H6.2</x:t>
        </x:is>
      </x:c>
      <x:c r="C249" s="8">
        <x:v>0.14999999999999997</x:v>
      </x:c>
      <x:c r="D249" s="16">
        <x:v>0.018761761263895525</x:v>
      </x:c>
      <x:c r="E249" s="8">
        <x:v>0.0012507840842597019</x:v>
      </x:c>
      <x:c r="F249" s="12">
        <x:v>8255.1749561140314</x:v>
      </x:c>
      <x:c r="G249" s="12">
        <x:v>1029600</x:v>
      </x:c>
      <x:c r="H249" s="8">
        <x:v>0.20772381509654764</x:v>
      </x:c>
      <x:c r="I249" s="8">
        <x:v>0.20799871269748388</x:v>
      </x:c>
      <x:c r="J249" s="8">
        <x:v>0.12287887653598596</x:v>
      </x:c>
      <x:c r="K249" s="8">
        <x:v>0.12432208894090108</x:v>
      </x:c>
      <x:c r="L249" s="16">
        <x:v>0.14999999999999997</x:v>
      </x:c>
      <x:c r="M249" s="16">
        <x:v>0.15018761761263894</x:v>
      </x:c>
      <x:c r="N249" s="16">
        <x:v>100.12507840842596</x:v>
      </x:c>
      <x:c r="O249" s="1" t="inlineStr">
        <x:is>
          <x:t>Да</x:t>
        </x:is>
      </x:c>
      <x:c r="P249" s="1" t="inlineStr">
        <x:is>
          <x:t>Да</x:t>
        </x:is>
      </x:c>
      <x:c r="Q249" s="1" t="inlineStr">
        <x:is>
          <x:t>Да</x:t>
        </x:is>
      </x:c>
      <x:c r="R249" s="1" t="inlineStr">
        <x:is>
          <x:t>Да</x:t>
        </x:is>
      </x:c>
      <x:c r="S249" s="1" t="inlineStr">
        <x:is>
          <x:t>Да</x:t>
        </x:is>
      </x:c>
    </x:row>
    <x:row r="250" ht="26" customHeight="1">
      <x:c r="A250" s="1" t="inlineStr">
        <x:is>
          <x:t>Потребность в H1 среди 40+: 100%</x:t>
        </x:is>
      </x:c>
      <x:c r="B250" s="1" t="inlineStr">
        <x:is>
          <x:t>H6.3</x:t>
        </x:is>
      </x:c>
      <x:c r="C250" s="8">
        <x:v>0.14999999999999997</x:v>
      </x:c>
      <x:c r="D250" s="16">
        <x:v>0.018761761263895525</x:v>
      </x:c>
      <x:c r="E250" s="8">
        <x:v>0.0012507840842597019</x:v>
      </x:c>
      <x:c r="F250" s="12">
        <x:v>8255.1749561140314</x:v>
      </x:c>
      <x:c r="G250" s="12">
        <x:v>1029600</x:v>
      </x:c>
      <x:c r="H250" s="8">
        <x:v>0.20772381509654764</x:v>
      </x:c>
      <x:c r="I250" s="8">
        <x:v>0.20799871269748388</x:v>
      </x:c>
      <x:c r="J250" s="8">
        <x:v>0.12287887653598596</x:v>
      </x:c>
      <x:c r="K250" s="8">
        <x:v>0.12432208894090108</x:v>
      </x:c>
      <x:c r="L250" s="16">
        <x:v>0.14999999999999997</x:v>
      </x:c>
      <x:c r="M250" s="16">
        <x:v>0.15018761761263894</x:v>
      </x:c>
      <x:c r="N250" s="16">
        <x:v>100.12507840842596</x:v>
      </x:c>
      <x:c r="O250" s="1" t="inlineStr">
        <x:is>
          <x:t>Да</x:t>
        </x:is>
      </x:c>
      <x:c r="P250" s="1" t="inlineStr">
        <x:is>
          <x:t>Да</x:t>
        </x:is>
      </x:c>
      <x:c r="Q250" s="1" t="inlineStr">
        <x:is>
          <x:t>Да</x:t>
        </x:is>
      </x:c>
      <x:c r="R250" s="1" t="inlineStr">
        <x:is>
          <x:t>Да</x:t>
        </x:is>
      </x:c>
      <x:c r="S250" s="1" t="inlineStr">
        <x:is>
          <x:t>Да</x:t>
        </x:is>
      </x:c>
    </x:row>
    <x:row r="251" ht="26" customHeight="1">
      <x:c r="A251" s="1" t="inlineStr">
        <x:is>
          <x:t>Большое Избранное: 20%</x:t>
        </x:is>
      </x:c>
      <x:c r="B251" s="1" t="inlineStr">
        <x:is>
          <x:t>H1</x:t>
        </x:is>
      </x:c>
      <x:c r="C251" s="8">
        <x:v>0.14999999999999997</x:v>
      </x:c>
      <x:c r="D251" s="16">
        <x:v>0.052860517846693447</x:v>
      </x:c>
      <x:c r="E251" s="8">
        <x:v>0.0035240345231128973</x:v>
      </x:c>
      <x:c r="F251" s="12">
        <x:v>23258.62785254512</x:v>
      </x:c>
      <x:c r="G251" s="12">
        <x:v>3432000</x:v>
      </x:c>
      <x:c r="H251" s="8">
        <x:v>0.20772381509654764</x:v>
      </x:c>
      <x:c r="I251" s="8">
        <x:v>0.20853705383265064</x:v>
      </x:c>
      <x:c r="J251" s="8">
        <x:v>0.12287887653598596</x:v>
      </x:c>
      <x:c r="K251" s="8">
        <x:v>0.12333703920421299</x:v>
      </x:c>
      <x:c r="L251" s="16">
        <x:v>0.14999999999999997</x:v>
      </x:c>
      <x:c r="M251" s="16">
        <x:v>0.15052860517846692</x:v>
      </x:c>
      <x:c r="N251" s="16">
        <x:v>100.35240345231129</x:v>
      </x:c>
      <x:c r="O251" s="1" t="inlineStr">
        <x:is>
          <x:t>Да</x:t>
        </x:is>
      </x:c>
      <x:c r="P251" s="1" t="inlineStr">
        <x:is>
          <x:t>Да</x:t>
        </x:is>
      </x:c>
      <x:c r="Q251" s="1" t="inlineStr">
        <x:is>
          <x:t>Да</x:t>
        </x:is>
      </x:c>
      <x:c r="R251" s="1" t="inlineStr">
        <x:is>
          <x:t>Да</x:t>
        </x:is>
      </x:c>
      <x:c r="S251" s="1" t="inlineStr">
        <x:is>
          <x:t>Да</x:t>
        </x:is>
      </x:c>
    </x:row>
    <x:row r="252" ht="26" customHeight="1">
      <x:c r="A252" s="1" t="inlineStr">
        <x:is>
          <x:t>Большое Избранное: 20%</x:t>
        </x:is>
      </x:c>
      <x:c r="B252" s="1" t="inlineStr">
        <x:is>
          <x:t>H2</x:t>
        </x:is>
      </x:c>
      <x:c r="C252" s="8">
        <x:v>0.14999999999999997</x:v>
      </x:c>
      <x:c r="D252" s="16">
        <x:v>0.16580419836161572</x:v>
      </x:c>
      <x:c r="E252" s="8">
        <x:v>0.011053613224107717</x:v>
      </x:c>
      <x:c r="F252" s="12">
        <x:v>72953.847279110923</x:v>
      </x:c>
      <x:c r="G252" s="12">
        <x:v>6692400</x:v>
      </x:c>
      <x:c r="H252" s="8">
        <x:v>0.20772381509654764</x:v>
      </x:c>
      <x:c r="I252" s="8">
        <x:v>0.21025819192510239</x:v>
      </x:c>
      <x:c r="J252" s="8">
        <x:v>0.12287887653598596</x:v>
      </x:c>
      <x:c r="K252" s="8">
        <x:v>0.12526514043300177</x:v>
      </x:c>
      <x:c r="L252" s="16">
        <x:v>0.14999999999999997</x:v>
      </x:c>
      <x:c r="M252" s="16">
        <x:v>0.15165804198361613</x:v>
      </x:c>
      <x:c r="N252" s="16">
        <x:v>101.10536132241077</x:v>
      </x:c>
      <x:c r="O252" s="1" t="inlineStr">
        <x:is>
          <x:t>Да</x:t>
        </x:is>
      </x:c>
      <x:c r="P252" s="1" t="inlineStr">
        <x:is>
          <x:t>Да</x:t>
        </x:is>
      </x:c>
      <x:c r="Q252" s="1" t="inlineStr">
        <x:is>
          <x:t>Да</x:t>
        </x:is>
      </x:c>
      <x:c r="R252" s="1" t="inlineStr">
        <x:is>
          <x:t>Да</x:t>
        </x:is>
      </x:c>
      <x:c r="S252" s="1" t="inlineStr">
        <x:is>
          <x:t>Да</x:t>
        </x:is>
      </x:c>
    </x:row>
    <x:row r="253" ht="26" customHeight="1">
      <x:c r="A253" s="1" t="inlineStr">
        <x:is>
          <x:t>Большое Избранное: 20%</x:t>
        </x:is>
      </x:c>
      <x:c r="B253" s="1" t="inlineStr">
        <x:is>
          <x:t>H3</x:t>
        </x:is>
      </x:c>
      <x:c r="C253" s="8">
        <x:v>0.14999999999999997</x:v>
      </x:c>
      <x:c r="D253" s="16">
        <x:v>0.11559440827969547</x:v>
      </x:c>
      <x:c r="E253" s="8">
        <x:v>0.0077062938853130316</x:v>
      </x:c>
      <x:c r="F253" s="12">
        <x:v>50861.539643066004</x:v>
      </x:c>
      <x:c r="G253" s="12">
        <x:v>5434000</x:v>
      </x:c>
      <x:c r="H253" s="8">
        <x:v>0.20772381509654764</x:v>
      </x:c>
      <x:c r="I253" s="8">
        <x:v>0.20950219060854297</x:v>
      </x:c>
      <x:c r="J253" s="8">
        <x:v>0.12287887653598596</x:v>
      </x:c>
      <x:c r="K253" s="8">
        <x:v>0.12388077823288474</x:v>
      </x:c>
      <x:c r="L253" s="16">
        <x:v>0.14999999999999997</x:v>
      </x:c>
      <x:c r="M253" s="16">
        <x:v>0.15115594408279692</x:v>
      </x:c>
      <x:c r="N253" s="16">
        <x:v>100.7706293885313</x:v>
      </x:c>
      <x:c r="O253" s="1" t="inlineStr">
        <x:is>
          <x:t>Да</x:t>
        </x:is>
      </x:c>
      <x:c r="P253" s="1" t="inlineStr">
        <x:is>
          <x:t>Да</x:t>
        </x:is>
      </x:c>
      <x:c r="Q253" s="1" t="inlineStr">
        <x:is>
          <x:t>Да</x:t>
        </x:is>
      </x:c>
      <x:c r="R253" s="1" t="inlineStr">
        <x:is>
          <x:t>Да</x:t>
        </x:is>
      </x:c>
      <x:c r="S253" s="1" t="inlineStr">
        <x:is>
          <x:t>Да</x:t>
        </x:is>
      </x:c>
    </x:row>
    <x:row r="254" ht="26" customHeight="1">
      <x:c r="A254" s="1" t="inlineStr">
        <x:is>
          <x:t>Большое Избранное: 20%</x:t>
        </x:is>
      </x:c>
      <x:c r="B254" s="1" t="inlineStr">
        <x:is>
          <x:t>H4</x:t>
        </x:is>
      </x:c>
      <x:c r="C254" s="8">
        <x:v>0.14999999999999997</x:v>
      </x:c>
      <x:c r="D254" s="16">
        <x:v>0.17609004900526595</x:v>
      </x:c>
      <x:c r="E254" s="8">
        <x:v>0.011739336600351064</x:v>
      </x:c>
      <x:c r="F254" s="12">
        <x:v>77479.621562317014</x:v>
      </x:c>
      <x:c r="G254" s="12">
        <x:v>7436000</x:v>
      </x:c>
      <x:c r="H254" s="8">
        <x:v>0.20772381509654764</x:v>
      </x:c>
      <x:c r="I254" s="8">
        <x:v>0.2104185817729666</x:v>
      </x:c>
      <x:c r="J254" s="8">
        <x:v>0.12287887653598596</x:v>
      </x:c>
      <x:c r="K254" s="8">
        <x:v>0.12515435196021066</x:v>
      </x:c>
      <x:c r="L254" s="16">
        <x:v>0.14999999999999997</x:v>
      </x:c>
      <x:c r="M254" s="16">
        <x:v>0.15176090049005264</x:v>
      </x:c>
      <x:c r="N254" s="16">
        <x:v>101.17393366003512</x:v>
      </x:c>
      <x:c r="O254" s="1" t="inlineStr">
        <x:is>
          <x:t>Да</x:t>
        </x:is>
      </x:c>
      <x:c r="P254" s="1" t="inlineStr">
        <x:is>
          <x:t>Да</x:t>
        </x:is>
      </x:c>
      <x:c r="Q254" s="1" t="inlineStr">
        <x:is>
          <x:t>Да</x:t>
        </x:is>
      </x:c>
      <x:c r="R254" s="1" t="inlineStr">
        <x:is>
          <x:t>Да</x:t>
        </x:is>
      </x:c>
      <x:c r="S254" s="1" t="inlineStr">
        <x:is>
          <x:t>Да</x:t>
        </x:is>
      </x:c>
    </x:row>
    <x:row r="255" ht="26" customHeight="1">
      <x:c r="A255" s="1" t="inlineStr">
        <x:is>
          <x:t>Большое Избранное: 20%</x:t>
        </x:is>
      </x:c>
      <x:c r="B255" s="1" t="inlineStr">
        <x:is>
          <x:t>H5</x:t>
        </x:is>
      </x:c>
      <x:c r="C255" s="8">
        <x:v>0.14999999999999997</x:v>
      </x:c>
      <x:c r="D255" s="16">
        <x:v>0.025950175541249863</x:v>
      </x:c>
      <x:c r="E255" s="8">
        <x:v>0.0017300117027499913</x:v>
      </x:c>
      <x:c r="F255" s="12">
        <x:v>11418.077238149941</x:v>
      </x:c>
      <x:c r="G255" s="12">
        <x:v>1487200</x:v>
      </x:c>
      <x:c r="H255" s="8">
        <x:v>0.20772381509654764</x:v>
      </x:c>
      <x:c r="I255" s="8">
        <x:v>0.20810403744880041</x:v>
      </x:c>
      <x:c r="J255" s="8">
        <x:v>0.12287887653598596</x:v>
      </x:c>
      <x:c r="K255" s="8">
        <x:v>0.12487504388531305</x:v>
      </x:c>
      <x:c r="L255" s="16">
        <x:v>0.14999999999999997</x:v>
      </x:c>
      <x:c r="M255" s="16">
        <x:v>0.15025950175541247</x:v>
      </x:c>
      <x:c r="N255" s="16">
        <x:v>100.17300117027499</x:v>
      </x:c>
      <x:c r="O255" s="1" t="inlineStr">
        <x:is>
          <x:t>Да</x:t>
        </x:is>
      </x:c>
      <x:c r="P255" s="1" t="inlineStr">
        <x:is>
          <x:t>Да</x:t>
        </x:is>
      </x:c>
      <x:c r="Q255" s="1" t="inlineStr">
        <x:is>
          <x:t>Да</x:t>
        </x:is>
      </x:c>
      <x:c r="R255" s="1" t="inlineStr">
        <x:is>
          <x:t>Да</x:t>
        </x:is>
      </x:c>
      <x:c r="S255" s="1" t="inlineStr">
        <x:is>
          <x:t>Да</x:t>
        </x:is>
      </x:c>
    </x:row>
    <x:row r="256" ht="26" customHeight="1">
      <x:c r="A256" s="1" t="inlineStr">
        <x:is>
          <x:t>Большое Избранное: 20%</x:t>
        </x:is>
      </x:c>
      <x:c r="B256" s="1" t="inlineStr">
        <x:is>
          <x:t>H6.1</x:t>
        </x:is>
      </x:c>
      <x:c r="C256" s="8">
        <x:v>0.14999999999999997</x:v>
      </x:c>
      <x:c r="D256" s="16">
        <x:v>0.014304944411936131</x:v>
      </x:c>
      <x:c r="E256" s="8">
        <x:v>0.00095366296079574221</x:v>
      </x:c>
      <x:c r="F256" s="12">
        <x:v>6294.1755412518978</x:v>
      </x:c>
      <x:c r="G256" s="12">
        <x:v>800800</x:v>
      </x:c>
      <x:c r="H256" s="8">
        <x:v>0.20772381509654764</x:v>
      </x:c>
      <x:c r="I256" s="8">
        <x:v>0.20793341135166762</x:v>
      </x:c>
      <x:c r="J256" s="8">
        <x:v>0.12287887653598596</x:v>
      </x:c>
      <x:c r="K256" s="8">
        <x:v>0.12397925687536572</x:v>
      </x:c>
      <x:c r="L256" s="16">
        <x:v>0.14999999999999997</x:v>
      </x:c>
      <x:c r="M256" s="16">
        <x:v>0.15014304944411935</x:v>
      </x:c>
      <x:c r="N256" s="16">
        <x:v>100.09536629607958</x:v>
      </x:c>
      <x:c r="O256" s="1" t="inlineStr">
        <x:is>
          <x:t>Да</x:t>
        </x:is>
      </x:c>
      <x:c r="P256" s="1" t="inlineStr">
        <x:is>
          <x:t>Да</x:t>
        </x:is>
      </x:c>
      <x:c r="Q256" s="1" t="inlineStr">
        <x:is>
          <x:t>Да</x:t>
        </x:is>
      </x:c>
      <x:c r="R256" s="1" t="inlineStr">
        <x:is>
          <x:t>Да</x:t>
        </x:is>
      </x:c>
      <x:c r="S256" s="1" t="inlineStr">
        <x:is>
          <x:t>Да</x:t>
        </x:is>
      </x:c>
    </x:row>
    <x:row r="257" ht="26" customHeight="1">
      <x:c r="A257" s="1" t="inlineStr">
        <x:is>
          <x:t>Большое Избранное: 20%</x:t>
        </x:is>
      </x:c>
      <x:c r="B257" s="1" t="inlineStr">
        <x:is>
          <x:t>H6.2</x:t>
        </x:is>
      </x:c>
      <x:c r="C257" s="8">
        <x:v>0.14999999999999997</x:v>
      </x:c>
      <x:c r="D257" s="16">
        <x:v>0.014304944411936131</x:v>
      </x:c>
      <x:c r="E257" s="8">
        <x:v>0.00095366296079574221</x:v>
      </x:c>
      <x:c r="F257" s="12">
        <x:v>6294.1755412518978</x:v>
      </x:c>
      <x:c r="G257" s="12">
        <x:v>800800</x:v>
      </x:c>
      <x:c r="H257" s="8">
        <x:v>0.20772381509654764</x:v>
      </x:c>
      <x:c r="I257" s="8">
        <x:v>0.20793341135166762</x:v>
      </x:c>
      <x:c r="J257" s="8">
        <x:v>0.12287887653598596</x:v>
      </x:c>
      <x:c r="K257" s="8">
        <x:v>0.12397925687536572</x:v>
      </x:c>
      <x:c r="L257" s="16">
        <x:v>0.14999999999999997</x:v>
      </x:c>
      <x:c r="M257" s="16">
        <x:v>0.15014304944411935</x:v>
      </x:c>
      <x:c r="N257" s="16">
        <x:v>100.09536629607958</x:v>
      </x:c>
      <x:c r="O257" s="1" t="inlineStr">
        <x:is>
          <x:t>Да</x:t>
        </x:is>
      </x:c>
      <x:c r="P257" s="1" t="inlineStr">
        <x:is>
          <x:t>Да</x:t>
        </x:is>
      </x:c>
      <x:c r="Q257" s="1" t="inlineStr">
        <x:is>
          <x:t>Да</x:t>
        </x:is>
      </x:c>
      <x:c r="R257" s="1" t="inlineStr">
        <x:is>
          <x:t>Да</x:t>
        </x:is>
      </x:c>
      <x:c r="S257" s="1" t="inlineStr">
        <x:is>
          <x:t>Да</x:t>
        </x:is>
      </x:c>
    </x:row>
    <x:row r="258" ht="26" customHeight="1">
      <x:c r="A258" s="1" t="inlineStr">
        <x:is>
          <x:t>Большое Избранное: 20%</x:t>
        </x:is>
      </x:c>
      <x:c r="B258" s="1" t="inlineStr">
        <x:is>
          <x:t>H6.3</x:t>
        </x:is>
      </x:c>
      <x:c r="C258" s="8">
        <x:v>0.14999999999999997</x:v>
      </x:c>
      <x:c r="D258" s="16">
        <x:v>0.014304944411936131</x:v>
      </x:c>
      <x:c r="E258" s="8">
        <x:v>0.00095366296079574221</x:v>
      </x:c>
      <x:c r="F258" s="12">
        <x:v>6294.1755412518978</x:v>
      </x:c>
      <x:c r="G258" s="12">
        <x:v>800800</x:v>
      </x:c>
      <x:c r="H258" s="8">
        <x:v>0.20772381509654764</x:v>
      </x:c>
      <x:c r="I258" s="8">
        <x:v>0.20793341135166762</x:v>
      </x:c>
      <x:c r="J258" s="8">
        <x:v>0.12287887653598596</x:v>
      </x:c>
      <x:c r="K258" s="8">
        <x:v>0.12397925687536572</x:v>
      </x:c>
      <x:c r="L258" s="16">
        <x:v>0.14999999999999997</x:v>
      </x:c>
      <x:c r="M258" s="16">
        <x:v>0.15014304944411935</x:v>
      </x:c>
      <x:c r="N258" s="16">
        <x:v>100.09536629607958</x:v>
      </x:c>
      <x:c r="O258" s="1" t="inlineStr">
        <x:is>
          <x:t>Да</x:t>
        </x:is>
      </x:c>
      <x:c r="P258" s="1" t="inlineStr">
        <x:is>
          <x:t>Да</x:t>
        </x:is>
      </x:c>
      <x:c r="Q258" s="1" t="inlineStr">
        <x:is>
          <x:t>Да</x:t>
        </x:is>
      </x:c>
      <x:c r="R258" s="1" t="inlineStr">
        <x:is>
          <x:t>Да</x:t>
        </x:is>
      </x:c>
      <x:c r="S258" s="1" t="inlineStr">
        <x:is>
          <x:t>Да</x:t>
        </x:is>
      </x:c>
    </x:row>
    <x:row r="259" ht="26" customHeight="1">
      <x:c r="A259" s="1" t="inlineStr">
        <x:is>
          <x:t>Большое Избранное: 60%</x:t>
        </x:is>
      </x:c>
      <x:c r="B259" s="1" t="inlineStr">
        <x:is>
          <x:t>H1</x:t>
        </x:is>
      </x:c>
      <x:c r="C259" s="8">
        <x:v>0.14999999999999999</x:v>
      </x:c>
      <x:c r="D259" s="16">
        <x:v>0.052860517846695577</x:v>
      </x:c>
      <x:c r="E259" s="8">
        <x:v>0.0035240345231130382</x:v>
      </x:c>
      <x:c r="F259" s="12">
        <x:v>23258.627852546051</x:v>
      </x:c>
      <x:c r="G259" s="12">
        <x:v>3432000</x:v>
      </x:c>
      <x:c r="H259" s="8">
        <x:v>0.20772381509654766</x:v>
      </x:c>
      <x:c r="I259" s="8">
        <x:v>0.20853705383265064</x:v>
      </x:c>
      <x:c r="J259" s="8">
        <x:v>0.12287887653598596</x:v>
      </x:c>
      <x:c r="K259" s="8">
        <x:v>0.12333703920421296</x:v>
      </x:c>
      <x:c r="L259" s="16">
        <x:v>0.14999999999999999</x:v>
      </x:c>
      <x:c r="M259" s="16">
        <x:v>0.15052860517846695</x:v>
      </x:c>
      <x:c r="N259" s="16">
        <x:v>100.35240345231131</x:v>
      </x:c>
      <x:c r="O259" s="1" t="inlineStr">
        <x:is>
          <x:t>Да</x:t>
        </x:is>
      </x:c>
      <x:c r="P259" s="1" t="inlineStr">
        <x:is>
          <x:t>Да</x:t>
        </x:is>
      </x:c>
      <x:c r="Q259" s="1" t="inlineStr">
        <x:is>
          <x:t>Да</x:t>
        </x:is>
      </x:c>
      <x:c r="R259" s="1" t="inlineStr">
        <x:is>
          <x:t>Да</x:t>
        </x:is>
      </x:c>
      <x:c r="S259" s="1" t="inlineStr">
        <x:is>
          <x:t>Да</x:t>
        </x:is>
      </x:c>
    </x:row>
    <x:row r="260" ht="26" customHeight="1">
      <x:c r="A260" s="1" t="inlineStr">
        <x:is>
          <x:t>Большое Избранное: 60%</x:t>
        </x:is>
      </x:c>
      <x:c r="B260" s="1" t="inlineStr">
        <x:is>
          <x:t>H2</x:t>
        </x:is>
      </x:c>
      <x:c r="C260" s="8">
        <x:v>0.14999999999999999</x:v>
      </x:c>
      <x:c r="D260" s="16">
        <x:v>0.16580419836161786</x:v>
      </x:c>
      <x:c r="E260" s="8">
        <x:v>0.011053613224107858</x:v>
      </x:c>
      <x:c r="F260" s="12">
        <x:v>72953.847279111855</x:v>
      </x:c>
      <x:c r="G260" s="12">
        <x:v>6692400</x:v>
      </x:c>
      <x:c r="H260" s="8">
        <x:v>0.20772381509654766</x:v>
      </x:c>
      <x:c r="I260" s="8">
        <x:v>0.21025819192510242</x:v>
      </x:c>
      <x:c r="J260" s="8">
        <x:v>0.12287887653598596</x:v>
      </x:c>
      <x:c r="K260" s="8">
        <x:v>0.12526514043300174</x:v>
      </x:c>
      <x:c r="L260" s="16">
        <x:v>0.14999999999999999</x:v>
      </x:c>
      <x:c r="M260" s="16">
        <x:v>0.15165804198361618</x:v>
      </x:c>
      <x:c r="N260" s="16">
        <x:v>101.10536132241079</x:v>
      </x:c>
      <x:c r="O260" s="1" t="inlineStr">
        <x:is>
          <x:t>Да</x:t>
        </x:is>
      </x:c>
      <x:c r="P260" s="1" t="inlineStr">
        <x:is>
          <x:t>Да</x:t>
        </x:is>
      </x:c>
      <x:c r="Q260" s="1" t="inlineStr">
        <x:is>
          <x:t>Да</x:t>
        </x:is>
      </x:c>
      <x:c r="R260" s="1" t="inlineStr">
        <x:is>
          <x:t>Да</x:t>
        </x:is>
      </x:c>
      <x:c r="S260" s="1" t="inlineStr">
        <x:is>
          <x:t>Да</x:t>
        </x:is>
      </x:c>
    </x:row>
    <x:row r="261" ht="26" customHeight="1">
      <x:c r="A261" s="1" t="inlineStr">
        <x:is>
          <x:t>Большое Избранное: 60%</x:t>
        </x:is>
      </x:c>
      <x:c r="B261" s="1" t="inlineStr">
        <x:is>
          <x:t>H3</x:t>
        </x:is>
      </x:c>
      <x:c r="C261" s="8">
        <x:v>0.14999999999999999</x:v>
      </x:c>
      <x:c r="D261" s="16">
        <x:v>0.11559440827969547</x:v>
      </x:c>
      <x:c r="E261" s="8">
        <x:v>0.0077062938853130307</x:v>
      </x:c>
      <x:c r="F261" s="12">
        <x:v>50861.539643066004</x:v>
      </x:c>
      <x:c r="G261" s="12">
        <x:v>5434000</x:v>
      </x:c>
      <x:c r="H261" s="8">
        <x:v>0.20772381509654766</x:v>
      </x:c>
      <x:c r="I261" s="8">
        <x:v>0.20950219060854297</x:v>
      </x:c>
      <x:c r="J261" s="8">
        <x:v>0.12287887653598596</x:v>
      </x:c>
      <x:c r="K261" s="8">
        <x:v>0.12388077823288469</x:v>
      </x:c>
      <x:c r="L261" s="16">
        <x:v>0.14999999999999999</x:v>
      </x:c>
      <x:c r="M261" s="16">
        <x:v>0.15115594408279695</x:v>
      </x:c>
      <x:c r="N261" s="16">
        <x:v>100.7706293885313</x:v>
      </x:c>
      <x:c r="O261" s="1" t="inlineStr">
        <x:is>
          <x:t>Да</x:t>
        </x:is>
      </x:c>
      <x:c r="P261" s="1" t="inlineStr">
        <x:is>
          <x:t>Да</x:t>
        </x:is>
      </x:c>
      <x:c r="Q261" s="1" t="inlineStr">
        <x:is>
          <x:t>Да</x:t>
        </x:is>
      </x:c>
      <x:c r="R261" s="1" t="inlineStr">
        <x:is>
          <x:t>Да</x:t>
        </x:is>
      </x:c>
      <x:c r="S261" s="1" t="inlineStr">
        <x:is>
          <x:t>Да</x:t>
        </x:is>
      </x:c>
    </x:row>
    <x:row r="262" ht="26" customHeight="1">
      <x:c r="A262" s="1" t="inlineStr">
        <x:is>
          <x:t>Большое Избранное: 60%</x:t>
        </x:is>
      </x:c>
      <x:c r="B262" s="1" t="inlineStr">
        <x:is>
          <x:t>H4</x:t>
        </x:is>
      </x:c>
      <x:c r="C262" s="8">
        <x:v>0.14999999999999999</x:v>
      </x:c>
      <x:c r="D262" s="16">
        <x:v>0.17609004900526595</x:v>
      </x:c>
      <x:c r="E262" s="8">
        <x:v>0.011739336600351064</x:v>
      </x:c>
      <x:c r="F262" s="12">
        <x:v>77479.621562317014</x:v>
      </x:c>
      <x:c r="G262" s="12">
        <x:v>7436000</x:v>
      </x:c>
      <x:c r="H262" s="8">
        <x:v>0.20772381509654766</x:v>
      </x:c>
      <x:c r="I262" s="8">
        <x:v>0.21041858177296666</x:v>
      </x:c>
      <x:c r="J262" s="8">
        <x:v>0.12287887653598596</x:v>
      </x:c>
      <x:c r="K262" s="8">
        <x:v>0.12515435196021063</x:v>
      </x:c>
      <x:c r="L262" s="16">
        <x:v>0.14999999999999999</x:v>
      </x:c>
      <x:c r="M262" s="16">
        <x:v>0.15176090049005267</x:v>
      </x:c>
      <x:c r="N262" s="16">
        <x:v>101.1739336600351</x:v>
      </x:c>
      <x:c r="O262" s="1" t="inlineStr">
        <x:is>
          <x:t>Да</x:t>
        </x:is>
      </x:c>
      <x:c r="P262" s="1" t="inlineStr">
        <x:is>
          <x:t>Да</x:t>
        </x:is>
      </x:c>
      <x:c r="Q262" s="1" t="inlineStr">
        <x:is>
          <x:t>Да</x:t>
        </x:is>
      </x:c>
      <x:c r="R262" s="1" t="inlineStr">
        <x:is>
          <x:t>Да</x:t>
        </x:is>
      </x:c>
      <x:c r="S262" s="1" t="inlineStr">
        <x:is>
          <x:t>Да</x:t>
        </x:is>
      </x:c>
    </x:row>
    <x:row r="263" ht="26" customHeight="1">
      <x:c r="A263" s="1" t="inlineStr">
        <x:is>
          <x:t>Большое Избранное: 60%</x:t>
        </x:is>
      </x:c>
      <x:c r="B263" s="1" t="inlineStr">
        <x:is>
          <x:t>H5</x:t>
        </x:is>
      </x:c>
      <x:c r="C263" s="8">
        <x:v>0.14999999999999999</x:v>
      </x:c>
      <x:c r="D263" s="16">
        <x:v>0.038026711527209475</x:v>
      </x:c>
      <x:c r="E263" s="8">
        <x:v>0.002535114101813965</x:v>
      </x:c>
      <x:c r="F263" s="12">
        <x:v>16731.753071972169</x:v>
      </x:c>
      <x:c r="G263" s="12">
        <x:v>2173600</x:v>
      </x:c>
      <x:c r="H263" s="8">
        <x:v>0.20772381509654766</x:v>
      </x:c>
      <x:c r="I263" s="8">
        <x:v>0.20828098303101228</x:v>
      </x:c>
      <x:c r="J263" s="8">
        <x:v>0.12287887653598596</x:v>
      </x:c>
      <x:c r="K263" s="8">
        <x:v>0.12580400819192508</x:v>
      </x:c>
      <x:c r="L263" s="16">
        <x:v>0.14999999999999999</x:v>
      </x:c>
      <x:c r="M263" s="16">
        <x:v>0.15038026711527208</x:v>
      </x:c>
      <x:c r="N263" s="16">
        <x:v>100.25351141018139</x:v>
      </x:c>
      <x:c r="O263" s="1" t="inlineStr">
        <x:is>
          <x:t>Да</x:t>
        </x:is>
      </x:c>
      <x:c r="P263" s="1" t="inlineStr">
        <x:is>
          <x:t>Да</x:t>
        </x:is>
      </x:c>
      <x:c r="Q263" s="1" t="inlineStr">
        <x:is>
          <x:t>Да</x:t>
        </x:is>
      </x:c>
      <x:c r="R263" s="1" t="inlineStr">
        <x:is>
          <x:t>Да</x:t>
        </x:is>
      </x:c>
      <x:c r="S263" s="1" t="inlineStr">
        <x:is>
          <x:t>Да</x:t>
        </x:is>
      </x:c>
    </x:row>
    <x:row r="264" ht="26" customHeight="1">
      <x:c r="A264" s="1" t="inlineStr">
        <x:is>
          <x:t>Большое Избранное: 60%</x:t>
        </x:is>
      </x:c>
      <x:c r="B264" s="1" t="inlineStr">
        <x:is>
          <x:t>H6.1</x:t>
        </x:is>
      </x:c>
      <x:c r="C264" s="8">
        <x:v>0.14999999999999999</x:v>
      </x:c>
      <x:c r="D264" s="16">
        <x:v>0.022355968402575872</x:v>
      </x:c>
      <x:c r="E264" s="8">
        <x:v>0.001490397893505058</x:v>
      </x:c>
      <x:c r="F264" s="12">
        <x:v>9836.6260971333832</x:v>
      </x:c>
      <x:c r="G264" s="12">
        <x:v>1258400</x:v>
      </x:c>
      <x:c r="H264" s="8">
        <x:v>0.20772381509654766</x:v>
      </x:c>
      <x:c r="I264" s="8">
        <x:v>0.20805137507314217</x:v>
      </x:c>
      <x:c r="J264" s="8">
        <x:v>0.12287887653598596</x:v>
      </x:c>
      <x:c r="K264" s="8">
        <x:v>0.12459856641310704</x:v>
      </x:c>
      <x:c r="L264" s="16">
        <x:v>0.14999999999999999</x:v>
      </x:c>
      <x:c r="M264" s="16">
        <x:v>0.15022355968402576</x:v>
      </x:c>
      <x:c r="N264" s="16">
        <x:v>100.1490397893505</x:v>
      </x:c>
      <x:c r="O264" s="1" t="inlineStr">
        <x:is>
          <x:t>Да</x:t>
        </x:is>
      </x:c>
      <x:c r="P264" s="1" t="inlineStr">
        <x:is>
          <x:t>Да</x:t>
        </x:is>
      </x:c>
      <x:c r="Q264" s="1" t="inlineStr">
        <x:is>
          <x:t>Да</x:t>
        </x:is>
      </x:c>
      <x:c r="R264" s="1" t="inlineStr">
        <x:is>
          <x:t>Да</x:t>
        </x:is>
      </x:c>
      <x:c r="S264" s="1" t="inlineStr">
        <x:is>
          <x:t>Да</x:t>
        </x:is>
      </x:c>
    </x:row>
    <x:row r="265" ht="26" customHeight="1">
      <x:c r="A265" s="1" t="inlineStr">
        <x:is>
          <x:t>Большое Избранное: 60%</x:t>
        </x:is>
      </x:c>
      <x:c r="B265" s="1" t="inlineStr">
        <x:is>
          <x:t>H6.2</x:t>
        </x:is>
      </x:c>
      <x:c r="C265" s="8">
        <x:v>0.14999999999999999</x:v>
      </x:c>
      <x:c r="D265" s="16">
        <x:v>0.022355968402575872</x:v>
      </x:c>
      <x:c r="E265" s="8">
        <x:v>0.001490397893505058</x:v>
      </x:c>
      <x:c r="F265" s="12">
        <x:v>9836.6260971333832</x:v>
      </x:c>
      <x:c r="G265" s="12">
        <x:v>1258400</x:v>
      </x:c>
      <x:c r="H265" s="8">
        <x:v>0.20772381509654766</x:v>
      </x:c>
      <x:c r="I265" s="8">
        <x:v>0.20805137507314217</x:v>
      </x:c>
      <x:c r="J265" s="8">
        <x:v>0.12287887653598596</x:v>
      </x:c>
      <x:c r="K265" s="8">
        <x:v>0.12459856641310704</x:v>
      </x:c>
      <x:c r="L265" s="16">
        <x:v>0.14999999999999999</x:v>
      </x:c>
      <x:c r="M265" s="16">
        <x:v>0.15022355968402576</x:v>
      </x:c>
      <x:c r="N265" s="16">
        <x:v>100.1490397893505</x:v>
      </x:c>
      <x:c r="O265" s="1" t="inlineStr">
        <x:is>
          <x:t>Да</x:t>
        </x:is>
      </x:c>
      <x:c r="P265" s="1" t="inlineStr">
        <x:is>
          <x:t>Да</x:t>
        </x:is>
      </x:c>
      <x:c r="Q265" s="1" t="inlineStr">
        <x:is>
          <x:t>Да</x:t>
        </x:is>
      </x:c>
      <x:c r="R265" s="1" t="inlineStr">
        <x:is>
          <x:t>Да</x:t>
        </x:is>
      </x:c>
      <x:c r="S265" s="1" t="inlineStr">
        <x:is>
          <x:t>Да</x:t>
        </x:is>
      </x:c>
    </x:row>
    <x:row r="266" ht="26" customHeight="1">
      <x:c r="A266" s="1" t="inlineStr">
        <x:is>
          <x:t>Большое Избранное: 60%</x:t>
        </x:is>
      </x:c>
      <x:c r="B266" s="1" t="inlineStr">
        <x:is>
          <x:t>H6.3</x:t>
        </x:is>
      </x:c>
      <x:c r="C266" s="8">
        <x:v>0.14999999999999999</x:v>
      </x:c>
      <x:c r="D266" s="16">
        <x:v>0.022355968402575872</x:v>
      </x:c>
      <x:c r="E266" s="8">
        <x:v>0.001490397893505058</x:v>
      </x:c>
      <x:c r="F266" s="12">
        <x:v>9836.6260971333832</x:v>
      </x:c>
      <x:c r="G266" s="12">
        <x:v>1258400</x:v>
      </x:c>
      <x:c r="H266" s="8">
        <x:v>0.20772381509654766</x:v>
      </x:c>
      <x:c r="I266" s="8">
        <x:v>0.20805137507314217</x:v>
      </x:c>
      <x:c r="J266" s="8">
        <x:v>0.12287887653598596</x:v>
      </x:c>
      <x:c r="K266" s="8">
        <x:v>0.12459856641310704</x:v>
      </x:c>
      <x:c r="L266" s="16">
        <x:v>0.14999999999999999</x:v>
      </x:c>
      <x:c r="M266" s="16">
        <x:v>0.15022355968402576</x:v>
      </x:c>
      <x:c r="N266" s="16">
        <x:v>100.1490397893505</x:v>
      </x:c>
      <x:c r="O266" s="1" t="inlineStr">
        <x:is>
          <x:t>Да</x:t>
        </x:is>
      </x:c>
      <x:c r="P266" s="1" t="inlineStr">
        <x:is>
          <x:t>Да</x:t>
        </x:is>
      </x:c>
      <x:c r="Q266" s="1" t="inlineStr">
        <x:is>
          <x:t>Да</x:t>
        </x:is>
      </x:c>
      <x:c r="R266" s="1" t="inlineStr">
        <x:is>
          <x:t>Да</x:t>
        </x:is>
      </x:c>
      <x:c r="S266" s="1" t="inlineStr">
        <x:is>
          <x:t>Да</x:t>
        </x:is>
      </x:c>
    </x:row>
    <x:row r="267" ht="26" customHeight="1">
      <x:c r="A267" s="1" t="inlineStr">
        <x:is>
          <x:t>40+ среди посетителей: ×0.5</x:t>
        </x:is>
      </x:c>
      <x:c r="B267" s="1" t="inlineStr">
        <x:is>
          <x:t>H1</x:t>
        </x:is>
      </x:c>
      <x:c r="C267" s="8">
        <x:v>0.14999999999999997</x:v>
      </x:c>
      <x:c r="D267" s="16">
        <x:v>0.040249822946174324</x:v>
      </x:c>
      <x:c r="E267" s="8">
        <x:v>0.0026833215297449552</x:v>
      </x:c>
      <x:c r="F267" s="12">
        <x:v>17709.922096316703</x:v>
      </x:c>
      <x:c r="G267" s="12">
        <x:v>1716000</x:v>
      </x:c>
      <x:c r="H267" s="8">
        <x:v>0.20844807748027044</x:v>
      </x:c>
      <x:c r="I267" s="8">
        <x:v>0.20906730552559621</x:v>
      </x:c>
      <x:c r="J267" s="8">
        <x:v>0.12177658451783228</x:v>
      </x:c>
      <x:c r="K267" s="8">
        <x:v>0.1225159612883705</x:v>
      </x:c>
      <x:c r="L267" s="16">
        <x:v>0.14999999999999997</x:v>
      </x:c>
      <x:c r="M267" s="16">
        <x:v>0.15040249822946172</x:v>
      </x:c>
      <x:c r="N267" s="16">
        <x:v>100.26833215297449</x:v>
      </x:c>
      <x:c r="O267" s="1" t="inlineStr">
        <x:is>
          <x:t>Да</x:t>
        </x:is>
      </x:c>
      <x:c r="P267" s="1" t="inlineStr">
        <x:is>
          <x:t>Да</x:t>
        </x:is>
      </x:c>
      <x:c r="Q267" s="1" t="inlineStr">
        <x:is>
          <x:t>Да</x:t>
        </x:is>
      </x:c>
      <x:c r="R267" s="1" t="inlineStr">
        <x:is>
          <x:t>Да</x:t>
        </x:is>
      </x:c>
      <x:c r="S267" s="1" t="inlineStr">
        <x:is>
          <x:t>Да</x:t>
        </x:is>
      </x:c>
    </x:row>
    <x:row r="268" ht="26" customHeight="1">
      <x:c r="A268" s="1" t="inlineStr">
        <x:is>
          <x:t>40+ среди посетителей: ×0.5</x:t>
        </x:is>
      </x:c>
      <x:c r="B268" s="1" t="inlineStr">
        <x:is>
          <x:t>H2</x:t>
        </x:is>
      </x:c>
      <x:c r="C268" s="8">
        <x:v>0.14999999999999997</x:v>
      </x:c>
      <x:c r="D268" s="16">
        <x:v>0.16620906923569273</x:v>
      </x:c>
      <x:c r="E268" s="8">
        <x:v>0.01108060461571285</x:v>
      </x:c>
      <x:c r="F268" s="12">
        <x:v>73131.990463704802</x:v>
      </x:c>
      <x:c r="G268" s="12">
        <x:v>6692400</x:v>
      </x:c>
      <x:c r="H268" s="8">
        <x:v>0.20844807748027044</x:v>
      </x:c>
      <x:c r="I268" s="8">
        <x:v>0.21098883071989857</x:v>
      </x:c>
      <x:c r="J268" s="8">
        <x:v>0.12177658451783228</x:v>
      </x:c>
      <x:c r="K268" s="8">
        <x:v>0.12414144229753127</x:v>
      </x:c>
      <x:c r="L268" s="16">
        <x:v>0.14999999999999997</x:v>
      </x:c>
      <x:c r="M268" s="16">
        <x:v>0.15166209069235689</x:v>
      </x:c>
      <x:c r="N268" s="16">
        <x:v>101.10806046157128</x:v>
      </x:c>
      <x:c r="O268" s="1" t="inlineStr">
        <x:is>
          <x:t>Да</x:t>
        </x:is>
      </x:c>
      <x:c r="P268" s="1" t="inlineStr">
        <x:is>
          <x:t>Да</x:t>
        </x:is>
      </x:c>
      <x:c r="Q268" s="1" t="inlineStr">
        <x:is>
          <x:t>Да</x:t>
        </x:is>
      </x:c>
      <x:c r="R268" s="1" t="inlineStr">
        <x:is>
          <x:t>Да</x:t>
        </x:is>
      </x:c>
      <x:c r="S268" s="1" t="inlineStr">
        <x:is>
          <x:t>Да</x:t>
        </x:is>
      </x:c>
    </x:row>
    <x:row r="269" ht="26" customHeight="1">
      <x:c r="A269" s="1" t="inlineStr">
        <x:is>
          <x:t>40+ среди посетителей: ×0.5</x:t>
        </x:is>
      </x:c>
      <x:c r="B269" s="1" t="inlineStr">
        <x:is>
          <x:t>H3</x:t>
        </x:is>
      </x:c>
      <x:c r="C269" s="8">
        <x:v>0.14999999999999997</x:v>
      </x:c>
      <x:c r="D269" s="16">
        <x:v>0.1064011955383509</x:v>
      </x:c>
      <x:c r="E269" s="8">
        <x:v>0.0070934130358900607</x:v>
      </x:c>
      <x:c r="F269" s="12">
        <x:v>46816.526036874391</x:v>
      </x:c>
      <x:c r="G269" s="12">
        <x:v>4147000</x:v>
      </x:c>
      <x:c r="H269" s="8">
        <x:v>0.20844807748027044</x:v>
      </x:c>
      <x:c r="I269" s="8">
        <x:v>0.21008501895009124</x:v>
      </x:c>
      <x:c r="J269" s="8">
        <x:v>0.12177658451783228</x:v>
      </x:c>
      <x:c r="K269" s="8">
        <x:v>0.12298349165565292</x:v>
      </x:c>
      <x:c r="L269" s="16">
        <x:v>0.14999999999999997</x:v>
      </x:c>
      <x:c r="M269" s="16">
        <x:v>0.15106401195538349</x:v>
      </x:c>
      <x:c r="N269" s="16">
        <x:v>100.709341303589</x:v>
      </x:c>
      <x:c r="O269" s="1" t="inlineStr">
        <x:is>
          <x:t>Да</x:t>
        </x:is>
      </x:c>
      <x:c r="P269" s="1" t="inlineStr">
        <x:is>
          <x:t>Да</x:t>
        </x:is>
      </x:c>
      <x:c r="Q269" s="1" t="inlineStr">
        <x:is>
          <x:t>Да</x:t>
        </x:is>
      </x:c>
      <x:c r="R269" s="1" t="inlineStr">
        <x:is>
          <x:t>Да</x:t>
        </x:is>
      </x:c>
      <x:c r="S269" s="1" t="inlineStr">
        <x:is>
          <x:t>Да</x:t>
        </x:is>
      </x:c>
    </x:row>
    <x:row r="270" ht="26" customHeight="1">
      <x:c r="A270" s="1" t="inlineStr">
        <x:is>
          <x:t>40+ среди посетителей: ×0.5</x:t>
        </x:is>
      </x:c>
      <x:c r="B270" s="1" t="inlineStr">
        <x:is>
          <x:t>H4</x:t>
        </x:is>
      </x:c>
      <x:c r="C270" s="8">
        <x:v>0.14999999999999997</x:v>
      </x:c>
      <x:c r="D270" s="16">
        <x:v>0.17434219183026475</x:v>
      </x:c>
      <x:c r="E270" s="8">
        <x:v>0.011622812788684317</x:v>
      </x:c>
      <x:c r="F270" s="12">
        <x:v>76710.564405316487</x:v>
      </x:c>
      <x:c r="G270" s="12">
        <x:v>7007000</x:v>
      </x:c>
      <x:c r="H270" s="8">
        <x:v>0.20844807748027044</x:v>
      </x:c>
      <x:c r="I270" s="8">
        <x:v>0.21111536911376522</x:v>
      </x:c>
      <x:c r="J270" s="8">
        <x:v>0.12177658451783228</x:v>
      </x:c>
      <x:c r="K270" s="8">
        <x:v>0.12417787624847569</x:v>
      </x:c>
      <x:c r="L270" s="16">
        <x:v>0.14999999999999997</x:v>
      </x:c>
      <x:c r="M270" s="16">
        <x:v>0.15174342191830262</x:v>
      </x:c>
      <x:c r="N270" s="16">
        <x:v>101.16228127886843</x:v>
      </x:c>
      <x:c r="O270" s="1" t="inlineStr">
        <x:is>
          <x:t>Да</x:t>
        </x:is>
      </x:c>
      <x:c r="P270" s="1" t="inlineStr">
        <x:is>
          <x:t>Да</x:t>
        </x:is>
      </x:c>
      <x:c r="Q270" s="1" t="inlineStr">
        <x:is>
          <x:t>Да</x:t>
        </x:is>
      </x:c>
      <x:c r="R270" s="1" t="inlineStr">
        <x:is>
          <x:t>Да</x:t>
        </x:is>
      </x:c>
      <x:c r="S270" s="1" t="inlineStr">
        <x:is>
          <x:t>Да</x:t>
        </x:is>
      </x:c>
    </x:row>
    <x:row r="271" ht="26" customHeight="1">
      <x:c r="A271" s="1" t="inlineStr">
        <x:is>
          <x:t>40+ среди посетителей: ×0.5</x:t>
        </x:is>
      </x:c>
      <x:c r="B271" s="1" t="inlineStr">
        <x:is>
          <x:t>H5</x:t>
        </x:is>
      </x:c>
      <x:c r="C271" s="8">
        <x:v>0.14999999999999997</x:v>
      </x:c>
      <x:c r="D271" s="16">
        <x:v>0.03271139651932542</x:v>
      </x:c>
      <x:c r="E271" s="8">
        <x:v>0.0021807597679550281</x:v>
      </x:c>
      <x:c r="F271" s="12">
        <x:v>14393.014468503185</x:v>
      </x:c>
      <x:c r="G271" s="12">
        <x:v>1830400</x:v>
      </x:c>
      <x:c r="H271" s="8">
        <x:v>0.20844807748027044</x:v>
      </x:c>
      <x:c r="I271" s="8">
        <x:v>0.20892736534135947</x:v>
      </x:c>
      <x:c r="J271" s="8">
        <x:v>0.12177658451783228</x:v>
      </x:c>
      <x:c r="K271" s="8">
        <x:v>0.1242928457885496</x:v>
      </x:c>
      <x:c r="L271" s="16">
        <x:v>0.14999999999999997</x:v>
      </x:c>
      <x:c r="M271" s="16">
        <x:v>0.15032711396519324</x:v>
      </x:c>
      <x:c r="N271" s="16">
        <x:v>100.21807597679549</x:v>
      </x:c>
      <x:c r="O271" s="1" t="inlineStr">
        <x:is>
          <x:t>Да</x:t>
        </x:is>
      </x:c>
      <x:c r="P271" s="1" t="inlineStr">
        <x:is>
          <x:t>Да</x:t>
        </x:is>
      </x:c>
      <x:c r="Q271" s="1" t="inlineStr">
        <x:is>
          <x:t>Да</x:t>
        </x:is>
      </x:c>
      <x:c r="R271" s="1" t="inlineStr">
        <x:is>
          <x:t>Да</x:t>
        </x:is>
      </x:c>
      <x:c r="S271" s="1" t="inlineStr">
        <x:is>
          <x:t>Да</x:t>
        </x:is>
      </x:c>
    </x:row>
    <x:row r="272" ht="26" customHeight="1">
      <x:c r="A272" s="1" t="inlineStr">
        <x:is>
          <x:t>40+ среди посетителей: ×0.5</x:t>
        </x:is>
      </x:c>
      <x:c r="B272" s="1" t="inlineStr">
        <x:is>
          <x:t>H6.1</x:t>
        </x:is>
      </x:c>
      <x:c r="C272" s="8">
        <x:v>0.14999999999999997</x:v>
      </x:c>
      <x:c r="D272" s="16">
        <x:v>0.018839293431928805</x:v>
      </x:c>
      <x:c r="E272" s="8">
        <x:v>0.0012559528954619204</x:v>
      </x:c>
      <x:c r="F272" s="12">
        <x:v>8289.289110048674</x:v>
      </x:c>
      <x:c r="G272" s="12">
        <x:v>1029600</x:v>
      </x:c>
      <x:c r="H272" s="8">
        <x:v>0.20844807748027044</x:v>
      </x:c>
      <x:c r="I272" s="8">
        <x:v>0.20872411108366865</x:v>
      </x:c>
      <x:c r="J272" s="8">
        <x:v>0.12177658451783228</x:v>
      </x:c>
      <x:c r="K272" s="8">
        <x:v>0.12322576093567288</x:v>
      </x:c>
      <x:c r="L272" s="16">
        <x:v>0.14999999999999997</x:v>
      </x:c>
      <x:c r="M272" s="16">
        <x:v>0.15018839293431926</x:v>
      </x:c>
      <x:c r="N272" s="16">
        <x:v>100.1255952895462</x:v>
      </x:c>
      <x:c r="O272" s="1" t="inlineStr">
        <x:is>
          <x:t>Да</x:t>
        </x:is>
      </x:c>
      <x:c r="P272" s="1" t="inlineStr">
        <x:is>
          <x:t>Да</x:t>
        </x:is>
      </x:c>
      <x:c r="Q272" s="1" t="inlineStr">
        <x:is>
          <x:t>Да</x:t>
        </x:is>
      </x:c>
      <x:c r="R272" s="1" t="inlineStr">
        <x:is>
          <x:t>Да</x:t>
        </x:is>
      </x:c>
      <x:c r="S272" s="1" t="inlineStr">
        <x:is>
          <x:t>Да</x:t>
        </x:is>
      </x:c>
    </x:row>
    <x:row r="273" ht="26" customHeight="1">
      <x:c r="A273" s="1" t="inlineStr">
        <x:is>
          <x:t>40+ среди посетителей: ×0.5</x:t>
        </x:is>
      </x:c>
      <x:c r="B273" s="1" t="inlineStr">
        <x:is>
          <x:t>H6.2</x:t>
        </x:is>
      </x:c>
      <x:c r="C273" s="8">
        <x:v>0.14999999999999997</x:v>
      </x:c>
      <x:c r="D273" s="16">
        <x:v>0.018839293431928805</x:v>
      </x:c>
      <x:c r="E273" s="8">
        <x:v>0.0012559528954619204</x:v>
      </x:c>
      <x:c r="F273" s="12">
        <x:v>8289.289110048674</x:v>
      </x:c>
      <x:c r="G273" s="12">
        <x:v>1029600</x:v>
      </x:c>
      <x:c r="H273" s="8">
        <x:v>0.20844807748027044</x:v>
      </x:c>
      <x:c r="I273" s="8">
        <x:v>0.20872411108366865</x:v>
      </x:c>
      <x:c r="J273" s="8">
        <x:v>0.12177658451783228</x:v>
      </x:c>
      <x:c r="K273" s="8">
        <x:v>0.12322576093567288</x:v>
      </x:c>
      <x:c r="L273" s="16">
        <x:v>0.14999999999999997</x:v>
      </x:c>
      <x:c r="M273" s="16">
        <x:v>0.15018839293431926</x:v>
      </x:c>
      <x:c r="N273" s="16">
        <x:v>100.1255952895462</x:v>
      </x:c>
      <x:c r="O273" s="1" t="inlineStr">
        <x:is>
          <x:t>Да</x:t>
        </x:is>
      </x:c>
      <x:c r="P273" s="1" t="inlineStr">
        <x:is>
          <x:t>Да</x:t>
        </x:is>
      </x:c>
      <x:c r="Q273" s="1" t="inlineStr">
        <x:is>
          <x:t>Да</x:t>
        </x:is>
      </x:c>
      <x:c r="R273" s="1" t="inlineStr">
        <x:is>
          <x:t>Да</x:t>
        </x:is>
      </x:c>
      <x:c r="S273" s="1" t="inlineStr">
        <x:is>
          <x:t>Да</x:t>
        </x:is>
      </x:c>
    </x:row>
    <x:row r="274" ht="26" customHeight="1">
      <x:c r="A274" s="1" t="inlineStr">
        <x:is>
          <x:t>40+ среди посетителей: ×0.5</x:t>
        </x:is>
      </x:c>
      <x:c r="B274" s="1" t="inlineStr">
        <x:is>
          <x:t>H6.3</x:t>
        </x:is>
      </x:c>
      <x:c r="C274" s="8">
        <x:v>0.14999999999999997</x:v>
      </x:c>
      <x:c r="D274" s="16">
        <x:v>0.018839293431928805</x:v>
      </x:c>
      <x:c r="E274" s="8">
        <x:v>0.0012559528954619204</x:v>
      </x:c>
      <x:c r="F274" s="12">
        <x:v>8289.289110048674</x:v>
      </x:c>
      <x:c r="G274" s="12">
        <x:v>1029600</x:v>
      </x:c>
      <x:c r="H274" s="8">
        <x:v>0.20844807748027044</x:v>
      </x:c>
      <x:c r="I274" s="8">
        <x:v>0.20872411108366865</x:v>
      </x:c>
      <x:c r="J274" s="8">
        <x:v>0.12177658451783228</x:v>
      </x:c>
      <x:c r="K274" s="8">
        <x:v>0.12322576093567288</x:v>
      </x:c>
      <x:c r="L274" s="16">
        <x:v>0.14999999999999997</x:v>
      </x:c>
      <x:c r="M274" s="16">
        <x:v>0.15018839293431926</x:v>
      </x:c>
      <x:c r="N274" s="16">
        <x:v>100.1255952895462</x:v>
      </x:c>
      <x:c r="O274" s="1" t="inlineStr">
        <x:is>
          <x:t>Да</x:t>
        </x:is>
      </x:c>
      <x:c r="P274" s="1" t="inlineStr">
        <x:is>
          <x:t>Да</x:t>
        </x:is>
      </x:c>
      <x:c r="Q274" s="1" t="inlineStr">
        <x:is>
          <x:t>Да</x:t>
        </x:is>
      </x:c>
      <x:c r="R274" s="1" t="inlineStr">
        <x:is>
          <x:t>Да</x:t>
        </x:is>
      </x:c>
      <x:c r="S274" s="1" t="inlineStr">
        <x:is>
          <x:t>Да</x:t>
        </x:is>
      </x:c>
    </x:row>
    <x:row r="275" ht="26" customHeight="1">
      <x:c r="A275" s="1" t="inlineStr">
        <x:is>
          <x:t>40+ среди посетителей: ×1.4</x:t>
        </x:is>
      </x:c>
      <x:c r="B275" s="1" t="inlineStr">
        <x:is>
          <x:t>H1</x:t>
        </x:is>
      </x:c>
      <x:c r="C275" s="8">
        <x:v>0.14999999999999997</x:v>
      </x:c>
      <x:c r="D275" s="16">
        <x:v>0.057653600269179289</x:v>
      </x:c>
      <x:c r="E275" s="8">
        <x:v>0.0038435733512786193</x:v>
      </x:c>
      <x:c r="F275" s="12">
        <x:v>25367.584118438885</x:v>
      </x:c>
      <x:c r="G275" s="12">
        <x:v>4804800</x:v>
      </x:c>
      <x:c r="H275" s="8">
        <x:v>0.20100061725128718</x:v>
      </x:c>
      <x:c r="I275" s="8">
        <x:v>0.20188759571696688</x:v>
      </x:c>
      <x:c r="J275" s="8">
        <x:v>0.13311125569560181</x:v>
      </x:c>
      <x:c r="K275" s="8">
        <x:v>0.13346253429587099</x:v>
      </x:c>
      <x:c r="L275" s="16">
        <x:v>0.14999999999999997</x:v>
      </x:c>
      <x:c r="M275" s="16">
        <x:v>0.15057653600269177</x:v>
      </x:c>
      <x:c r="N275" s="16">
        <x:v>100.38435733512786</x:v>
      </x:c>
      <x:c r="O275" s="1" t="inlineStr">
        <x:is>
          <x:t>Да</x:t>
        </x:is>
      </x:c>
      <x:c r="P275" s="1" t="inlineStr">
        <x:is>
          <x:t>Да</x:t>
        </x:is>
      </x:c>
      <x:c r="Q275" s="1" t="inlineStr">
        <x:is>
          <x:t>Да</x:t>
        </x:is>
      </x:c>
      <x:c r="R275" s="1" t="inlineStr">
        <x:is>
          <x:t>Да</x:t>
        </x:is>
      </x:c>
      <x:c r="S275" s="1" t="inlineStr">
        <x:is>
          <x:t>Да</x:t>
        </x:is>
      </x:c>
    </x:row>
    <x:row r="276" ht="26" customHeight="1">
      <x:c r="A276" s="1" t="inlineStr">
        <x:is>
          <x:t>40+ среди посетителей: ×1.4</x:t>
        </x:is>
      </x:c>
      <x:c r="B276" s="1" t="inlineStr">
        <x:is>
          <x:t>H2</x:t>
        </x:is>
      </x:c>
      <x:c r="C276" s="8">
        <x:v>0.14999999999999997</x:v>
      </x:c>
      <x:c r="D276" s="16">
        <x:v>0.16204585463233842</x:v>
      </x:c>
      <x:c r="E276" s="8">
        <x:v>0.010803056975489229</x:v>
      </x:c>
      <x:c r="F276" s="12">
        <x:v>71300.176038228907</x:v>
      </x:c>
      <x:c r="G276" s="12">
        <x:v>6692400.0000000009</x:v>
      </x:c>
      <x:c r="H276" s="8">
        <x:v>0.20100061725128718</x:v>
      </x:c>
      <x:c r="I276" s="8">
        <x:v>0.20347580299916068</x:v>
      </x:c>
      <x:c r="J276" s="8">
        <x:v>0.13311125569560181</x:v>
      </x:c>
      <x:c r="K276" s="8">
        <x:v>0.13569622874147624</x:v>
      </x:c>
      <x:c r="L276" s="16">
        <x:v>0.14999999999999997</x:v>
      </x:c>
      <x:c r="M276" s="16">
        <x:v>0.15162045854632336</x:v>
      </x:c>
      <x:c r="N276" s="16">
        <x:v>101.08030569754892</x:v>
      </x:c>
      <x:c r="O276" s="1" t="inlineStr">
        <x:is>
          <x:t>Да</x:t>
        </x:is>
      </x:c>
      <x:c r="P276" s="1" t="inlineStr">
        <x:is>
          <x:t>Да</x:t>
        </x:is>
      </x:c>
      <x:c r="Q276" s="1" t="inlineStr">
        <x:is>
          <x:t>Да</x:t>
        </x:is>
      </x:c>
      <x:c r="R276" s="1" t="inlineStr">
        <x:is>
          <x:t>Да</x:t>
        </x:is>
      </x:c>
      <x:c r="S276" s="1" t="inlineStr">
        <x:is>
          <x:t>Да</x:t>
        </x:is>
      </x:c>
    </x:row>
    <x:row r="277" ht="26" customHeight="1">
      <x:c r="A277" s="1" t="inlineStr">
        <x:is>
          <x:t>40+ среди посетителей: ×1.4</x:t>
        </x:is>
      </x:c>
      <x:c r="B277" s="1" t="inlineStr">
        <x:is>
          <x:t>H3</x:t>
        </x:is>
      </x:c>
      <x:c r="C277" s="8">
        <x:v>0.14999999999999997</x:v>
      </x:c>
      <x:c r="D277" s="16">
        <x:v>0.11673105088438288</x:v>
      </x:c>
      <x:c r="E277" s="8">
        <x:v>0.0077820700589588598</x:v>
      </x:c>
      <x:c r="F277" s="12">
        <x:v>51361.662389128469</x:v>
      </x:c>
      <x:c r="G277" s="12">
        <x:v>6463600</x:v>
      </x:c>
      <x:c r="H277" s="8">
        <x:v>0.20100061725128718</x:v>
      </x:c>
      <x:c r="I277" s="8">
        <x:v>0.20279647957258545</x:v>
      </x:c>
      <x:c r="J277" s="8">
        <x:v>0.13311125569560181</x:v>
      </x:c>
      <x:c r="K277" s="8">
        <x:v>0.13408781065845868</x:v>
      </x:c>
      <x:c r="L277" s="16">
        <x:v>0.14999999999999997</x:v>
      </x:c>
      <x:c r="M277" s="16">
        <x:v>0.1511673105088438</x:v>
      </x:c>
      <x:c r="N277" s="16">
        <x:v>100.77820700589588</x:v>
      </x:c>
      <x:c r="O277" s="1" t="inlineStr">
        <x:is>
          <x:t>Да</x:t>
        </x:is>
      </x:c>
      <x:c r="P277" s="1" t="inlineStr">
        <x:is>
          <x:t>Да</x:t>
        </x:is>
      </x:c>
      <x:c r="Q277" s="1" t="inlineStr">
        <x:is>
          <x:t>Да</x:t>
        </x:is>
      </x:c>
      <x:c r="R277" s="1" t="inlineStr">
        <x:is>
          <x:t>Да</x:t>
        </x:is>
      </x:c>
      <x:c r="S277" s="1" t="inlineStr">
        <x:is>
          <x:t>Да</x:t>
        </x:is>
      </x:c>
    </x:row>
    <x:row r="278" ht="26" customHeight="1">
      <x:c r="A278" s="1" t="inlineStr">
        <x:is>
          <x:t>40+ среди посетителей: ×1.4</x:t>
        </x:is>
      </x:c>
      <x:c r="B278" s="1" t="inlineStr">
        <x:is>
          <x:t>H4</x:t>
        </x:is>
      </x:c>
      <x:c r="C278" s="8">
        <x:v>0.14999999999999997</x:v>
      </x:c>
      <x:c r="D278" s="16">
        <x:v>0.17279111263668165</x:v>
      </x:c>
      <x:c r="E278" s="8">
        <x:v>0.011519407509112111</x:v>
      </x:c>
      <x:c r="F278" s="12">
        <x:v>76028.089560139924</x:v>
      </x:c>
      <x:c r="G278" s="12">
        <x:v>7779200.0000000009</x:v>
      </x:c>
      <x:c r="H278" s="8">
        <x:v>0.20100061725128718</x:v>
      </x:c>
      <x:c r="I278" s="8">
        <x:v>0.20364380194432857</x:v>
      </x:c>
      <x:c r="J278" s="8">
        <x:v>0.13311125569560181</x:v>
      </x:c>
      <x:c r="K278" s="8">
        <x:v>0.13550188361747026</x:v>
      </x:c>
      <x:c r="L278" s="16">
        <x:v>0.14999999999999997</x:v>
      </x:c>
      <x:c r="M278" s="16">
        <x:v>0.1517279111263668</x:v>
      </x:c>
      <x:c r="N278" s="16">
        <x:v>101.15194075091121</x:v>
      </x:c>
      <x:c r="O278" s="1" t="inlineStr">
        <x:is>
          <x:t>Да</x:t>
        </x:is>
      </x:c>
      <x:c r="P278" s="1" t="inlineStr">
        <x:is>
          <x:t>Да</x:t>
        </x:is>
      </x:c>
      <x:c r="Q278" s="1" t="inlineStr">
        <x:is>
          <x:t>Да</x:t>
        </x:is>
      </x:c>
      <x:c r="R278" s="1" t="inlineStr">
        <x:is>
          <x:t>Да</x:t>
        </x:is>
      </x:c>
      <x:c r="S278" s="1" t="inlineStr">
        <x:is>
          <x:t>Да</x:t>
        </x:is>
      </x:c>
    </x:row>
    <x:row r="279" ht="26" customHeight="1">
      <x:c r="A279" s="1" t="inlineStr">
        <x:is>
          <x:t>40+ среди посетителей: ×1.4</x:t>
        </x:is>
      </x:c>
      <x:c r="B279" s="1" t="inlineStr">
        <x:is>
          <x:t>H5</x:t>
        </x:is>
      </x:c>
      <x:c r="C279" s="8">
        <x:v>0.14999999999999997</x:v>
      </x:c>
      <x:c r="D279" s="16">
        <x:v>0.035165573278437792</x:v>
      </x:c>
      <x:c r="E279" s="8">
        <x:v>0.0023443715518958533</x:v>
      </x:c>
      <x:c r="F279" s="12">
        <x:v>15472.852242512628</x:v>
      </x:c>
      <x:c r="G279" s="12">
        <x:v>1830400</x:v>
      </x:c>
      <x:c r="H279" s="8">
        <x:v>0.20100061725128718</x:v>
      </x:c>
      <x:c r="I279" s="8">
        <x:v>0.20151586374620939</x:v>
      </x:c>
      <x:c r="J279" s="8">
        <x:v>0.13311125569560181</x:v>
      </x:c>
      <x:c r="K279" s="8">
        <x:v>0.13581629979394333</x:v>
      </x:c>
      <x:c r="L279" s="16">
        <x:v>0.14999999999999997</x:v>
      </x:c>
      <x:c r="M279" s="16">
        <x:v>0.15035165573278436</x:v>
      </x:c>
      <x:c r="N279" s="16">
        <x:v>100.23443715518958</x:v>
      </x:c>
      <x:c r="O279" s="1" t="inlineStr">
        <x:is>
          <x:t>Да</x:t>
        </x:is>
      </x:c>
      <x:c r="P279" s="1" t="inlineStr">
        <x:is>
          <x:t>Да</x:t>
        </x:is>
      </x:c>
      <x:c r="Q279" s="1" t="inlineStr">
        <x:is>
          <x:t>Да</x:t>
        </x:is>
      </x:c>
      <x:c r="R279" s="1" t="inlineStr">
        <x:is>
          <x:t>Да</x:t>
        </x:is>
      </x:c>
      <x:c r="S279" s="1" t="inlineStr">
        <x:is>
          <x:t>Да</x:t>
        </x:is>
      </x:c>
    </x:row>
    <x:row r="280" ht="26" customHeight="1">
      <x:c r="A280" s="1" t="inlineStr">
        <x:is>
          <x:t>40+ среди посетителей: ×1.4</x:t>
        </x:is>
      </x:c>
      <x:c r="B280" s="1" t="inlineStr">
        <x:is>
          <x:t>H6.1</x:t>
        </x:is>
      </x:c>
      <x:c r="C280" s="8">
        <x:v>0.14999999999999997</x:v>
      </x:c>
      <x:c r="D280" s="16">
        <x:v>0.020199128661376679</x:v>
      </x:c>
      <x:c r="E280" s="8">
        <x:v>0.0013466085774251121</x:v>
      </x:c>
      <x:c r="F280" s="12">
        <x:v>8887.6166110057384</x:v>
      </x:c>
      <x:c r="G280" s="12">
        <x:v>1029600</x:v>
      </x:c>
      <x:c r="H280" s="8">
        <x:v>0.20100061725128718</x:v>
      </x:c>
      <x:c r="I280" s="8">
        <x:v>0.20129657518039168</x:v>
      </x:c>
      <x:c r="J280" s="8">
        <x:v>0.13311125569560181</x:v>
      </x:c>
      <x:c r="K280" s="8">
        <x:v>0.13466503482340023</x:v>
      </x:c>
      <x:c r="L280" s="16">
        <x:v>0.14999999999999997</x:v>
      </x:c>
      <x:c r="M280" s="16">
        <x:v>0.15020199128661374</x:v>
      </x:c>
      <x:c r="N280" s="16">
        <x:v>100.13466085774252</x:v>
      </x:c>
      <x:c r="O280" s="1" t="inlineStr">
        <x:is>
          <x:t>Да</x:t>
        </x:is>
      </x:c>
      <x:c r="P280" s="1" t="inlineStr">
        <x:is>
          <x:t>Да</x:t>
        </x:is>
      </x:c>
      <x:c r="Q280" s="1" t="inlineStr">
        <x:is>
          <x:t>Да</x:t>
        </x:is>
      </x:c>
      <x:c r="R280" s="1" t="inlineStr">
        <x:is>
          <x:t>Да</x:t>
        </x:is>
      </x:c>
      <x:c r="S280" s="1" t="inlineStr">
        <x:is>
          <x:t>Да</x:t>
        </x:is>
      </x:c>
    </x:row>
    <x:row r="281" ht="26" customHeight="1">
      <x:c r="A281" s="1" t="inlineStr">
        <x:is>
          <x:t>40+ среди посетителей: ×1.4</x:t>
        </x:is>
      </x:c>
      <x:c r="B281" s="1" t="inlineStr">
        <x:is>
          <x:t>H6.2</x:t>
        </x:is>
      </x:c>
      <x:c r="C281" s="8">
        <x:v>0.14999999999999997</x:v>
      </x:c>
      <x:c r="D281" s="16">
        <x:v>0.020199128661376679</x:v>
      </x:c>
      <x:c r="E281" s="8">
        <x:v>0.0013466085774251121</x:v>
      </x:c>
      <x:c r="F281" s="12">
        <x:v>8887.6166110057384</x:v>
      </x:c>
      <x:c r="G281" s="12">
        <x:v>1029600</x:v>
      </x:c>
      <x:c r="H281" s="8">
        <x:v>0.20100061725128718</x:v>
      </x:c>
      <x:c r="I281" s="8">
        <x:v>0.20129657518039168</x:v>
      </x:c>
      <x:c r="J281" s="8">
        <x:v>0.13311125569560181</x:v>
      </x:c>
      <x:c r="K281" s="8">
        <x:v>0.13466503482340023</x:v>
      </x:c>
      <x:c r="L281" s="16">
        <x:v>0.14999999999999997</x:v>
      </x:c>
      <x:c r="M281" s="16">
        <x:v>0.15020199128661374</x:v>
      </x:c>
      <x:c r="N281" s="16">
        <x:v>100.13466085774252</x:v>
      </x:c>
      <x:c r="O281" s="1" t="inlineStr">
        <x:is>
          <x:t>Да</x:t>
        </x:is>
      </x:c>
      <x:c r="P281" s="1" t="inlineStr">
        <x:is>
          <x:t>Да</x:t>
        </x:is>
      </x:c>
      <x:c r="Q281" s="1" t="inlineStr">
        <x:is>
          <x:t>Да</x:t>
        </x:is>
      </x:c>
      <x:c r="R281" s="1" t="inlineStr">
        <x:is>
          <x:t>Да</x:t>
        </x:is>
      </x:c>
      <x:c r="S281" s="1" t="inlineStr">
        <x:is>
          <x:t>Да</x:t>
        </x:is>
      </x:c>
    </x:row>
    <x:row r="282" ht="26" customHeight="1">
      <x:c r="A282" s="1" t="inlineStr">
        <x:is>
          <x:t>40+ среди посетителей: ×1.4</x:t>
        </x:is>
      </x:c>
      <x:c r="B282" s="1" t="inlineStr">
        <x:is>
          <x:t>H6.3</x:t>
        </x:is>
      </x:c>
      <x:c r="C282" s="8">
        <x:v>0.14999999999999997</x:v>
      </x:c>
      <x:c r="D282" s="16">
        <x:v>0.020199128661376679</x:v>
      </x:c>
      <x:c r="E282" s="8">
        <x:v>0.0013466085774251121</x:v>
      </x:c>
      <x:c r="F282" s="12">
        <x:v>8887.6166110057384</x:v>
      </x:c>
      <x:c r="G282" s="12">
        <x:v>1029600</x:v>
      </x:c>
      <x:c r="H282" s="8">
        <x:v>0.20100061725128718</x:v>
      </x:c>
      <x:c r="I282" s="8">
        <x:v>0.20129657518039168</x:v>
      </x:c>
      <x:c r="J282" s="8">
        <x:v>0.13311125569560181</x:v>
      </x:c>
      <x:c r="K282" s="8">
        <x:v>0.13466503482340023</x:v>
      </x:c>
      <x:c r="L282" s="16">
        <x:v>0.14999999999999997</x:v>
      </x:c>
      <x:c r="M282" s="16">
        <x:v>0.15020199128661374</x:v>
      </x:c>
      <x:c r="N282" s="16">
        <x:v>100.13466085774252</x:v>
      </x:c>
      <x:c r="O282" s="1" t="inlineStr">
        <x:is>
          <x:t>Да</x:t>
        </x:is>
      </x:c>
      <x:c r="P282" s="1" t="inlineStr">
        <x:is>
          <x:t>Да</x:t>
        </x:is>
      </x:c>
      <x:c r="Q282" s="1" t="inlineStr">
        <x:is>
          <x:t>Да</x:t>
        </x:is>
      </x:c>
      <x:c r="R282" s="1" t="inlineStr">
        <x:is>
          <x:t>Да</x:t>
        </x:is>
      </x:c>
      <x:c r="S282" s="1" t="inlineStr">
        <x:is>
          <x:t>Да</x:t>
        </x:is>
      </x:c>
    </x:row>
    <x:row r="283" ht="26" customHeight="1">
      <x:c r="A283" s="1" t="inlineStr">
        <x:is>
          <x:t>Охват H4: ×0.75</x:t>
        </x:is>
      </x:c>
      <x:c r="B283" s="1" t="inlineStr">
        <x:is>
          <x:t>H1</x:t>
        </x:is>
      </x:c>
      <x:c r="C283" s="8">
        <x:v>0.14999999999999997</x:v>
      </x:c>
      <x:c r="D283" s="16">
        <x:v>0.052860517846693447</x:v>
      </x:c>
      <x:c r="E283" s="8">
        <x:v>0.0035240345231128973</x:v>
      </x:c>
      <x:c r="F283" s="12">
        <x:v>23258.62785254512</x:v>
      </x:c>
      <x:c r="G283" s="12">
        <x:v>3432000</x:v>
      </x:c>
      <x:c r="H283" s="8">
        <x:v>0.20772381509654764</x:v>
      </x:c>
      <x:c r="I283" s="8">
        <x:v>0.20853705383265062</x:v>
      </x:c>
      <x:c r="J283" s="8">
        <x:v>0.12287887653598596</x:v>
      </x:c>
      <x:c r="K283" s="8">
        <x:v>0.12333703920421298</x:v>
      </x:c>
      <x:c r="L283" s="16">
        <x:v>0.14999999999999997</x:v>
      </x:c>
      <x:c r="M283" s="16">
        <x:v>0.15052860517846692</x:v>
      </x:c>
      <x:c r="N283" s="16">
        <x:v>100.35240345231129</x:v>
      </x:c>
      <x:c r="O283" s="1" t="inlineStr">
        <x:is>
          <x:t>Да</x:t>
        </x:is>
      </x:c>
      <x:c r="P283" s="1" t="inlineStr">
        <x:is>
          <x:t>Да</x:t>
        </x:is>
      </x:c>
      <x:c r="Q283" s="1" t="inlineStr">
        <x:is>
          <x:t>Да</x:t>
        </x:is>
      </x:c>
      <x:c r="R283" s="1" t="inlineStr">
        <x:is>
          <x:t>Да</x:t>
        </x:is>
      </x:c>
      <x:c r="S283" s="1" t="inlineStr">
        <x:is>
          <x:t>Да</x:t>
        </x:is>
      </x:c>
    </x:row>
    <x:row r="284" ht="26" customHeight="1">
      <x:c r="A284" s="1" t="inlineStr">
        <x:is>
          <x:t>Охват H4: ×0.75</x:t>
        </x:is>
      </x:c>
      <x:c r="B284" s="1" t="inlineStr">
        <x:is>
          <x:t>H2</x:t>
        </x:is>
      </x:c>
      <x:c r="C284" s="8">
        <x:v>0.14999999999999997</x:v>
      </x:c>
      <x:c r="D284" s="16">
        <x:v>0.1658041983616115</x:v>
      </x:c>
      <x:c r="E284" s="8">
        <x:v>0.011053613224107434</x:v>
      </x:c>
      <x:c r="F284" s="12">
        <x:v>72953.847279109061</x:v>
      </x:c>
      <x:c r="G284" s="12">
        <x:v>6692400</x:v>
      </x:c>
      <x:c r="H284" s="8">
        <x:v>0.20772381509654764</x:v>
      </x:c>
      <x:c r="I284" s="8">
        <x:v>0.21025819192510231</x:v>
      </x:c>
      <x:c r="J284" s="8">
        <x:v>0.12287887653598596</x:v>
      </x:c>
      <x:c r="K284" s="8">
        <x:v>0.12526514043300177</x:v>
      </x:c>
      <x:c r="L284" s="16">
        <x:v>0.14999999999999997</x:v>
      </x:c>
      <x:c r="M284" s="16">
        <x:v>0.1516580419836161</x:v>
      </x:c>
      <x:c r="N284" s="16">
        <x:v>101.10536132241073</x:v>
      </x:c>
      <x:c r="O284" s="1" t="inlineStr">
        <x:is>
          <x:t>Да</x:t>
        </x:is>
      </x:c>
      <x:c r="P284" s="1" t="inlineStr">
        <x:is>
          <x:t>Да</x:t>
        </x:is>
      </x:c>
      <x:c r="Q284" s="1" t="inlineStr">
        <x:is>
          <x:t>Да</x:t>
        </x:is>
      </x:c>
      <x:c r="R284" s="1" t="inlineStr">
        <x:is>
          <x:t>Да</x:t>
        </x:is>
      </x:c>
      <x:c r="S284" s="1" t="inlineStr">
        <x:is>
          <x:t>Да</x:t>
        </x:is>
      </x:c>
    </x:row>
    <x:row r="285" ht="26" customHeight="1">
      <x:c r="A285" s="1" t="inlineStr">
        <x:is>
          <x:t>Охват H4: ×0.75</x:t>
        </x:is>
      </x:c>
      <x:c r="B285" s="1" t="inlineStr">
        <x:is>
          <x:t>H3</x:t>
        </x:is>
      </x:c>
      <x:c r="C285" s="8">
        <x:v>0.14999999999999997</x:v>
      </x:c>
      <x:c r="D285" s="16">
        <x:v>0.11559440827969335</x:v>
      </x:c>
      <x:c r="E285" s="8">
        <x:v>0.007706293885312891</x:v>
      </x:c>
      <x:c r="F285" s="12">
        <x:v>50861.539643065073</x:v>
      </x:c>
      <x:c r="G285" s="12">
        <x:v>5434000</x:v>
      </x:c>
      <x:c r="H285" s="8">
        <x:v>0.20772381509654764</x:v>
      </x:c>
      <x:c r="I285" s="8">
        <x:v>0.20950219060854297</x:v>
      </x:c>
      <x:c r="J285" s="8">
        <x:v>0.12287887653598596</x:v>
      </x:c>
      <x:c r="K285" s="8">
        <x:v>0.12388077823288472</x:v>
      </x:c>
      <x:c r="L285" s="16">
        <x:v>0.14999999999999997</x:v>
      </x:c>
      <x:c r="M285" s="16">
        <x:v>0.15115594408279692</x:v>
      </x:c>
      <x:c r="N285" s="16">
        <x:v>100.77062938853128</x:v>
      </x:c>
      <x:c r="O285" s="1" t="inlineStr">
        <x:is>
          <x:t>Да</x:t>
        </x:is>
      </x:c>
      <x:c r="P285" s="1" t="inlineStr">
        <x:is>
          <x:t>Да</x:t>
        </x:is>
      </x:c>
      <x:c r="Q285" s="1" t="inlineStr">
        <x:is>
          <x:t>Да</x:t>
        </x:is>
      </x:c>
      <x:c r="R285" s="1" t="inlineStr">
        <x:is>
          <x:t>Да</x:t>
        </x:is>
      </x:c>
      <x:c r="S285" s="1" t="inlineStr">
        <x:is>
          <x:t>Да</x:t>
        </x:is>
      </x:c>
    </x:row>
    <x:row r="286" ht="26" customHeight="1">
      <x:c r="A286" s="1" t="inlineStr">
        <x:is>
          <x:t>Охват H4: ×0.75</x:t>
        </x:is>
      </x:c>
      <x:c r="B286" s="1" t="inlineStr">
        <x:is>
          <x:t>H4</x:t>
        </x:is>
      </x:c>
      <x:c r="C286" s="8">
        <x:v>0.14999999999999997</x:v>
      </x:c>
      <x:c r="D286" s="16">
        <x:v>0.13206753675394947</x:v>
      </x:c>
      <x:c r="E286" s="8">
        <x:v>0.0088045024502632976</x:v>
      </x:c>
      <x:c r="F286" s="12">
        <x:v>58109.71617173776</x:v>
      </x:c>
      <x:c r="G286" s="12">
        <x:v>5577000</x:v>
      </x:c>
      <x:c r="H286" s="8">
        <x:v>0.20772381509654764</x:v>
      </x:c>
      <x:c r="I286" s="8">
        <x:v>0.20974489010386191</x:v>
      </x:c>
      <x:c r="J286" s="8">
        <x:v>0.12287887653598596</x:v>
      </x:c>
      <x:c r="K286" s="8">
        <x:v>0.12458548310415447</x:v>
      </x:c>
      <x:c r="L286" s="16">
        <x:v>0.14999999999999997</x:v>
      </x:c>
      <x:c r="M286" s="16">
        <x:v>0.15132067536753949</x:v>
      </x:c>
      <x:c r="N286" s="16">
        <x:v>100.88045024502632</x:v>
      </x:c>
      <x:c r="O286" s="1" t="inlineStr">
        <x:is>
          <x:t>Да</x:t>
        </x:is>
      </x:c>
      <x:c r="P286" s="1" t="inlineStr">
        <x:is>
          <x:t>Да</x:t>
        </x:is>
      </x:c>
      <x:c r="Q286" s="1" t="inlineStr">
        <x:is>
          <x:t>Да</x:t>
        </x:is>
      </x:c>
      <x:c r="R286" s="1" t="inlineStr">
        <x:is>
          <x:t>Да</x:t>
        </x:is>
      </x:c>
      <x:c r="S286" s="1" t="inlineStr">
        <x:is>
          <x:t>Да</x:t>
        </x:is>
      </x:c>
    </x:row>
    <x:row r="287" ht="26" customHeight="1">
      <x:c r="A287" s="1" t="inlineStr">
        <x:is>
          <x:t>Охват H4: ×0.75</x:t>
        </x:is>
      </x:c>
      <x:c r="B287" s="1" t="inlineStr">
        <x:is>
          <x:t>H5</x:t>
        </x:is>
      </x:c>
      <x:c r="C287" s="8">
        <x:v>0.14999999999999997</x:v>
      </x:c>
      <x:c r="D287" s="16">
        <x:v>0.032635400819192133</x:v>
      </x:c>
      <x:c r="E287" s="8">
        <x:v>0.0021756933879461425</x:v>
      </x:c>
      <x:c r="F287" s="12">
        <x:v>14359.576360444538</x:v>
      </x:c>
      <x:c r="G287" s="12">
        <x:v>1830400</x:v>
      </x:c>
      <x:c r="H287" s="8">
        <x:v>0.20772381509654764</x:v>
      </x:c>
      <x:c r="I287" s="8">
        <x:v>0.20820198946752486</x:v>
      </x:c>
      <x:c r="J287" s="8">
        <x:v>0.12287887653598596</x:v>
      </x:c>
      <x:c r="K287" s="8">
        <x:v>0.12538929198361612</x:v>
      </x:c>
      <x:c r="L287" s="16">
        <x:v>0.14999999999999997</x:v>
      </x:c>
      <x:c r="M287" s="16">
        <x:v>0.15032635400819189</x:v>
      </x:c>
      <x:c r="N287" s="16">
        <x:v>100.21756933879462</x:v>
      </x:c>
      <x:c r="O287" s="1" t="inlineStr">
        <x:is>
          <x:t>Да</x:t>
        </x:is>
      </x:c>
      <x:c r="P287" s="1" t="inlineStr">
        <x:is>
          <x:t>Да</x:t>
        </x:is>
      </x:c>
      <x:c r="Q287" s="1" t="inlineStr">
        <x:is>
          <x:t>Да</x:t>
        </x:is>
      </x:c>
      <x:c r="R287" s="1" t="inlineStr">
        <x:is>
          <x:t>Да</x:t>
        </x:is>
      </x:c>
      <x:c r="S287" s="1" t="inlineStr">
        <x:is>
          <x:t>Да</x:t>
        </x:is>
      </x:c>
    </x:row>
    <x:row r="288" ht="26" customHeight="1">
      <x:c r="A288" s="1" t="inlineStr">
        <x:is>
          <x:t>Охват H4: ×0.75</x:t>
        </x:is>
      </x:c>
      <x:c r="B288" s="1" t="inlineStr">
        <x:is>
          <x:t>H6.1</x:t>
        </x:is>
      </x:c>
      <x:c r="C288" s="8">
        <x:v>0.14999999999999997</x:v>
      </x:c>
      <x:c r="D288" s="16">
        <x:v>0.018761761263895525</x:v>
      </x:c>
      <x:c r="E288" s="8">
        <x:v>0.0012507840842597019</x:v>
      </x:c>
      <x:c r="F288" s="12">
        <x:v>8255.1749561140314</x:v>
      </x:c>
      <x:c r="G288" s="12">
        <x:v>1029600</x:v>
      </x:c>
      <x:c r="H288" s="8">
        <x:v>0.20772381509654764</x:v>
      </x:c>
      <x:c r="I288" s="8">
        <x:v>0.20799871269748388</x:v>
      </x:c>
      <x:c r="J288" s="8">
        <x:v>0.12287887653598596</x:v>
      </x:c>
      <x:c r="K288" s="8">
        <x:v>0.12432208894090108</x:v>
      </x:c>
      <x:c r="L288" s="16">
        <x:v>0.14999999999999997</x:v>
      </x:c>
      <x:c r="M288" s="16">
        <x:v>0.15018761761263894</x:v>
      </x:c>
      <x:c r="N288" s="16">
        <x:v>100.12507840842596</x:v>
      </x:c>
      <x:c r="O288" s="1" t="inlineStr">
        <x:is>
          <x:t>Да</x:t>
        </x:is>
      </x:c>
      <x:c r="P288" s="1" t="inlineStr">
        <x:is>
          <x:t>Да</x:t>
        </x:is>
      </x:c>
      <x:c r="Q288" s="1" t="inlineStr">
        <x:is>
          <x:t>Да</x:t>
        </x:is>
      </x:c>
      <x:c r="R288" s="1" t="inlineStr">
        <x:is>
          <x:t>Да</x:t>
        </x:is>
      </x:c>
      <x:c r="S288" s="1" t="inlineStr">
        <x:is>
          <x:t>Да</x:t>
        </x:is>
      </x:c>
    </x:row>
    <x:row r="289" ht="26" customHeight="1">
      <x:c r="A289" s="1" t="inlineStr">
        <x:is>
          <x:t>Охват H4: ×0.75</x:t>
        </x:is>
      </x:c>
      <x:c r="B289" s="1" t="inlineStr">
        <x:is>
          <x:t>H6.2</x:t>
        </x:is>
      </x:c>
      <x:c r="C289" s="8">
        <x:v>0.14999999999999997</x:v>
      </x:c>
      <x:c r="D289" s="16">
        <x:v>0.018761761263895525</x:v>
      </x:c>
      <x:c r="E289" s="8">
        <x:v>0.0012507840842597019</x:v>
      </x:c>
      <x:c r="F289" s="12">
        <x:v>8255.1749561140314</x:v>
      </x:c>
      <x:c r="G289" s="12">
        <x:v>1029600</x:v>
      </x:c>
      <x:c r="H289" s="8">
        <x:v>0.20772381509654764</x:v>
      </x:c>
      <x:c r="I289" s="8">
        <x:v>0.20799871269748388</x:v>
      </x:c>
      <x:c r="J289" s="8">
        <x:v>0.12287887653598596</x:v>
      </x:c>
      <x:c r="K289" s="8">
        <x:v>0.12432208894090108</x:v>
      </x:c>
      <x:c r="L289" s="16">
        <x:v>0.14999999999999997</x:v>
      </x:c>
      <x:c r="M289" s="16">
        <x:v>0.15018761761263894</x:v>
      </x:c>
      <x:c r="N289" s="16">
        <x:v>100.12507840842596</x:v>
      </x:c>
      <x:c r="O289" s="1" t="inlineStr">
        <x:is>
          <x:t>Да</x:t>
        </x:is>
      </x:c>
      <x:c r="P289" s="1" t="inlineStr">
        <x:is>
          <x:t>Да</x:t>
        </x:is>
      </x:c>
      <x:c r="Q289" s="1" t="inlineStr">
        <x:is>
          <x:t>Да</x:t>
        </x:is>
      </x:c>
      <x:c r="R289" s="1" t="inlineStr">
        <x:is>
          <x:t>Да</x:t>
        </x:is>
      </x:c>
      <x:c r="S289" s="1" t="inlineStr">
        <x:is>
          <x:t>Да</x:t>
        </x:is>
      </x:c>
    </x:row>
    <x:row r="290" ht="26" customHeight="1">
      <x:c r="A290" s="1" t="inlineStr">
        <x:is>
          <x:t>Охват H4: ×0.75</x:t>
        </x:is>
      </x:c>
      <x:c r="B290" s="1" t="inlineStr">
        <x:is>
          <x:t>H6.3</x:t>
        </x:is>
      </x:c>
      <x:c r="C290" s="8">
        <x:v>0.14999999999999997</x:v>
      </x:c>
      <x:c r="D290" s="16">
        <x:v>0.018761761263895525</x:v>
      </x:c>
      <x:c r="E290" s="8">
        <x:v>0.0012507840842597019</x:v>
      </x:c>
      <x:c r="F290" s="12">
        <x:v>8255.1749561140314</x:v>
      </x:c>
      <x:c r="G290" s="12">
        <x:v>1029600</x:v>
      </x:c>
      <x:c r="H290" s="8">
        <x:v>0.20772381509654764</x:v>
      </x:c>
      <x:c r="I290" s="8">
        <x:v>0.20799871269748388</x:v>
      </x:c>
      <x:c r="J290" s="8">
        <x:v>0.12287887653598596</x:v>
      </x:c>
      <x:c r="K290" s="8">
        <x:v>0.12432208894090108</x:v>
      </x:c>
      <x:c r="L290" s="16">
        <x:v>0.14999999999999997</x:v>
      </x:c>
      <x:c r="M290" s="16">
        <x:v>0.15018761761263894</x:v>
      </x:c>
      <x:c r="N290" s="16">
        <x:v>100.12507840842596</x:v>
      </x:c>
      <x:c r="O290" s="1" t="inlineStr">
        <x:is>
          <x:t>Да</x:t>
        </x:is>
      </x:c>
      <x:c r="P290" s="1" t="inlineStr">
        <x:is>
          <x:t>Да</x:t>
        </x:is>
      </x:c>
      <x:c r="Q290" s="1" t="inlineStr">
        <x:is>
          <x:t>Да</x:t>
        </x:is>
      </x:c>
      <x:c r="R290" s="1" t="inlineStr">
        <x:is>
          <x:t>Да</x:t>
        </x:is>
      </x:c>
      <x:c r="S290" s="1" t="inlineStr">
        <x:is>
          <x:t>Да</x:t>
        </x:is>
      </x:c>
    </x:row>
    <x:row r="291" ht="26" customHeight="1">
      <x:c r="A291" s="1" t="inlineStr">
        <x:is>
          <x:t>Охват H4: ×1.25</x:t>
        </x:is>
      </x:c>
      <x:c r="B291" s="1" t="inlineStr">
        <x:is>
          <x:t>H1</x:t>
        </x:is>
      </x:c>
      <x:c r="C291" s="8">
        <x:v>0.14999999999999997</x:v>
      </x:c>
      <x:c r="D291" s="16">
        <x:v>0.052860517846693447</x:v>
      </x:c>
      <x:c r="E291" s="8">
        <x:v>0.0035240345231128973</x:v>
      </x:c>
      <x:c r="F291" s="12">
        <x:v>23258.62785254512</x:v>
      </x:c>
      <x:c r="G291" s="12">
        <x:v>3432000</x:v>
      </x:c>
      <x:c r="H291" s="8">
        <x:v>0.20772381509654764</x:v>
      </x:c>
      <x:c r="I291" s="8">
        <x:v>0.20853705383265062</x:v>
      </x:c>
      <x:c r="J291" s="8">
        <x:v>0.12287887653598596</x:v>
      </x:c>
      <x:c r="K291" s="8">
        <x:v>0.12333703920421298</x:v>
      </x:c>
      <x:c r="L291" s="16">
        <x:v>0.14999999999999997</x:v>
      </x:c>
      <x:c r="M291" s="16">
        <x:v>0.15052860517846692</x:v>
      </x:c>
      <x:c r="N291" s="16">
        <x:v>100.35240345231129</x:v>
      </x:c>
      <x:c r="O291" s="1" t="inlineStr">
        <x:is>
          <x:t>Да</x:t>
        </x:is>
      </x:c>
      <x:c r="P291" s="1" t="inlineStr">
        <x:is>
          <x:t>Да</x:t>
        </x:is>
      </x:c>
      <x:c r="Q291" s="1" t="inlineStr">
        <x:is>
          <x:t>Да</x:t>
        </x:is>
      </x:c>
      <x:c r="R291" s="1" t="inlineStr">
        <x:is>
          <x:t>Да</x:t>
        </x:is>
      </x:c>
      <x:c r="S291" s="1" t="inlineStr">
        <x:is>
          <x:t>Да</x:t>
        </x:is>
      </x:c>
    </x:row>
    <x:row r="292" ht="26" customHeight="1">
      <x:c r="A292" s="1" t="inlineStr">
        <x:is>
          <x:t>Охват H4: ×1.25</x:t>
        </x:is>
      </x:c>
      <x:c r="B292" s="1" t="inlineStr">
        <x:is>
          <x:t>H2</x:t>
        </x:is>
      </x:c>
      <x:c r="C292" s="8">
        <x:v>0.14999999999999997</x:v>
      </x:c>
      <x:c r="D292" s="16">
        <x:v>0.1658041983616115</x:v>
      </x:c>
      <x:c r="E292" s="8">
        <x:v>0.011053613224107434</x:v>
      </x:c>
      <x:c r="F292" s="12">
        <x:v>72953.847279109061</x:v>
      </x:c>
      <x:c r="G292" s="12">
        <x:v>6692400</x:v>
      </x:c>
      <x:c r="H292" s="8">
        <x:v>0.20772381509654764</x:v>
      </x:c>
      <x:c r="I292" s="8">
        <x:v>0.21025819192510231</x:v>
      </x:c>
      <x:c r="J292" s="8">
        <x:v>0.12287887653598596</x:v>
      </x:c>
      <x:c r="K292" s="8">
        <x:v>0.12526514043300177</x:v>
      </x:c>
      <x:c r="L292" s="16">
        <x:v>0.14999999999999997</x:v>
      </x:c>
      <x:c r="M292" s="16">
        <x:v>0.1516580419836161</x:v>
      </x:c>
      <x:c r="N292" s="16">
        <x:v>101.10536132241073</x:v>
      </x:c>
      <x:c r="O292" s="1" t="inlineStr">
        <x:is>
          <x:t>Да</x:t>
        </x:is>
      </x:c>
      <x:c r="P292" s="1" t="inlineStr">
        <x:is>
          <x:t>Да</x:t>
        </x:is>
      </x:c>
      <x:c r="Q292" s="1" t="inlineStr">
        <x:is>
          <x:t>Да</x:t>
        </x:is>
      </x:c>
      <x:c r="R292" s="1" t="inlineStr">
        <x:is>
          <x:t>Да</x:t>
        </x:is>
      </x:c>
      <x:c r="S292" s="1" t="inlineStr">
        <x:is>
          <x:t>Да</x:t>
        </x:is>
      </x:c>
    </x:row>
    <x:row r="293" ht="26" customHeight="1">
      <x:c r="A293" s="1" t="inlineStr">
        <x:is>
          <x:t>Охват H4: ×1.25</x:t>
        </x:is>
      </x:c>
      <x:c r="B293" s="1" t="inlineStr">
        <x:is>
          <x:t>H3</x:t>
        </x:is>
      </x:c>
      <x:c r="C293" s="8">
        <x:v>0.14999999999999997</x:v>
      </x:c>
      <x:c r="D293" s="16">
        <x:v>0.11559440827969335</x:v>
      </x:c>
      <x:c r="E293" s="8">
        <x:v>0.007706293885312891</x:v>
      </x:c>
      <x:c r="F293" s="12">
        <x:v>50861.539643065073</x:v>
      </x:c>
      <x:c r="G293" s="12">
        <x:v>5434000</x:v>
      </x:c>
      <x:c r="H293" s="8">
        <x:v>0.20772381509654764</x:v>
      </x:c>
      <x:c r="I293" s="8">
        <x:v>0.20950219060854297</x:v>
      </x:c>
      <x:c r="J293" s="8">
        <x:v>0.12287887653598596</x:v>
      </x:c>
      <x:c r="K293" s="8">
        <x:v>0.12388077823288472</x:v>
      </x:c>
      <x:c r="L293" s="16">
        <x:v>0.14999999999999997</x:v>
      </x:c>
      <x:c r="M293" s="16">
        <x:v>0.15115594408279692</x:v>
      </x:c>
      <x:c r="N293" s="16">
        <x:v>100.77062938853128</x:v>
      </x:c>
      <x:c r="O293" s="1" t="inlineStr">
        <x:is>
          <x:t>Да</x:t>
        </x:is>
      </x:c>
      <x:c r="P293" s="1" t="inlineStr">
        <x:is>
          <x:t>Да</x:t>
        </x:is>
      </x:c>
      <x:c r="Q293" s="1" t="inlineStr">
        <x:is>
          <x:t>Да</x:t>
        </x:is>
      </x:c>
      <x:c r="R293" s="1" t="inlineStr">
        <x:is>
          <x:t>Да</x:t>
        </x:is>
      </x:c>
      <x:c r="S293" s="1" t="inlineStr">
        <x:is>
          <x:t>Да</x:t>
        </x:is>
      </x:c>
    </x:row>
    <x:row r="294" ht="26" customHeight="1">
      <x:c r="A294" s="1" t="inlineStr">
        <x:is>
          <x:t>Охват H4: ×1.25</x:t>
        </x:is>
      </x:c>
      <x:c r="B294" s="1" t="inlineStr">
        <x:is>
          <x:t>H4</x:t>
        </x:is>
      </x:c>
      <x:c r="C294" s="8">
        <x:v>0.14999999999999997</x:v>
      </x:c>
      <x:c r="D294" s="16">
        <x:v>0.22011256125658243</x:v>
      </x:c>
      <x:c r="E294" s="8">
        <x:v>0.014674170750438831</x:v>
      </x:c>
      <x:c r="F294" s="12">
        <x:v>96849.526952896267</x:v>
      </x:c>
      <x:c r="G294" s="12">
        <x:v>9295000</x:v>
      </x:c>
      <x:c r="H294" s="8">
        <x:v>0.20772381509654764</x:v>
      </x:c>
      <x:c r="I294" s="8">
        <x:v>0.21109227344207138</x:v>
      </x:c>
      <x:c r="J294" s="8">
        <x:v>0.12287887653598596</x:v>
      </x:c>
      <x:c r="K294" s="8">
        <x:v>0.12572322081626677</x:v>
      </x:c>
      <x:c r="L294" s="16">
        <x:v>0.14999999999999997</x:v>
      </x:c>
      <x:c r="M294" s="16">
        <x:v>0.1522011256125658</x:v>
      </x:c>
      <x:c r="N294" s="16">
        <x:v>101.46741707504388</x:v>
      </x:c>
      <x:c r="O294" s="1" t="inlineStr">
        <x:is>
          <x:t>Да</x:t>
        </x:is>
      </x:c>
      <x:c r="P294" s="1" t="inlineStr">
        <x:is>
          <x:t>Да</x:t>
        </x:is>
      </x:c>
      <x:c r="Q294" s="1" t="inlineStr">
        <x:is>
          <x:t>Да</x:t>
        </x:is>
      </x:c>
      <x:c r="R294" s="1" t="inlineStr">
        <x:is>
          <x:t>Да</x:t>
        </x:is>
      </x:c>
      <x:c r="S294" s="1" t="inlineStr">
        <x:is>
          <x:t>Да</x:t>
        </x:is>
      </x:c>
    </x:row>
    <x:row r="295" ht="26" customHeight="1">
      <x:c r="A295" s="1" t="inlineStr">
        <x:is>
          <x:t>Охват H4: ×1.25</x:t>
        </x:is>
      </x:c>
      <x:c r="B295" s="1" t="inlineStr">
        <x:is>
          <x:t>H5</x:t>
        </x:is>
      </x:c>
      <x:c r="C295" s="8">
        <x:v>0.14999999999999997</x:v>
      </x:c>
      <x:c r="D295" s="16">
        <x:v>0.032635400819192133</x:v>
      </x:c>
      <x:c r="E295" s="8">
        <x:v>0.0021756933879461425</x:v>
      </x:c>
      <x:c r="F295" s="12">
        <x:v>14359.576360444538</x:v>
      </x:c>
      <x:c r="G295" s="12">
        <x:v>1830400</x:v>
      </x:c>
      <x:c r="H295" s="8">
        <x:v>0.20772381509654764</x:v>
      </x:c>
      <x:c r="I295" s="8">
        <x:v>0.20820198946752486</x:v>
      </x:c>
      <x:c r="J295" s="8">
        <x:v>0.12287887653598596</x:v>
      </x:c>
      <x:c r="K295" s="8">
        <x:v>0.12538929198361612</x:v>
      </x:c>
      <x:c r="L295" s="16">
        <x:v>0.14999999999999997</x:v>
      </x:c>
      <x:c r="M295" s="16">
        <x:v>0.15032635400819189</x:v>
      </x:c>
      <x:c r="N295" s="16">
        <x:v>100.21756933879462</x:v>
      </x:c>
      <x:c r="O295" s="1" t="inlineStr">
        <x:is>
          <x:t>Да</x:t>
        </x:is>
      </x:c>
      <x:c r="P295" s="1" t="inlineStr">
        <x:is>
          <x:t>Да</x:t>
        </x:is>
      </x:c>
      <x:c r="Q295" s="1" t="inlineStr">
        <x:is>
          <x:t>Да</x:t>
        </x:is>
      </x:c>
      <x:c r="R295" s="1" t="inlineStr">
        <x:is>
          <x:t>Да</x:t>
        </x:is>
      </x:c>
      <x:c r="S295" s="1" t="inlineStr">
        <x:is>
          <x:t>Да</x:t>
        </x:is>
      </x:c>
    </x:row>
    <x:row r="296" ht="26" customHeight="1">
      <x:c r="A296" s="1" t="inlineStr">
        <x:is>
          <x:t>Охват H4: ×1.25</x:t>
        </x:is>
      </x:c>
      <x:c r="B296" s="1" t="inlineStr">
        <x:is>
          <x:t>H6.1</x:t>
        </x:is>
      </x:c>
      <x:c r="C296" s="8">
        <x:v>0.14999999999999997</x:v>
      </x:c>
      <x:c r="D296" s="16">
        <x:v>0.018761761263895525</x:v>
      </x:c>
      <x:c r="E296" s="8">
        <x:v>0.0012507840842597019</x:v>
      </x:c>
      <x:c r="F296" s="12">
        <x:v>8255.1749561140314</x:v>
      </x:c>
      <x:c r="G296" s="12">
        <x:v>1029600</x:v>
      </x:c>
      <x:c r="H296" s="8">
        <x:v>0.20772381509654764</x:v>
      </x:c>
      <x:c r="I296" s="8">
        <x:v>0.20799871269748388</x:v>
      </x:c>
      <x:c r="J296" s="8">
        <x:v>0.12287887653598596</x:v>
      </x:c>
      <x:c r="K296" s="8">
        <x:v>0.12432208894090108</x:v>
      </x:c>
      <x:c r="L296" s="16">
        <x:v>0.14999999999999997</x:v>
      </x:c>
      <x:c r="M296" s="16">
        <x:v>0.15018761761263894</x:v>
      </x:c>
      <x:c r="N296" s="16">
        <x:v>100.12507840842596</x:v>
      </x:c>
      <x:c r="O296" s="1" t="inlineStr">
        <x:is>
          <x:t>Да</x:t>
        </x:is>
      </x:c>
      <x:c r="P296" s="1" t="inlineStr">
        <x:is>
          <x:t>Да</x:t>
        </x:is>
      </x:c>
      <x:c r="Q296" s="1" t="inlineStr">
        <x:is>
          <x:t>Да</x:t>
        </x:is>
      </x:c>
      <x:c r="R296" s="1" t="inlineStr">
        <x:is>
          <x:t>Да</x:t>
        </x:is>
      </x:c>
      <x:c r="S296" s="1" t="inlineStr">
        <x:is>
          <x:t>Да</x:t>
        </x:is>
      </x:c>
    </x:row>
    <x:row r="297" ht="26" customHeight="1">
      <x:c r="A297" s="1" t="inlineStr">
        <x:is>
          <x:t>Охват H4: ×1.25</x:t>
        </x:is>
      </x:c>
      <x:c r="B297" s="1" t="inlineStr">
        <x:is>
          <x:t>H6.2</x:t>
        </x:is>
      </x:c>
      <x:c r="C297" s="8">
        <x:v>0.14999999999999997</x:v>
      </x:c>
      <x:c r="D297" s="16">
        <x:v>0.018761761263895525</x:v>
      </x:c>
      <x:c r="E297" s="8">
        <x:v>0.0012507840842597019</x:v>
      </x:c>
      <x:c r="F297" s="12">
        <x:v>8255.1749561140314</x:v>
      </x:c>
      <x:c r="G297" s="12">
        <x:v>1029600</x:v>
      </x:c>
      <x:c r="H297" s="8">
        <x:v>0.20772381509654764</x:v>
      </x:c>
      <x:c r="I297" s="8">
        <x:v>0.20799871269748388</x:v>
      </x:c>
      <x:c r="J297" s="8">
        <x:v>0.12287887653598596</x:v>
      </x:c>
      <x:c r="K297" s="8">
        <x:v>0.12432208894090108</x:v>
      </x:c>
      <x:c r="L297" s="16">
        <x:v>0.14999999999999997</x:v>
      </x:c>
      <x:c r="M297" s="16">
        <x:v>0.15018761761263894</x:v>
      </x:c>
      <x:c r="N297" s="16">
        <x:v>100.12507840842596</x:v>
      </x:c>
      <x:c r="O297" s="1" t="inlineStr">
        <x:is>
          <x:t>Да</x:t>
        </x:is>
      </x:c>
      <x:c r="P297" s="1" t="inlineStr">
        <x:is>
          <x:t>Да</x:t>
        </x:is>
      </x:c>
      <x:c r="Q297" s="1" t="inlineStr">
        <x:is>
          <x:t>Да</x:t>
        </x:is>
      </x:c>
      <x:c r="R297" s="1" t="inlineStr">
        <x:is>
          <x:t>Да</x:t>
        </x:is>
      </x:c>
      <x:c r="S297" s="1" t="inlineStr">
        <x:is>
          <x:t>Да</x:t>
        </x:is>
      </x:c>
    </x:row>
    <x:row r="298" ht="26" customHeight="1">
      <x:c r="A298" s="1" t="inlineStr">
        <x:is>
          <x:t>Охват H4: ×1.25</x:t>
        </x:is>
      </x:c>
      <x:c r="B298" s="1" t="inlineStr">
        <x:is>
          <x:t>H6.3</x:t>
        </x:is>
      </x:c>
      <x:c r="C298" s="8">
        <x:v>0.14999999999999997</x:v>
      </x:c>
      <x:c r="D298" s="16">
        <x:v>0.018761761263895525</x:v>
      </x:c>
      <x:c r="E298" s="8">
        <x:v>0.0012507840842597019</x:v>
      </x:c>
      <x:c r="F298" s="12">
        <x:v>8255.1749561140314</x:v>
      </x:c>
      <x:c r="G298" s="12">
        <x:v>1029600</x:v>
      </x:c>
      <x:c r="H298" s="8">
        <x:v>0.20772381509654764</x:v>
      </x:c>
      <x:c r="I298" s="8">
        <x:v>0.20799871269748388</x:v>
      </x:c>
      <x:c r="J298" s="8">
        <x:v>0.12287887653598596</x:v>
      </x:c>
      <x:c r="K298" s="8">
        <x:v>0.12432208894090108</x:v>
      </x:c>
      <x:c r="L298" s="16">
        <x:v>0.14999999999999997</x:v>
      </x:c>
      <x:c r="M298" s="16">
        <x:v>0.15018761761263894</x:v>
      </x:c>
      <x:c r="N298" s="16">
        <x:v>100.12507840842596</x:v>
      </x:c>
      <x:c r="O298" s="1" t="inlineStr">
        <x:is>
          <x:t>Да</x:t>
        </x:is>
      </x:c>
      <x:c r="P298" s="1" t="inlineStr">
        <x:is>
          <x:t>Да</x:t>
        </x:is>
      </x:c>
      <x:c r="Q298" s="1" t="inlineStr">
        <x:is>
          <x:t>Да</x:t>
        </x:is>
      </x:c>
      <x:c r="R298" s="1" t="inlineStr">
        <x:is>
          <x:t>Да</x:t>
        </x:is>
      </x:c>
      <x:c r="S298" s="1" t="inlineStr">
        <x:is>
          <x:t>Да</x:t>
        </x:is>
      </x:c>
    </x:row>
    <x:row r="299" ht="26" customHeight="1">
      <x:c r="A299" s="1"/>
      <x:c r="B299" s="1"/>
      <x:c r="C299" s="1"/>
      <x:c r="D299" s="1"/>
      <x:c r="E299" s="1"/>
      <x:c r="F299" s="1"/>
      <x:c r="G299" s="1"/>
      <x:c r="H299" s="1"/>
      <x:c r="I299" s="1"/>
      <x:c r="J299" s="1"/>
      <x:c r="K299" s="1"/>
      <x:c r="L299" s="1"/>
      <x:c r="M299" s="1"/>
      <x:c r="N299" s="1"/>
      <x:c r="O299" s="1"/>
      <x:c r="P299" s="1"/>
      <x:c r="Q299" s="1"/>
      <x:c r="R299" s="1"/>
      <x:c r="S299" s="1"/>
    </x:row>
    <x:row r="300" ht="26" customHeight="1">
      <x:c r="A300" s="1"/>
      <x:c r="B300" s="1"/>
      <x:c r="C300" s="1"/>
      <x:c r="D300" s="1"/>
      <x:c r="E300" s="1"/>
      <x:c r="F300" s="1"/>
      <x:c r="G300" s="1"/>
      <x:c r="H300" s="1"/>
      <x:c r="I300" s="1"/>
      <x:c r="J300" s="1"/>
      <x:c r="K300" s="1"/>
      <x:c r="L300" s="1"/>
      <x:c r="M300" s="1"/>
      <x:c r="N300" s="1"/>
      <x:c r="O300" s="1"/>
      <x:c r="P300" s="1"/>
      <x:c r="Q300" s="1"/>
      <x:c r="R300" s="1"/>
      <x:c r="S300" s="1"/>
    </x:row>
    <x:row r="301" ht="26" customHeight="1">
      <x:c r="A301" s="1"/>
      <x:c r="B301" s="1"/>
      <x:c r="C301" s="1"/>
      <x:c r="D301" s="1"/>
      <x:c r="E301" s="1"/>
      <x:c r="F301" s="1"/>
      <x:c r="G301" s="1"/>
      <x:c r="H301" s="1"/>
      <x:c r="I301" s="1"/>
      <x:c r="J301" s="1"/>
      <x:c r="K301" s="1"/>
      <x:c r="L301" s="1"/>
      <x:c r="M301" s="1"/>
      <x:c r="N301" s="1"/>
      <x:c r="O301" s="1"/>
      <x:c r="P301" s="1"/>
      <x:c r="Q301" s="1"/>
      <x:c r="R301" s="1"/>
      <x:c r="S301" s="1"/>
    </x:row>
    <x:row r="302" ht="26" customHeight="1">
      <x:c r="A302" s="1"/>
      <x:c r="B302" s="1"/>
      <x:c r="C302" s="1"/>
      <x:c r="D302" s="1"/>
      <x:c r="E302" s="1"/>
      <x:c r="F302" s="1"/>
      <x:c r="G302" s="1"/>
      <x:c r="H302" s="1"/>
      <x:c r="I302" s="1"/>
      <x:c r="J302" s="1"/>
      <x:c r="K302" s="1"/>
      <x:c r="L302" s="1"/>
      <x:c r="M302" s="1"/>
      <x:c r="N302" s="1"/>
      <x:c r="O302" s="1"/>
      <x:c r="P302" s="1"/>
      <x:c r="Q302" s="1"/>
      <x:c r="R302" s="1"/>
      <x:c r="S302" s="1"/>
    </x:row>
    <x:row r="303" ht="26" customHeight="1">
      <x:c r="A303" s="1"/>
      <x:c r="B303" s="1"/>
      <x:c r="C303" s="1"/>
      <x:c r="D303" s="1"/>
      <x:c r="E303" s="1"/>
      <x:c r="F303" s="1"/>
      <x:c r="G303" s="1"/>
      <x:c r="H303" s="1"/>
      <x:c r="I303" s="1"/>
      <x:c r="J303" s="1"/>
      <x:c r="K303" s="1"/>
      <x:c r="L303" s="1"/>
      <x:c r="M303" s="1"/>
      <x:c r="N303" s="1"/>
      <x:c r="O303" s="1"/>
      <x:c r="P303" s="1"/>
      <x:c r="Q303" s="1"/>
      <x:c r="R303" s="1"/>
      <x:c r="S303" s="1"/>
    </x:row>
    <x:row r="304" ht="26" customHeight="1">
      <x:c r="A304" s="1"/>
      <x:c r="B304" s="1"/>
      <x:c r="C304" s="1"/>
      <x:c r="D304" s="1"/>
      <x:c r="E304" s="1"/>
      <x:c r="F304" s="1"/>
      <x:c r="G304" s="1"/>
      <x:c r="H304" s="1"/>
      <x:c r="I304" s="1"/>
      <x:c r="J304" s="1"/>
      <x:c r="K304" s="1"/>
      <x:c r="L304" s="1"/>
      <x:c r="M304" s="1"/>
      <x:c r="N304" s="1"/>
      <x:c r="O304" s="1"/>
      <x:c r="P304" s="1"/>
      <x:c r="Q304" s="1"/>
      <x:c r="R304" s="1"/>
      <x:c r="S304" s="1"/>
    </x:row>
    <x:row r="305" ht="26" customHeight="1">
      <x:c r="A305" s="1"/>
      <x:c r="B305" s="1"/>
      <x:c r="C305" s="1"/>
      <x:c r="D305" s="1"/>
      <x:c r="E305" s="1"/>
      <x:c r="F305" s="1"/>
      <x:c r="G305" s="1"/>
      <x:c r="H305" s="1"/>
      <x:c r="I305" s="1"/>
      <x:c r="J305" s="1"/>
      <x:c r="K305" s="1"/>
      <x:c r="L305" s="1"/>
      <x:c r="M305" s="1"/>
      <x:c r="N305" s="1"/>
      <x:c r="O305" s="1"/>
      <x:c r="P305" s="1"/>
      <x:c r="Q305" s="1"/>
      <x:c r="R305" s="1"/>
      <x:c r="S305" s="1"/>
    </x:row>
    <x:row r="306" ht="26" customHeight="1">
      <x:c r="A306" s="1"/>
      <x:c r="B306" s="1"/>
      <x:c r="C306" s="1"/>
      <x:c r="D306" s="1"/>
      <x:c r="E306" s="1"/>
      <x:c r="F306" s="1"/>
      <x:c r="G306" s="1"/>
      <x:c r="H306" s="1"/>
      <x:c r="I306" s="1"/>
      <x:c r="J306" s="1"/>
      <x:c r="K306" s="1"/>
      <x:c r="L306" s="1"/>
      <x:c r="M306" s="1"/>
      <x:c r="N306" s="1"/>
      <x:c r="O306" s="1"/>
      <x:c r="P306" s="1"/>
      <x:c r="Q306" s="1"/>
      <x:c r="R306" s="1"/>
      <x:c r="S306" s="1"/>
    </x:row>
    <x:row r="307" ht="26" customHeight="1">
      <x:c r="A307" s="1"/>
      <x:c r="B307" s="1"/>
      <x:c r="C307" s="1"/>
      <x:c r="D307" s="1"/>
      <x:c r="E307" s="1"/>
      <x:c r="F307" s="1"/>
      <x:c r="G307" s="1"/>
      <x:c r="H307" s="1"/>
      <x:c r="I307" s="1"/>
      <x:c r="J307" s="1"/>
      <x:c r="K307" s="1"/>
      <x:c r="L307" s="1"/>
      <x:c r="M307" s="1"/>
      <x:c r="N307" s="1"/>
      <x:c r="O307" s="1"/>
      <x:c r="P307" s="1"/>
      <x:c r="Q307" s="1"/>
      <x:c r="R307" s="1"/>
      <x:c r="S307" s="1"/>
    </x:row>
    <x:row r="308" ht="26" customHeight="1">
      <x:c r="A308" s="1"/>
      <x:c r="B308" s="1"/>
      <x:c r="C308" s="1"/>
      <x:c r="D308" s="1"/>
      <x:c r="E308" s="1"/>
      <x:c r="F308" s="1"/>
      <x:c r="G308" s="1"/>
      <x:c r="H308" s="1"/>
      <x:c r="I308" s="1"/>
      <x:c r="J308" s="1"/>
      <x:c r="K308" s="1"/>
      <x:c r="L308" s="1"/>
      <x:c r="M308" s="1"/>
      <x:c r="N308" s="1"/>
      <x:c r="O308" s="1"/>
      <x:c r="P308" s="1"/>
      <x:c r="Q308" s="1"/>
      <x:c r="R308" s="1"/>
      <x:c r="S308" s="1"/>
    </x:row>
    <x:row r="309" ht="26" customHeight="1">
      <x:c r="A309" s="1"/>
      <x:c r="B309" s="1"/>
      <x:c r="C309" s="1"/>
      <x:c r="D309" s="1"/>
      <x:c r="E309" s="1"/>
      <x:c r="F309" s="1"/>
      <x:c r="G309" s="1"/>
      <x:c r="H309" s="1"/>
      <x:c r="I309" s="1"/>
      <x:c r="J309" s="1"/>
      <x:c r="K309" s="1"/>
      <x:c r="L309" s="1"/>
      <x:c r="M309" s="1"/>
      <x:c r="N309" s="1"/>
      <x:c r="O309" s="1"/>
      <x:c r="P309" s="1"/>
      <x:c r="Q309" s="1"/>
      <x:c r="R309" s="1"/>
      <x:c r="S309" s="1"/>
    </x:row>
    <x:row r="310" ht="26" customHeight="1">
      <x:c r="A310" s="1"/>
      <x:c r="B310" s="1"/>
      <x:c r="C310" s="1"/>
      <x:c r="D310" s="1"/>
      <x:c r="E310" s="1"/>
      <x:c r="F310" s="1"/>
      <x:c r="G310" s="1"/>
      <x:c r="H310" s="1"/>
      <x:c r="I310" s="1"/>
      <x:c r="J310" s="1"/>
      <x:c r="K310" s="1"/>
      <x:c r="L310" s="1"/>
      <x:c r="M310" s="1"/>
      <x:c r="N310" s="1"/>
      <x:c r="O310" s="1"/>
      <x:c r="P310" s="1"/>
      <x:c r="Q310" s="1"/>
      <x:c r="R310" s="1"/>
      <x:c r="S310" s="1"/>
    </x:row>
    <x:row r="311" ht="26" customHeight="1">
      <x:c r="A311" s="1"/>
      <x:c r="B311" s="1"/>
      <x:c r="C311" s="1"/>
      <x:c r="D311" s="1"/>
      <x:c r="E311" s="1"/>
      <x:c r="F311" s="1"/>
      <x:c r="G311" s="1"/>
      <x:c r="H311" s="1"/>
      <x:c r="I311" s="1"/>
      <x:c r="J311" s="1"/>
      <x:c r="K311" s="1"/>
      <x:c r="L311" s="1"/>
      <x:c r="M311" s="1"/>
      <x:c r="N311" s="1"/>
      <x:c r="O311" s="1"/>
      <x:c r="P311" s="1"/>
      <x:c r="Q311" s="1"/>
      <x:c r="R311" s="1"/>
      <x:c r="S311" s="1"/>
    </x:row>
    <x:row r="312" ht="26" customHeight="1">
      <x:c r="A312" s="1"/>
      <x:c r="B312" s="1"/>
      <x:c r="C312" s="1"/>
      <x:c r="D312" s="1"/>
      <x:c r="E312" s="1"/>
      <x:c r="F312" s="1"/>
      <x:c r="G312" s="1"/>
      <x:c r="H312" s="1"/>
      <x:c r="I312" s="1"/>
      <x:c r="J312" s="1"/>
      <x:c r="K312" s="1"/>
      <x:c r="L312" s="1"/>
      <x:c r="M312" s="1"/>
      <x:c r="N312" s="1"/>
      <x:c r="O312" s="1"/>
      <x:c r="P312" s="1"/>
      <x:c r="Q312" s="1"/>
      <x:c r="R312" s="1"/>
      <x:c r="S312" s="1"/>
    </x:row>
    <x:row r="313" ht="26" customHeight="1">
      <x:c r="A313" s="1"/>
      <x:c r="B313" s="1"/>
      <x:c r="C313" s="1"/>
      <x:c r="D313" s="1"/>
      <x:c r="E313" s="1"/>
      <x:c r="F313" s="1"/>
      <x:c r="G313" s="1"/>
      <x:c r="H313" s="1"/>
      <x:c r="I313" s="1"/>
      <x:c r="J313" s="1"/>
      <x:c r="K313" s="1"/>
      <x:c r="L313" s="1"/>
      <x:c r="M313" s="1"/>
      <x:c r="N313" s="1"/>
      <x:c r="O313" s="1"/>
      <x:c r="P313" s="1"/>
      <x:c r="Q313" s="1"/>
      <x:c r="R313" s="1"/>
      <x:c r="S313" s="1"/>
    </x:row>
    <x:row r="314" ht="26" customHeight="1">
      <x:c r="A314" s="1"/>
      <x:c r="B314" s="1"/>
      <x:c r="C314" s="1"/>
      <x:c r="D314" s="1"/>
      <x:c r="E314" s="1"/>
      <x:c r="F314" s="1"/>
      <x:c r="G314" s="1"/>
      <x:c r="H314" s="1"/>
      <x:c r="I314" s="1"/>
      <x:c r="J314" s="1"/>
      <x:c r="K314" s="1"/>
      <x:c r="L314" s="1"/>
      <x:c r="M314" s="1"/>
      <x:c r="N314" s="1"/>
      <x:c r="O314" s="1"/>
      <x:c r="P314" s="1"/>
      <x:c r="Q314" s="1"/>
      <x:c r="R314" s="1"/>
      <x:c r="S314" s="1"/>
    </x:row>
    <x:row r="315" ht="26" customHeight="1">
      <x:c r="A315" s="1"/>
      <x:c r="B315" s="1"/>
      <x:c r="C315" s="1"/>
      <x:c r="D315" s="1"/>
      <x:c r="E315" s="1"/>
      <x:c r="F315" s="1"/>
      <x:c r="G315" s="1"/>
      <x:c r="H315" s="1"/>
      <x:c r="I315" s="1"/>
      <x:c r="J315" s="1"/>
      <x:c r="K315" s="1"/>
      <x:c r="L315" s="1"/>
      <x:c r="M315" s="1"/>
      <x:c r="N315" s="1"/>
      <x:c r="O315" s="1"/>
      <x:c r="P315" s="1"/>
      <x:c r="Q315" s="1"/>
      <x:c r="R315" s="1"/>
      <x:c r="S315" s="1"/>
    </x:row>
    <x:row r="316" ht="26" customHeight="1">
      <x:c r="A316" s="1"/>
      <x:c r="B316" s="1"/>
      <x:c r="C316" s="1"/>
      <x:c r="D316" s="1"/>
      <x:c r="E316" s="1"/>
      <x:c r="F316" s="1"/>
      <x:c r="G316" s="1"/>
      <x:c r="H316" s="1"/>
      <x:c r="I316" s="1"/>
      <x:c r="J316" s="1"/>
      <x:c r="K316" s="1"/>
      <x:c r="L316" s="1"/>
      <x:c r="M316" s="1"/>
      <x:c r="N316" s="1"/>
      <x:c r="O316" s="1"/>
      <x:c r="P316" s="1"/>
      <x:c r="Q316" s="1"/>
      <x:c r="R316" s="1"/>
      <x:c r="S316" s="1"/>
    </x:row>
    <x:row r="317" ht="26" customHeight="1">
      <x:c r="A317" s="1"/>
      <x:c r="B317" s="1"/>
      <x:c r="C317" s="1"/>
      <x:c r="D317" s="1"/>
      <x:c r="E317" s="1"/>
      <x:c r="F317" s="1"/>
      <x:c r="G317" s="1"/>
      <x:c r="H317" s="1"/>
      <x:c r="I317" s="1"/>
      <x:c r="J317" s="1"/>
      <x:c r="K317" s="1"/>
      <x:c r="L317" s="1"/>
      <x:c r="M317" s="1"/>
      <x:c r="N317" s="1"/>
      <x:c r="O317" s="1"/>
      <x:c r="P317" s="1"/>
      <x:c r="Q317" s="1"/>
      <x:c r="R317" s="1"/>
      <x:c r="S317" s="1"/>
    </x:row>
    <x:row r="318" ht="26" customHeight="1">
      <x:c r="A318" s="1"/>
      <x:c r="B318" s="1"/>
      <x:c r="C318" s="1"/>
      <x:c r="D318" s="1"/>
      <x:c r="E318" s="1"/>
      <x:c r="F318" s="1"/>
      <x:c r="G318" s="1"/>
      <x:c r="H318" s="1"/>
      <x:c r="I318" s="1"/>
      <x:c r="J318" s="1"/>
      <x:c r="K318" s="1"/>
      <x:c r="L318" s="1"/>
      <x:c r="M318" s="1"/>
      <x:c r="N318" s="1"/>
      <x:c r="O318" s="1"/>
      <x:c r="P318" s="1"/>
      <x:c r="Q318" s="1"/>
      <x:c r="R318" s="1"/>
      <x:c r="S318" s="1"/>
    </x:row>
    <x:row r="319" ht="26" customHeight="1">
      <x:c r="A319" s="1"/>
      <x:c r="B319" s="1"/>
      <x:c r="C319" s="1"/>
      <x:c r="D319" s="1"/>
      <x:c r="E319" s="1"/>
      <x:c r="F319" s="1"/>
      <x:c r="G319" s="1"/>
      <x:c r="H319" s="1"/>
      <x:c r="I319" s="1"/>
      <x:c r="J319" s="1"/>
      <x:c r="K319" s="1"/>
      <x:c r="L319" s="1"/>
      <x:c r="M319" s="1"/>
      <x:c r="N319" s="1"/>
      <x:c r="O319" s="1"/>
      <x:c r="P319" s="1"/>
      <x:c r="Q319" s="1"/>
      <x:c r="R319" s="1"/>
      <x:c r="S319" s="1"/>
    </x:row>
    <x:row r="320" ht="26" customHeight="1">
      <x:c r="A320" s="1"/>
      <x:c r="B320" s="1"/>
      <x:c r="C320" s="1"/>
      <x:c r="D320" s="1"/>
      <x:c r="E320" s="1"/>
      <x:c r="F320" s="1"/>
      <x:c r="G320" s="1"/>
      <x:c r="H320" s="1"/>
      <x:c r="I320" s="1"/>
      <x:c r="J320" s="1"/>
      <x:c r="K320" s="1"/>
      <x:c r="L320" s="1"/>
      <x:c r="M320" s="1"/>
      <x:c r="N320" s="1"/>
      <x:c r="O320" s="1"/>
      <x:c r="P320" s="1"/>
      <x:c r="Q320" s="1"/>
      <x:c r="R320" s="1"/>
      <x:c r="S320" s="1"/>
    </x:row>
    <x:row r="321" ht="26" customHeight="1">
      <x:c r="A321" s="1"/>
      <x:c r="B321" s="1"/>
      <x:c r="C321" s="1"/>
      <x:c r="D321" s="1"/>
      <x:c r="E321" s="1"/>
      <x:c r="F321" s="1"/>
      <x:c r="G321" s="1"/>
      <x:c r="H321" s="1"/>
      <x:c r="I321" s="1"/>
      <x:c r="J321" s="1"/>
      <x:c r="K321" s="1"/>
      <x:c r="L321" s="1"/>
      <x:c r="M321" s="1"/>
      <x:c r="N321" s="1"/>
      <x:c r="O321" s="1"/>
      <x:c r="P321" s="1"/>
      <x:c r="Q321" s="1"/>
      <x:c r="R321" s="1"/>
      <x:c r="S321" s="1"/>
    </x:row>
    <x:row r="322" ht="26" customHeight="1">
      <x:c r="A322" s="1"/>
      <x:c r="B322" s="1"/>
      <x:c r="C322" s="1"/>
      <x:c r="D322" s="1"/>
      <x:c r="E322" s="1"/>
      <x:c r="F322" s="1"/>
      <x:c r="G322" s="1"/>
      <x:c r="H322" s="1"/>
      <x:c r="I322" s="1"/>
      <x:c r="J322" s="1"/>
      <x:c r="K322" s="1"/>
      <x:c r="L322" s="1"/>
      <x:c r="M322" s="1"/>
      <x:c r="N322" s="1"/>
      <x:c r="O322" s="1"/>
      <x:c r="P322" s="1"/>
      <x:c r="Q322" s="1"/>
      <x:c r="R322" s="1"/>
      <x:c r="S322" s="1"/>
    </x:row>
    <x:row r="323" ht="26" customHeight="1">
      <x:c r="A323" s="1"/>
      <x:c r="B323" s="1"/>
      <x:c r="C323" s="1"/>
      <x:c r="D323" s="1"/>
      <x:c r="E323" s="1"/>
      <x:c r="F323" s="1"/>
      <x:c r="G323" s="1"/>
      <x:c r="H323" s="1"/>
      <x:c r="I323" s="1"/>
      <x:c r="J323" s="1"/>
      <x:c r="K323" s="1"/>
      <x:c r="L323" s="1"/>
      <x:c r="M323" s="1"/>
      <x:c r="N323" s="1"/>
      <x:c r="O323" s="1"/>
      <x:c r="P323" s="1"/>
      <x:c r="Q323" s="1"/>
      <x:c r="R323" s="1"/>
      <x:c r="S323" s="1"/>
    </x:row>
    <x:row r="324" ht="26" customHeight="1">
      <x:c r="A324" s="1"/>
      <x:c r="B324" s="1"/>
      <x:c r="C324" s="1"/>
      <x:c r="D324" s="1"/>
      <x:c r="E324" s="1"/>
      <x:c r="F324" s="1"/>
      <x:c r="G324" s="1"/>
      <x:c r="H324" s="1"/>
      <x:c r="I324" s="1"/>
      <x:c r="J324" s="1"/>
      <x:c r="K324" s="1"/>
      <x:c r="L324" s="1"/>
      <x:c r="M324" s="1"/>
      <x:c r="N324" s="1"/>
      <x:c r="O324" s="1"/>
      <x:c r="P324" s="1"/>
      <x:c r="Q324" s="1"/>
      <x:c r="R324" s="1"/>
      <x:c r="S324" s="1"/>
    </x:row>
    <x:row r="325" ht="26" customHeight="1">
      <x:c r="A325" s="1"/>
      <x:c r="B325" s="1"/>
      <x:c r="C325" s="1"/>
      <x:c r="D325" s="1"/>
      <x:c r="E325" s="1"/>
      <x:c r="F325" s="1"/>
      <x:c r="G325" s="1"/>
      <x:c r="H325" s="1"/>
      <x:c r="I325" s="1"/>
      <x:c r="J325" s="1"/>
      <x:c r="K325" s="1"/>
      <x:c r="L325" s="1"/>
      <x:c r="M325" s="1"/>
      <x:c r="N325" s="1"/>
      <x:c r="O325" s="1"/>
      <x:c r="P325" s="1"/>
      <x:c r="Q325" s="1"/>
      <x:c r="R325" s="1"/>
      <x:c r="S325" s="1"/>
    </x:row>
    <x:row r="326" ht="26" customHeight="1">
      <x:c r="A326" s="1"/>
      <x:c r="B326" s="1"/>
      <x:c r="C326" s="1"/>
      <x:c r="D326" s="1"/>
      <x:c r="E326" s="1"/>
      <x:c r="F326" s="1"/>
      <x:c r="G326" s="1"/>
      <x:c r="H326" s="1"/>
      <x:c r="I326" s="1"/>
      <x:c r="J326" s="1"/>
      <x:c r="K326" s="1"/>
      <x:c r="L326" s="1"/>
      <x:c r="M326" s="1"/>
      <x:c r="N326" s="1"/>
      <x:c r="O326" s="1"/>
      <x:c r="P326" s="1"/>
      <x:c r="Q326" s="1"/>
      <x:c r="R326" s="1"/>
      <x:c r="S326" s="1"/>
    </x:row>
    <x:row r="327" ht="26" customHeight="1">
      <x:c r="A327" s="1"/>
      <x:c r="B327" s="1"/>
      <x:c r="C327" s="1"/>
      <x:c r="D327" s="1"/>
      <x:c r="E327" s="1"/>
      <x:c r="F327" s="1"/>
      <x:c r="G327" s="1"/>
      <x:c r="H327" s="1"/>
      <x:c r="I327" s="1"/>
      <x:c r="J327" s="1"/>
      <x:c r="K327" s="1"/>
      <x:c r="L327" s="1"/>
      <x:c r="M327" s="1"/>
      <x:c r="N327" s="1"/>
      <x:c r="O327" s="1"/>
      <x:c r="P327" s="1"/>
      <x:c r="Q327" s="1"/>
      <x:c r="R327" s="1"/>
      <x:c r="S327" s="1"/>
    </x:row>
    <x:row r="328" ht="26" customHeight="1">
      <x:c r="A328" s="1"/>
      <x:c r="B328" s="1"/>
      <x:c r="C328" s="1"/>
      <x:c r="D328" s="1"/>
      <x:c r="E328" s="1"/>
      <x:c r="F328" s="1"/>
      <x:c r="G328" s="1"/>
      <x:c r="H328" s="1"/>
      <x:c r="I328" s="1"/>
      <x:c r="J328" s="1"/>
      <x:c r="K328" s="1"/>
      <x:c r="L328" s="1"/>
      <x:c r="M328" s="1"/>
      <x:c r="N328" s="1"/>
      <x:c r="O328" s="1"/>
      <x:c r="P328" s="1"/>
      <x:c r="Q328" s="1"/>
      <x:c r="R328" s="1"/>
      <x:c r="S328" s="1"/>
    </x:row>
    <x:row r="329" ht="26" customHeight="1">
      <x:c r="A329" s="1"/>
      <x:c r="B329" s="1"/>
      <x:c r="C329" s="1"/>
      <x:c r="D329" s="1"/>
      <x:c r="E329" s="1"/>
      <x:c r="F329" s="1"/>
      <x:c r="G329" s="1"/>
      <x:c r="H329" s="1"/>
      <x:c r="I329" s="1"/>
      <x:c r="J329" s="1"/>
      <x:c r="K329" s="1"/>
      <x:c r="L329" s="1"/>
      <x:c r="M329" s="1"/>
      <x:c r="N329" s="1"/>
      <x:c r="O329" s="1"/>
      <x:c r="P329" s="1"/>
      <x:c r="Q329" s="1"/>
      <x:c r="R329" s="1"/>
      <x:c r="S329" s="1"/>
    </x:row>
    <x:row r="330" ht="26" customHeight="1">
      <x:c r="A330" s="1"/>
      <x:c r="B330" s="1"/>
      <x:c r="C330" s="1"/>
      <x:c r="D330" s="1"/>
      <x:c r="E330" s="1"/>
      <x:c r="F330" s="1"/>
      <x:c r="G330" s="1"/>
      <x:c r="H330" s="1"/>
      <x:c r="I330" s="1"/>
      <x:c r="J330" s="1"/>
      <x:c r="K330" s="1"/>
      <x:c r="L330" s="1"/>
      <x:c r="M330" s="1"/>
      <x:c r="N330" s="1"/>
      <x:c r="O330" s="1"/>
      <x:c r="P330" s="1"/>
      <x:c r="Q330" s="1"/>
      <x:c r="R330" s="1"/>
      <x:c r="S330" s="1"/>
    </x:row>
    <x:row r="331" ht="26" customHeight="1">
      <x:c r="A331" s="1"/>
      <x:c r="B331" s="1"/>
      <x:c r="C331" s="1"/>
      <x:c r="D331" s="1"/>
      <x:c r="E331" s="1"/>
      <x:c r="F331" s="1"/>
      <x:c r="G331" s="1"/>
      <x:c r="H331" s="1"/>
      <x:c r="I331" s="1"/>
      <x:c r="J331" s="1"/>
      <x:c r="K331" s="1"/>
      <x:c r="L331" s="1"/>
      <x:c r="M331" s="1"/>
      <x:c r="N331" s="1"/>
      <x:c r="O331" s="1"/>
      <x:c r="P331" s="1"/>
      <x:c r="Q331" s="1"/>
      <x:c r="R331" s="1"/>
      <x:c r="S331" s="1"/>
    </x:row>
    <x:row r="332" ht="26" customHeight="1">
      <x:c r="A332" s="1"/>
      <x:c r="B332" s="1"/>
      <x:c r="C332" s="1"/>
      <x:c r="D332" s="1"/>
      <x:c r="E332" s="1"/>
      <x:c r="F332" s="1"/>
      <x:c r="G332" s="1"/>
      <x:c r="H332" s="1"/>
      <x:c r="I332" s="1"/>
      <x:c r="J332" s="1"/>
      <x:c r="K332" s="1"/>
      <x:c r="L332" s="1"/>
      <x:c r="M332" s="1"/>
      <x:c r="N332" s="1"/>
      <x:c r="O332" s="1"/>
      <x:c r="P332" s="1"/>
      <x:c r="Q332" s="1"/>
      <x:c r="R332" s="1"/>
      <x:c r="S332" s="1"/>
    </x:row>
    <x:row r="333" ht="26" customHeight="1">
      <x:c r="A333" s="1"/>
      <x:c r="B333" s="1"/>
      <x:c r="C333" s="1"/>
      <x:c r="D333" s="1"/>
      <x:c r="E333" s="1"/>
      <x:c r="F333" s="1"/>
      <x:c r="G333" s="1"/>
      <x:c r="H333" s="1"/>
      <x:c r="I333" s="1"/>
      <x:c r="J333" s="1"/>
      <x:c r="K333" s="1"/>
      <x:c r="L333" s="1"/>
      <x:c r="M333" s="1"/>
      <x:c r="N333" s="1"/>
      <x:c r="O333" s="1"/>
      <x:c r="P333" s="1"/>
      <x:c r="Q333" s="1"/>
      <x:c r="R333" s="1"/>
      <x:c r="S333" s="1"/>
    </x:row>
    <x:row r="334" ht="26" customHeight="1">
      <x:c r="A334" s="1"/>
      <x:c r="B334" s="1"/>
      <x:c r="C334" s="1"/>
      <x:c r="D334" s="1"/>
      <x:c r="E334" s="1"/>
      <x:c r="F334" s="1"/>
      <x:c r="G334" s="1"/>
      <x:c r="H334" s="1"/>
      <x:c r="I334" s="1"/>
      <x:c r="J334" s="1"/>
      <x:c r="K334" s="1"/>
      <x:c r="L334" s="1"/>
      <x:c r="M334" s="1"/>
      <x:c r="N334" s="1"/>
      <x:c r="O334" s="1"/>
      <x:c r="P334" s="1"/>
      <x:c r="Q334" s="1"/>
      <x:c r="R334" s="1"/>
      <x:c r="S334" s="1"/>
    </x:row>
    <x:row r="335" ht="26" customHeight="1">
      <x:c r="A335" s="1"/>
      <x:c r="B335" s="1"/>
      <x:c r="C335" s="1"/>
      <x:c r="D335" s="1"/>
      <x:c r="E335" s="1"/>
      <x:c r="F335" s="1"/>
      <x:c r="G335" s="1"/>
      <x:c r="H335" s="1"/>
      <x:c r="I335" s="1"/>
      <x:c r="J335" s="1"/>
      <x:c r="K335" s="1"/>
      <x:c r="L335" s="1"/>
      <x:c r="M335" s="1"/>
      <x:c r="N335" s="1"/>
      <x:c r="O335" s="1"/>
      <x:c r="P335" s="1"/>
      <x:c r="Q335" s="1"/>
      <x:c r="R335" s="1"/>
      <x:c r="S335" s="1"/>
    </x:row>
    <x:row r="336" ht="26" customHeight="1">
      <x:c r="A336" s="1"/>
      <x:c r="B336" s="1"/>
      <x:c r="C336" s="1"/>
      <x:c r="D336" s="1"/>
      <x:c r="E336" s="1"/>
      <x:c r="F336" s="1"/>
      <x:c r="G336" s="1"/>
      <x:c r="H336" s="1"/>
      <x:c r="I336" s="1"/>
      <x:c r="J336" s="1"/>
      <x:c r="K336" s="1"/>
      <x:c r="L336" s="1"/>
      <x:c r="M336" s="1"/>
      <x:c r="N336" s="1"/>
      <x:c r="O336" s="1"/>
      <x:c r="P336" s="1"/>
      <x:c r="Q336" s="1"/>
      <x:c r="R336" s="1"/>
      <x:c r="S336" s="1"/>
    </x:row>
    <x:row r="337" ht="26" customHeight="1">
      <x:c r="A337" s="1"/>
      <x:c r="B337" s="1"/>
      <x:c r="C337" s="1"/>
      <x:c r="D337" s="1"/>
      <x:c r="E337" s="1"/>
      <x:c r="F337" s="1"/>
      <x:c r="G337" s="1"/>
      <x:c r="H337" s="1"/>
      <x:c r="I337" s="1"/>
      <x:c r="J337" s="1"/>
      <x:c r="K337" s="1"/>
      <x:c r="L337" s="1"/>
      <x:c r="M337" s="1"/>
      <x:c r="N337" s="1"/>
      <x:c r="O337" s="1"/>
      <x:c r="P337" s="1"/>
      <x:c r="Q337" s="1"/>
      <x:c r="R337" s="1"/>
      <x:c r="S337" s="1"/>
    </x:row>
    <x:row r="338" ht="26" customHeight="1">
      <x:c r="A338" s="1"/>
      <x:c r="B338" s="1"/>
      <x:c r="C338" s="1"/>
      <x:c r="D338" s="1"/>
      <x:c r="E338" s="1"/>
      <x:c r="F338" s="1"/>
      <x:c r="G338" s="1"/>
      <x:c r="H338" s="1"/>
      <x:c r="I338" s="1"/>
      <x:c r="J338" s="1"/>
      <x:c r="K338" s="1"/>
      <x:c r="L338" s="1"/>
      <x:c r="M338" s="1"/>
      <x:c r="N338" s="1"/>
      <x:c r="O338" s="1"/>
      <x:c r="P338" s="1"/>
      <x:c r="Q338" s="1"/>
      <x:c r="R338" s="1"/>
      <x:c r="S338" s="1"/>
    </x:row>
    <x:row r="339" ht="26" customHeight="1">
      <x:c r="A339" s="1"/>
      <x:c r="B339" s="1"/>
      <x:c r="C339" s="1"/>
      <x:c r="D339" s="1"/>
      <x:c r="E339" s="1"/>
      <x:c r="F339" s="1"/>
      <x:c r="G339" s="1"/>
      <x:c r="H339" s="1"/>
      <x:c r="I339" s="1"/>
      <x:c r="J339" s="1"/>
      <x:c r="K339" s="1"/>
      <x:c r="L339" s="1"/>
      <x:c r="M339" s="1"/>
      <x:c r="N339" s="1"/>
      <x:c r="O339" s="1"/>
      <x:c r="P339" s="1"/>
      <x:c r="Q339" s="1"/>
      <x:c r="R339" s="1"/>
      <x:c r="S339" s="1"/>
    </x:row>
    <x:row r="340" ht="26" customHeight="1">
      <x:c r="A340" s="1"/>
      <x:c r="B340" s="1"/>
      <x:c r="C340" s="1"/>
      <x:c r="D340" s="1"/>
      <x:c r="E340" s="1"/>
      <x:c r="F340" s="1"/>
      <x:c r="G340" s="1"/>
      <x:c r="H340" s="1"/>
      <x:c r="I340" s="1"/>
      <x:c r="J340" s="1"/>
      <x:c r="K340" s="1"/>
      <x:c r="L340" s="1"/>
      <x:c r="M340" s="1"/>
      <x:c r="N340" s="1"/>
      <x:c r="O340" s="1"/>
      <x:c r="P340" s="1"/>
      <x:c r="Q340" s="1"/>
      <x:c r="R340" s="1"/>
      <x:c r="S340" s="1"/>
    </x:row>
    <x:row r="341" ht="26" customHeight="1">
      <x:c r="A341" s="1"/>
      <x:c r="B341" s="1"/>
      <x:c r="C341" s="1"/>
      <x:c r="D341" s="1"/>
      <x:c r="E341" s="1"/>
      <x:c r="F341" s="1"/>
      <x:c r="G341" s="1"/>
      <x:c r="H341" s="1"/>
      <x:c r="I341" s="1"/>
      <x:c r="J341" s="1"/>
      <x:c r="K341" s="1"/>
      <x:c r="L341" s="1"/>
      <x:c r="M341" s="1"/>
      <x:c r="N341" s="1"/>
      <x:c r="O341" s="1"/>
      <x:c r="P341" s="1"/>
      <x:c r="Q341" s="1"/>
      <x:c r="R341" s="1"/>
      <x:c r="S341" s="1"/>
    </x:row>
    <x:row r="342" ht="26" customHeight="1">
      <x:c r="A342" s="1"/>
      <x:c r="B342" s="1"/>
      <x:c r="C342" s="1"/>
      <x:c r="D342" s="1"/>
      <x:c r="E342" s="1"/>
      <x:c r="F342" s="1"/>
      <x:c r="G342" s="1"/>
      <x:c r="H342" s="1"/>
      <x:c r="I342" s="1"/>
      <x:c r="J342" s="1"/>
      <x:c r="K342" s="1"/>
      <x:c r="L342" s="1"/>
      <x:c r="M342" s="1"/>
      <x:c r="N342" s="1"/>
      <x:c r="O342" s="1"/>
      <x:c r="P342" s="1"/>
      <x:c r="Q342" s="1"/>
      <x:c r="R342" s="1"/>
      <x:c r="S342" s="1"/>
    </x:row>
    <x:row r="343" ht="26" customHeight="1">
      <x:c r="A343" s="1"/>
      <x:c r="B343" s="1"/>
      <x:c r="C343" s="1"/>
      <x:c r="D343" s="1"/>
      <x:c r="E343" s="1"/>
      <x:c r="F343" s="1"/>
      <x:c r="G343" s="1"/>
      <x:c r="H343" s="1"/>
      <x:c r="I343" s="1"/>
      <x:c r="J343" s="1"/>
      <x:c r="K343" s="1"/>
      <x:c r="L343" s="1"/>
      <x:c r="M343" s="1"/>
      <x:c r="N343" s="1"/>
      <x:c r="O343" s="1"/>
      <x:c r="P343" s="1"/>
      <x:c r="Q343" s="1"/>
      <x:c r="R343" s="1"/>
      <x:c r="S343" s="1"/>
    </x:row>
    <x:row r="344" ht="26" customHeight="1">
      <x:c r="A344" s="1"/>
      <x:c r="B344" s="1"/>
      <x:c r="C344" s="1"/>
      <x:c r="D344" s="1"/>
      <x:c r="E344" s="1"/>
      <x:c r="F344" s="1"/>
      <x:c r="G344" s="1"/>
      <x:c r="H344" s="1"/>
      <x:c r="I344" s="1"/>
      <x:c r="J344" s="1"/>
      <x:c r="K344" s="1"/>
      <x:c r="L344" s="1"/>
      <x:c r="M344" s="1"/>
      <x:c r="N344" s="1"/>
      <x:c r="O344" s="1"/>
      <x:c r="P344" s="1"/>
      <x:c r="Q344" s="1"/>
      <x:c r="R344" s="1"/>
      <x:c r="S344" s="1"/>
    </x:row>
    <x:row r="345" ht="26" customHeight="1">
      <x:c r="A345" s="1"/>
      <x:c r="B345" s="1"/>
      <x:c r="C345" s="1"/>
      <x:c r="D345" s="1"/>
      <x:c r="E345" s="1"/>
      <x:c r="F345" s="1"/>
      <x:c r="G345" s="1"/>
      <x:c r="H345" s="1"/>
      <x:c r="I345" s="1"/>
      <x:c r="J345" s="1"/>
      <x:c r="K345" s="1"/>
      <x:c r="L345" s="1"/>
      <x:c r="M345" s="1"/>
      <x:c r="N345" s="1"/>
      <x:c r="O345" s="1"/>
      <x:c r="P345" s="1"/>
      <x:c r="Q345" s="1"/>
      <x:c r="R345" s="1"/>
      <x:c r="S345" s="1"/>
    </x:row>
    <x:row r="346" ht="26" customHeight="1">
      <x:c r="A346" s="1"/>
      <x:c r="B346" s="1"/>
      <x:c r="C346" s="1"/>
      <x:c r="D346" s="1"/>
      <x:c r="E346" s="1"/>
      <x:c r="F346" s="1"/>
      <x:c r="G346" s="1"/>
      <x:c r="H346" s="1"/>
      <x:c r="I346" s="1"/>
      <x:c r="J346" s="1"/>
      <x:c r="K346" s="1"/>
      <x:c r="L346" s="1"/>
      <x:c r="M346" s="1"/>
      <x:c r="N346" s="1"/>
      <x:c r="O346" s="1"/>
      <x:c r="P346" s="1"/>
      <x:c r="Q346" s="1"/>
      <x:c r="R346" s="1"/>
      <x:c r="S346" s="1"/>
    </x:row>
    <x:row r="347" ht="26" customHeight="1">
      <x:c r="A347" s="1"/>
      <x:c r="B347" s="1"/>
      <x:c r="C347" s="1"/>
      <x:c r="D347" s="1"/>
      <x:c r="E347" s="1"/>
      <x:c r="F347" s="1"/>
      <x:c r="G347" s="1"/>
      <x:c r="H347" s="1"/>
      <x:c r="I347" s="1"/>
      <x:c r="J347" s="1"/>
      <x:c r="K347" s="1"/>
      <x:c r="L347" s="1"/>
      <x:c r="M347" s="1"/>
      <x:c r="N347" s="1"/>
      <x:c r="O347" s="1"/>
      <x:c r="P347" s="1"/>
      <x:c r="Q347" s="1"/>
      <x:c r="R347" s="1"/>
      <x:c r="S347" s="1"/>
    </x:row>
    <x:row r="348" ht="26" customHeight="1">
      <x:c r="A348" s="1"/>
      <x:c r="B348" s="1"/>
      <x:c r="C348" s="1"/>
      <x:c r="D348" s="1"/>
      <x:c r="E348" s="1"/>
      <x:c r="F348" s="1"/>
      <x:c r="G348" s="1"/>
      <x:c r="H348" s="1"/>
      <x:c r="I348" s="1"/>
      <x:c r="J348" s="1"/>
      <x:c r="K348" s="1"/>
      <x:c r="L348" s="1"/>
      <x:c r="M348" s="1"/>
      <x:c r="N348" s="1"/>
      <x:c r="O348" s="1"/>
      <x:c r="P348" s="1"/>
      <x:c r="Q348" s="1"/>
      <x:c r="R348" s="1"/>
      <x:c r="S348" s="1"/>
    </x:row>
    <x:row r="349" ht="26" customHeight="1">
      <x:c r="A349" s="1"/>
      <x:c r="B349" s="1"/>
      <x:c r="C349" s="1"/>
      <x:c r="D349" s="1"/>
      <x:c r="E349" s="1"/>
      <x:c r="F349" s="1"/>
      <x:c r="G349" s="1"/>
      <x:c r="H349" s="1"/>
      <x:c r="I349" s="1"/>
      <x:c r="J349" s="1"/>
      <x:c r="K349" s="1"/>
      <x:c r="L349" s="1"/>
      <x:c r="M349" s="1"/>
      <x:c r="N349" s="1"/>
      <x:c r="O349" s="1"/>
      <x:c r="P349" s="1"/>
      <x:c r="Q349" s="1"/>
      <x:c r="R349" s="1"/>
      <x:c r="S349" s="1"/>
    </x:row>
    <x:row r="350" ht="26" customHeight="1">
      <x:c r="A350" s="1"/>
      <x:c r="B350" s="1"/>
      <x:c r="C350" s="1"/>
      <x:c r="D350" s="1"/>
      <x:c r="E350" s="1"/>
      <x:c r="F350" s="1"/>
      <x:c r="G350" s="1"/>
      <x:c r="H350" s="1"/>
      <x:c r="I350" s="1"/>
      <x:c r="J350" s="1"/>
      <x:c r="K350" s="1"/>
      <x:c r="L350" s="1"/>
      <x:c r="M350" s="1"/>
      <x:c r="N350" s="1"/>
      <x:c r="O350" s="1"/>
      <x:c r="P350" s="1"/>
      <x:c r="Q350" s="1"/>
      <x:c r="R350" s="1"/>
      <x:c r="S350" s="1"/>
    </x:row>
    <x:row r="351" ht="26" customHeight="1">
      <x:c r="A351" s="1"/>
      <x:c r="B351" s="1"/>
      <x:c r="C351" s="1"/>
      <x:c r="D351" s="1"/>
      <x:c r="E351" s="1"/>
      <x:c r="F351" s="1"/>
      <x:c r="G351" s="1"/>
      <x:c r="H351" s="1"/>
      <x:c r="I351" s="1"/>
      <x:c r="J351" s="1"/>
      <x:c r="K351" s="1"/>
      <x:c r="L351" s="1"/>
      <x:c r="M351" s="1"/>
      <x:c r="N351" s="1"/>
      <x:c r="O351" s="1"/>
      <x:c r="P351" s="1"/>
      <x:c r="Q351" s="1"/>
      <x:c r="R351" s="1"/>
      <x:c r="S351" s="1"/>
    </x:row>
    <x:row r="352" ht="26" customHeight="1">
      <x:c r="A352" s="1"/>
      <x:c r="B352" s="1"/>
      <x:c r="C352" s="1"/>
      <x:c r="D352" s="1"/>
      <x:c r="E352" s="1"/>
      <x:c r="F352" s="1"/>
      <x:c r="G352" s="1"/>
      <x:c r="H352" s="1"/>
      <x:c r="I352" s="1"/>
      <x:c r="J352" s="1"/>
      <x:c r="K352" s="1"/>
      <x:c r="L352" s="1"/>
      <x:c r="M352" s="1"/>
      <x:c r="N352" s="1"/>
      <x:c r="O352" s="1"/>
      <x:c r="P352" s="1"/>
      <x:c r="Q352" s="1"/>
      <x:c r="R352" s="1"/>
      <x:c r="S352" s="1"/>
    </x:row>
    <x:row r="353" ht="26" customHeight="1">
      <x:c r="A353" s="1"/>
      <x:c r="B353" s="1"/>
      <x:c r="C353" s="1"/>
      <x:c r="D353" s="1"/>
      <x:c r="E353" s="1"/>
      <x:c r="F353" s="1"/>
      <x:c r="G353" s="1"/>
      <x:c r="H353" s="1"/>
      <x:c r="I353" s="1"/>
      <x:c r="J353" s="1"/>
      <x:c r="K353" s="1"/>
      <x:c r="L353" s="1"/>
      <x:c r="M353" s="1"/>
      <x:c r="N353" s="1"/>
      <x:c r="O353" s="1"/>
      <x:c r="P353" s="1"/>
      <x:c r="Q353" s="1"/>
      <x:c r="R353" s="1"/>
      <x:c r="S353" s="1"/>
    </x:row>
    <x:row r="354" ht="26" customHeight="1">
      <x:c r="A354" s="1"/>
      <x:c r="B354" s="1"/>
      <x:c r="C354" s="1"/>
      <x:c r="D354" s="1"/>
      <x:c r="E354" s="1"/>
      <x:c r="F354" s="1"/>
      <x:c r="G354" s="1"/>
      <x:c r="H354" s="1"/>
      <x:c r="I354" s="1"/>
      <x:c r="J354" s="1"/>
      <x:c r="K354" s="1"/>
      <x:c r="L354" s="1"/>
      <x:c r="M354" s="1"/>
      <x:c r="N354" s="1"/>
      <x:c r="O354" s="1"/>
      <x:c r="P354" s="1"/>
      <x:c r="Q354" s="1"/>
      <x:c r="R354" s="1"/>
      <x:c r="S354" s="1"/>
    </x:row>
    <x:row r="355" ht="26" customHeight="1">
      <x:c r="A355" s="1"/>
      <x:c r="B355" s="1"/>
      <x:c r="C355" s="1"/>
      <x:c r="D355" s="1"/>
      <x:c r="E355" s="1"/>
      <x:c r="F355" s="1"/>
      <x:c r="G355" s="1"/>
      <x:c r="H355" s="1"/>
      <x:c r="I355" s="1"/>
      <x:c r="J355" s="1"/>
      <x:c r="K355" s="1"/>
      <x:c r="L355" s="1"/>
      <x:c r="M355" s="1"/>
      <x:c r="N355" s="1"/>
      <x:c r="O355" s="1"/>
      <x:c r="P355" s="1"/>
      <x:c r="Q355" s="1"/>
      <x:c r="R355" s="1"/>
      <x:c r="S355" s="1"/>
    </x:row>
    <x:row r="356" ht="26" customHeight="1">
      <x:c r="A356" s="1"/>
      <x:c r="B356" s="1"/>
      <x:c r="C356" s="1"/>
      <x:c r="D356" s="1"/>
      <x:c r="E356" s="1"/>
      <x:c r="F356" s="1"/>
      <x:c r="G356" s="1"/>
      <x:c r="H356" s="1"/>
      <x:c r="I356" s="1"/>
      <x:c r="J356" s="1"/>
      <x:c r="K356" s="1"/>
      <x:c r="L356" s="1"/>
      <x:c r="M356" s="1"/>
      <x:c r="N356" s="1"/>
      <x:c r="O356" s="1"/>
      <x:c r="P356" s="1"/>
      <x:c r="Q356" s="1"/>
      <x:c r="R356" s="1"/>
      <x:c r="S356" s="1"/>
    </x:row>
    <x:row r="357" ht="26" customHeight="1">
      <x:c r="A357" s="1"/>
      <x:c r="B357" s="1"/>
      <x:c r="C357" s="1"/>
      <x:c r="D357" s="1"/>
      <x:c r="E357" s="1"/>
      <x:c r="F357" s="1"/>
      <x:c r="G357" s="1"/>
      <x:c r="H357" s="1"/>
      <x:c r="I357" s="1"/>
      <x:c r="J357" s="1"/>
      <x:c r="K357" s="1"/>
      <x:c r="L357" s="1"/>
      <x:c r="M357" s="1"/>
      <x:c r="N357" s="1"/>
      <x:c r="O357" s="1"/>
      <x:c r="P357" s="1"/>
      <x:c r="Q357" s="1"/>
      <x:c r="R357" s="1"/>
      <x:c r="S357" s="1"/>
    </x:row>
    <x:row r="358" ht="26" customHeight="1">
      <x:c r="A358" s="1"/>
      <x:c r="B358" s="1"/>
      <x:c r="C358" s="1"/>
      <x:c r="D358" s="1"/>
      <x:c r="E358" s="1"/>
      <x:c r="F358" s="1"/>
      <x:c r="G358" s="1"/>
      <x:c r="H358" s="1"/>
      <x:c r="I358" s="1"/>
      <x:c r="J358" s="1"/>
      <x:c r="K358" s="1"/>
      <x:c r="L358" s="1"/>
      <x:c r="M358" s="1"/>
      <x:c r="N358" s="1"/>
      <x:c r="O358" s="1"/>
      <x:c r="P358" s="1"/>
      <x:c r="Q358" s="1"/>
      <x:c r="R358" s="1"/>
      <x:c r="S358" s="1"/>
    </x:row>
    <x:row r="359" ht="26" customHeight="1">
      <x:c r="A359" s="1"/>
      <x:c r="B359" s="1"/>
      <x:c r="C359" s="1"/>
      <x:c r="D359" s="1"/>
      <x:c r="E359" s="1"/>
      <x:c r="F359" s="1"/>
      <x:c r="G359" s="1"/>
      <x:c r="H359" s="1"/>
      <x:c r="I359" s="1"/>
      <x:c r="J359" s="1"/>
      <x:c r="K359" s="1"/>
      <x:c r="L359" s="1"/>
      <x:c r="M359" s="1"/>
      <x:c r="N359" s="1"/>
      <x:c r="O359" s="1"/>
      <x:c r="P359" s="1"/>
      <x:c r="Q359" s="1"/>
      <x:c r="R359" s="1"/>
      <x:c r="S359" s="1"/>
    </x:row>
    <x:row r="360" ht="26" customHeight="1">
      <x:c r="A360" s="1"/>
      <x:c r="B360" s="1"/>
      <x:c r="C360" s="1"/>
      <x:c r="D360" s="1"/>
      <x:c r="E360" s="1"/>
      <x:c r="F360" s="1"/>
      <x:c r="G360" s="1"/>
      <x:c r="H360" s="1"/>
      <x:c r="I360" s="1"/>
      <x:c r="J360" s="1"/>
      <x:c r="K360" s="1"/>
      <x:c r="L360" s="1"/>
      <x:c r="M360" s="1"/>
      <x:c r="N360" s="1"/>
      <x:c r="O360" s="1"/>
      <x:c r="P360" s="1"/>
      <x:c r="Q360" s="1"/>
      <x:c r="R360" s="1"/>
      <x:c r="S360" s="1"/>
    </x:row>
    <x:row r="361" ht="26" customHeight="1">
      <x:c r="A361" s="1"/>
      <x:c r="B361" s="1"/>
      <x:c r="C361" s="1"/>
      <x:c r="D361" s="1"/>
      <x:c r="E361" s="1"/>
      <x:c r="F361" s="1"/>
      <x:c r="G361" s="1"/>
      <x:c r="H361" s="1"/>
      <x:c r="I361" s="1"/>
      <x:c r="J361" s="1"/>
      <x:c r="K361" s="1"/>
      <x:c r="L361" s="1"/>
      <x:c r="M361" s="1"/>
      <x:c r="N361" s="1"/>
      <x:c r="O361" s="1"/>
      <x:c r="P361" s="1"/>
      <x:c r="Q361" s="1"/>
      <x:c r="R361" s="1"/>
      <x:c r="S361" s="1"/>
    </x:row>
    <x:row r="362" ht="26" customHeight="1">
      <x:c r="A362" s="1"/>
      <x:c r="B362" s="1"/>
      <x:c r="C362" s="1"/>
      <x:c r="D362" s="1"/>
      <x:c r="E362" s="1"/>
      <x:c r="F362" s="1"/>
      <x:c r="G362" s="1"/>
      <x:c r="H362" s="1"/>
      <x:c r="I362" s="1"/>
      <x:c r="J362" s="1"/>
      <x:c r="K362" s="1"/>
      <x:c r="L362" s="1"/>
      <x:c r="M362" s="1"/>
      <x:c r="N362" s="1"/>
      <x:c r="O362" s="1"/>
      <x:c r="P362" s="1"/>
      <x:c r="Q362" s="1"/>
      <x:c r="R362" s="1"/>
      <x:c r="S362" s="1"/>
    </x:row>
    <x:row r="363" ht="26" customHeight="1">
      <x:c r="A363" s="1"/>
      <x:c r="B363" s="1"/>
      <x:c r="C363" s="1"/>
      <x:c r="D363" s="1"/>
      <x:c r="E363" s="1"/>
      <x:c r="F363" s="1"/>
      <x:c r="G363" s="1"/>
      <x:c r="H363" s="1"/>
      <x:c r="I363" s="1"/>
      <x:c r="J363" s="1"/>
      <x:c r="K363" s="1"/>
      <x:c r="L363" s="1"/>
      <x:c r="M363" s="1"/>
      <x:c r="N363" s="1"/>
      <x:c r="O363" s="1"/>
      <x:c r="P363" s="1"/>
      <x:c r="Q363" s="1"/>
      <x:c r="R363" s="1"/>
      <x:c r="S363" s="1"/>
    </x:row>
    <x:row r="364" ht="26" customHeight="1">
      <x:c r="A364" s="1"/>
      <x:c r="B364" s="1"/>
      <x:c r="C364" s="1"/>
      <x:c r="D364" s="1"/>
      <x:c r="E364" s="1"/>
      <x:c r="F364" s="1"/>
      <x:c r="G364" s="1"/>
      <x:c r="H364" s="1"/>
      <x:c r="I364" s="1"/>
      <x:c r="J364" s="1"/>
      <x:c r="K364" s="1"/>
      <x:c r="L364" s="1"/>
      <x:c r="M364" s="1"/>
      <x:c r="N364" s="1"/>
      <x:c r="O364" s="1"/>
      <x:c r="P364" s="1"/>
      <x:c r="Q364" s="1"/>
      <x:c r="R364" s="1"/>
      <x:c r="S364" s="1"/>
    </x:row>
    <x:row r="365" ht="26" customHeight="1">
      <x:c r="A365" s="1"/>
      <x:c r="B365" s="1"/>
      <x:c r="C365" s="1"/>
      <x:c r="D365" s="1"/>
      <x:c r="E365" s="1"/>
      <x:c r="F365" s="1"/>
      <x:c r="G365" s="1"/>
      <x:c r="H365" s="1"/>
      <x:c r="I365" s="1"/>
      <x:c r="J365" s="1"/>
      <x:c r="K365" s="1"/>
      <x:c r="L365" s="1"/>
      <x:c r="M365" s="1"/>
      <x:c r="N365" s="1"/>
      <x:c r="O365" s="1"/>
      <x:c r="P365" s="1"/>
      <x:c r="Q365" s="1"/>
      <x:c r="R365" s="1"/>
      <x:c r="S365" s="1"/>
    </x:row>
    <x:row r="366" ht="26" customHeight="1">
      <x:c r="A366" s="1"/>
      <x:c r="B366" s="1"/>
      <x:c r="C366" s="1"/>
      <x:c r="D366" s="1"/>
      <x:c r="E366" s="1"/>
      <x:c r="F366" s="1"/>
      <x:c r="G366" s="1"/>
      <x:c r="H366" s="1"/>
      <x:c r="I366" s="1"/>
      <x:c r="J366" s="1"/>
      <x:c r="K366" s="1"/>
      <x:c r="L366" s="1"/>
      <x:c r="M366" s="1"/>
      <x:c r="N366" s="1"/>
      <x:c r="O366" s="1"/>
      <x:c r="P366" s="1"/>
      <x:c r="Q366" s="1"/>
      <x:c r="R366" s="1"/>
      <x:c r="S366" s="1"/>
    </x:row>
    <x:row r="367" ht="26" customHeight="1">
      <x:c r="A367" s="1"/>
      <x:c r="B367" s="1"/>
      <x:c r="C367" s="1"/>
      <x:c r="D367" s="1"/>
      <x:c r="E367" s="1"/>
      <x:c r="F367" s="1"/>
      <x:c r="G367" s="1"/>
      <x:c r="H367" s="1"/>
      <x:c r="I367" s="1"/>
      <x:c r="J367" s="1"/>
      <x:c r="K367" s="1"/>
      <x:c r="L367" s="1"/>
      <x:c r="M367" s="1"/>
      <x:c r="N367" s="1"/>
      <x:c r="O367" s="1"/>
      <x:c r="P367" s="1"/>
      <x:c r="Q367" s="1"/>
      <x:c r="R367" s="1"/>
      <x:c r="S367" s="1"/>
    </x:row>
    <x:row r="368" ht="26" customHeight="1">
      <x:c r="A368" s="1"/>
      <x:c r="B368" s="1"/>
      <x:c r="C368" s="1"/>
      <x:c r="D368" s="1"/>
      <x:c r="E368" s="1"/>
      <x:c r="F368" s="1"/>
      <x:c r="G368" s="1"/>
      <x:c r="H368" s="1"/>
      <x:c r="I368" s="1"/>
      <x:c r="J368" s="1"/>
      <x:c r="K368" s="1"/>
      <x:c r="L368" s="1"/>
      <x:c r="M368" s="1"/>
      <x:c r="N368" s="1"/>
      <x:c r="O368" s="1"/>
      <x:c r="P368" s="1"/>
      <x:c r="Q368" s="1"/>
      <x:c r="R368" s="1"/>
      <x:c r="S368" s="1"/>
    </x:row>
    <x:row r="369" ht="26" customHeight="1">
      <x:c r="A369" s="1"/>
      <x:c r="B369" s="1"/>
      <x:c r="C369" s="1"/>
      <x:c r="D369" s="1"/>
      <x:c r="E369" s="1"/>
      <x:c r="F369" s="1"/>
      <x:c r="G369" s="1"/>
      <x:c r="H369" s="1"/>
      <x:c r="I369" s="1"/>
      <x:c r="J369" s="1"/>
      <x:c r="K369" s="1"/>
      <x:c r="L369" s="1"/>
      <x:c r="M369" s="1"/>
      <x:c r="N369" s="1"/>
      <x:c r="O369" s="1"/>
      <x:c r="P369" s="1"/>
      <x:c r="Q369" s="1"/>
      <x:c r="R369" s="1"/>
      <x:c r="S369" s="1"/>
    </x:row>
    <x:row r="370" ht="26" customHeight="1">
      <x:c r="A370" s="1"/>
      <x:c r="B370" s="1"/>
      <x:c r="C370" s="1"/>
      <x:c r="D370" s="1"/>
      <x:c r="E370" s="1"/>
      <x:c r="F370" s="1"/>
      <x:c r="G370" s="1"/>
      <x:c r="H370" s="1"/>
      <x:c r="I370" s="1"/>
      <x:c r="J370" s="1"/>
      <x:c r="K370" s="1"/>
      <x:c r="L370" s="1"/>
      <x:c r="M370" s="1"/>
      <x:c r="N370" s="1"/>
      <x:c r="O370" s="1"/>
      <x:c r="P370" s="1"/>
      <x:c r="Q370" s="1"/>
      <x:c r="R370" s="1"/>
      <x:c r="S370" s="1"/>
    </x:row>
    <x:row r="371" ht="26" customHeight="1">
      <x:c r="A371" s="1"/>
      <x:c r="B371" s="1"/>
      <x:c r="C371" s="1"/>
      <x:c r="D371" s="1"/>
      <x:c r="E371" s="1"/>
      <x:c r="F371" s="1"/>
      <x:c r="G371" s="1"/>
      <x:c r="H371" s="1"/>
      <x:c r="I371" s="1"/>
      <x:c r="J371" s="1"/>
      <x:c r="K371" s="1"/>
      <x:c r="L371" s="1"/>
      <x:c r="M371" s="1"/>
      <x:c r="N371" s="1"/>
      <x:c r="O371" s="1"/>
      <x:c r="P371" s="1"/>
      <x:c r="Q371" s="1"/>
      <x:c r="R371" s="1"/>
      <x:c r="S371" s="1"/>
    </x:row>
    <x:row r="372" ht="26" customHeight="1">
      <x:c r="A372" s="1"/>
      <x:c r="B372" s="1"/>
      <x:c r="C372" s="1"/>
      <x:c r="D372" s="1"/>
      <x:c r="E372" s="1"/>
      <x:c r="F372" s="1"/>
      <x:c r="G372" s="1"/>
      <x:c r="H372" s="1"/>
      <x:c r="I372" s="1"/>
      <x:c r="J372" s="1"/>
      <x:c r="K372" s="1"/>
      <x:c r="L372" s="1"/>
      <x:c r="M372" s="1"/>
      <x:c r="N372" s="1"/>
      <x:c r="O372" s="1"/>
      <x:c r="P372" s="1"/>
      <x:c r="Q372" s="1"/>
      <x:c r="R372" s="1"/>
      <x:c r="S372" s="1"/>
    </x:row>
    <x:row r="373" ht="26" customHeight="1">
      <x:c r="A373" s="1"/>
      <x:c r="B373" s="1"/>
      <x:c r="C373" s="1"/>
      <x:c r="D373" s="1"/>
      <x:c r="E373" s="1"/>
      <x:c r="F373" s="1"/>
      <x:c r="G373" s="1"/>
      <x:c r="H373" s="1"/>
      <x:c r="I373" s="1"/>
      <x:c r="J373" s="1"/>
      <x:c r="K373" s="1"/>
      <x:c r="L373" s="1"/>
      <x:c r="M373" s="1"/>
      <x:c r="N373" s="1"/>
      <x:c r="O373" s="1"/>
      <x:c r="P373" s="1"/>
      <x:c r="Q373" s="1"/>
      <x:c r="R373" s="1"/>
      <x:c r="S373" s="1"/>
    </x:row>
    <x:row r="374" ht="26" customHeight="1">
      <x:c r="A374" s="1"/>
      <x:c r="B374" s="1"/>
      <x:c r="C374" s="1"/>
      <x:c r="D374" s="1"/>
      <x:c r="E374" s="1"/>
      <x:c r="F374" s="1"/>
      <x:c r="G374" s="1"/>
      <x:c r="H374" s="1"/>
      <x:c r="I374" s="1"/>
      <x:c r="J374" s="1"/>
      <x:c r="K374" s="1"/>
      <x:c r="L374" s="1"/>
      <x:c r="M374" s="1"/>
      <x:c r="N374" s="1"/>
      <x:c r="O374" s="1"/>
      <x:c r="P374" s="1"/>
      <x:c r="Q374" s="1"/>
      <x:c r="R374" s="1"/>
      <x:c r="S374" s="1"/>
    </x:row>
    <x:row r="375" ht="26" customHeight="1">
      <x:c r="A375" s="1"/>
      <x:c r="B375" s="1"/>
      <x:c r="C375" s="1"/>
      <x:c r="D375" s="1"/>
      <x:c r="E375" s="1"/>
      <x:c r="F375" s="1"/>
      <x:c r="G375" s="1"/>
      <x:c r="H375" s="1"/>
      <x:c r="I375" s="1"/>
      <x:c r="J375" s="1"/>
      <x:c r="K375" s="1"/>
      <x:c r="L375" s="1"/>
      <x:c r="M375" s="1"/>
      <x:c r="N375" s="1"/>
      <x:c r="O375" s="1"/>
      <x:c r="P375" s="1"/>
      <x:c r="Q375" s="1"/>
      <x:c r="R375" s="1"/>
      <x:c r="S375" s="1"/>
    </x:row>
    <x:row r="376" ht="26" customHeight="1">
      <x:c r="A376" s="1"/>
      <x:c r="B376" s="1"/>
      <x:c r="C376" s="1"/>
      <x:c r="D376" s="1"/>
      <x:c r="E376" s="1"/>
      <x:c r="F376" s="1"/>
      <x:c r="G376" s="1"/>
      <x:c r="H376" s="1"/>
      <x:c r="I376" s="1"/>
      <x:c r="J376" s="1"/>
      <x:c r="K376" s="1"/>
      <x:c r="L376" s="1"/>
      <x:c r="M376" s="1"/>
      <x:c r="N376" s="1"/>
      <x:c r="O376" s="1"/>
      <x:c r="P376" s="1"/>
      <x:c r="Q376" s="1"/>
      <x:c r="R376" s="1"/>
      <x:c r="S376" s="1"/>
    </x:row>
    <x:row r="377" ht="26" customHeight="1">
      <x:c r="A377" s="1"/>
      <x:c r="B377" s="1"/>
      <x:c r="C377" s="1"/>
      <x:c r="D377" s="1"/>
      <x:c r="E377" s="1"/>
      <x:c r="F377" s="1"/>
      <x:c r="G377" s="1"/>
      <x:c r="H377" s="1"/>
      <x:c r="I377" s="1"/>
      <x:c r="J377" s="1"/>
      <x:c r="K377" s="1"/>
      <x:c r="L377" s="1"/>
      <x:c r="M377" s="1"/>
      <x:c r="N377" s="1"/>
      <x:c r="O377" s="1"/>
      <x:c r="P377" s="1"/>
      <x:c r="Q377" s="1"/>
      <x:c r="R377" s="1"/>
      <x:c r="S377" s="1"/>
    </x:row>
    <x:row r="378" ht="26" customHeight="1">
      <x:c r="A378" s="1"/>
      <x:c r="B378" s="1"/>
      <x:c r="C378" s="1"/>
      <x:c r="D378" s="1"/>
      <x:c r="E378" s="1"/>
      <x:c r="F378" s="1"/>
      <x:c r="G378" s="1"/>
      <x:c r="H378" s="1"/>
      <x:c r="I378" s="1"/>
      <x:c r="J378" s="1"/>
      <x:c r="K378" s="1"/>
      <x:c r="L378" s="1"/>
      <x:c r="M378" s="1"/>
      <x:c r="N378" s="1"/>
      <x:c r="O378" s="1"/>
      <x:c r="P378" s="1"/>
      <x:c r="Q378" s="1"/>
      <x:c r="R378" s="1"/>
      <x:c r="S378" s="1"/>
    </x:row>
    <x:row r="379" ht="26" customHeight="1">
      <x:c r="A379" s="1"/>
      <x:c r="B379" s="1"/>
      <x:c r="C379" s="1"/>
      <x:c r="D379" s="1"/>
      <x:c r="E379" s="1"/>
      <x:c r="F379" s="1"/>
      <x:c r="G379" s="1"/>
      <x:c r="H379" s="1"/>
      <x:c r="I379" s="1"/>
      <x:c r="J379" s="1"/>
      <x:c r="K379" s="1"/>
      <x:c r="L379" s="1"/>
      <x:c r="M379" s="1"/>
      <x:c r="N379" s="1"/>
      <x:c r="O379" s="1"/>
      <x:c r="P379" s="1"/>
      <x:c r="Q379" s="1"/>
      <x:c r="R379" s="1"/>
      <x:c r="S379" s="1"/>
    </x:row>
    <x:row r="380" ht="26" customHeight="1">
      <x:c r="A380" s="1"/>
      <x:c r="B380" s="1"/>
      <x:c r="C380" s="1"/>
      <x:c r="D380" s="1"/>
      <x:c r="E380" s="1"/>
      <x:c r="F380" s="1"/>
      <x:c r="G380" s="1"/>
      <x:c r="H380" s="1"/>
      <x:c r="I380" s="1"/>
      <x:c r="J380" s="1"/>
      <x:c r="K380" s="1"/>
      <x:c r="L380" s="1"/>
      <x:c r="M380" s="1"/>
      <x:c r="N380" s="1"/>
      <x:c r="O380" s="1"/>
      <x:c r="P380" s="1"/>
      <x:c r="Q380" s="1"/>
      <x:c r="R380" s="1"/>
      <x:c r="S380" s="1"/>
    </x:row>
    <x:row r="381" ht="26" customHeight="1">
      <x:c r="A381" s="1"/>
      <x:c r="B381" s="1"/>
      <x:c r="C381" s="1"/>
      <x:c r="D381" s="1"/>
      <x:c r="E381" s="1"/>
      <x:c r="F381" s="1"/>
      <x:c r="G381" s="1"/>
      <x:c r="H381" s="1"/>
      <x:c r="I381" s="1"/>
      <x:c r="J381" s="1"/>
      <x:c r="K381" s="1"/>
      <x:c r="L381" s="1"/>
      <x:c r="M381" s="1"/>
      <x:c r="N381" s="1"/>
      <x:c r="O381" s="1"/>
      <x:c r="P381" s="1"/>
      <x:c r="Q381" s="1"/>
      <x:c r="R381" s="1"/>
      <x:c r="S381" s="1"/>
    </x:row>
    <x:row r="382" ht="26" customHeight="1">
      <x:c r="A382" s="1"/>
      <x:c r="B382" s="1"/>
      <x:c r="C382" s="1"/>
      <x:c r="D382" s="1"/>
      <x:c r="E382" s="1"/>
      <x:c r="F382" s="1"/>
      <x:c r="G382" s="1"/>
      <x:c r="H382" s="1"/>
      <x:c r="I382" s="1"/>
      <x:c r="J382" s="1"/>
      <x:c r="K382" s="1"/>
      <x:c r="L382" s="1"/>
      <x:c r="M382" s="1"/>
      <x:c r="N382" s="1"/>
      <x:c r="O382" s="1"/>
      <x:c r="P382" s="1"/>
      <x:c r="Q382" s="1"/>
      <x:c r="R382" s="1"/>
      <x:c r="S382" s="1"/>
    </x:row>
    <x:row r="383" ht="26" customHeight="1">
      <x:c r="A383" s="1"/>
      <x:c r="B383" s="1"/>
      <x:c r="C383" s="1"/>
      <x:c r="D383" s="1"/>
      <x:c r="E383" s="1"/>
      <x:c r="F383" s="1"/>
      <x:c r="G383" s="1"/>
      <x:c r="H383" s="1"/>
      <x:c r="I383" s="1"/>
      <x:c r="J383" s="1"/>
      <x:c r="K383" s="1"/>
      <x:c r="L383" s="1"/>
      <x:c r="M383" s="1"/>
      <x:c r="N383" s="1"/>
      <x:c r="O383" s="1"/>
      <x:c r="P383" s="1"/>
      <x:c r="Q383" s="1"/>
      <x:c r="R383" s="1"/>
      <x:c r="S383" s="1"/>
    </x:row>
    <x:row r="384" ht="26" customHeight="1">
      <x:c r="A384" s="1"/>
      <x:c r="B384" s="1"/>
      <x:c r="C384" s="1"/>
      <x:c r="D384" s="1"/>
      <x:c r="E384" s="1"/>
      <x:c r="F384" s="1"/>
      <x:c r="G384" s="1"/>
      <x:c r="H384" s="1"/>
      <x:c r="I384" s="1"/>
      <x:c r="J384" s="1"/>
      <x:c r="K384" s="1"/>
      <x:c r="L384" s="1"/>
      <x:c r="M384" s="1"/>
      <x:c r="N384" s="1"/>
      <x:c r="O384" s="1"/>
      <x:c r="P384" s="1"/>
      <x:c r="Q384" s="1"/>
      <x:c r="R384" s="1"/>
      <x:c r="S384" s="1"/>
    </x:row>
    <x:row r="385" ht="26" customHeight="1">
      <x:c r="A385" s="1"/>
      <x:c r="B385" s="1"/>
      <x:c r="C385" s="1"/>
      <x:c r="D385" s="1"/>
      <x:c r="E385" s="1"/>
      <x:c r="F385" s="1"/>
      <x:c r="G385" s="1"/>
      <x:c r="H385" s="1"/>
      <x:c r="I385" s="1"/>
      <x:c r="J385" s="1"/>
      <x:c r="K385" s="1"/>
      <x:c r="L385" s="1"/>
      <x:c r="M385" s="1"/>
      <x:c r="N385" s="1"/>
      <x:c r="O385" s="1"/>
      <x:c r="P385" s="1"/>
      <x:c r="Q385" s="1"/>
      <x:c r="R385" s="1"/>
      <x:c r="S385" s="1"/>
    </x:row>
    <x:row r="386" ht="26" customHeight="1">
      <x:c r="A386" s="1"/>
      <x:c r="B386" s="1"/>
      <x:c r="C386" s="1"/>
      <x:c r="D386" s="1"/>
      <x:c r="E386" s="1"/>
      <x:c r="F386" s="1"/>
      <x:c r="G386" s="1"/>
      <x:c r="H386" s="1"/>
      <x:c r="I386" s="1"/>
      <x:c r="J386" s="1"/>
      <x:c r="K386" s="1"/>
      <x:c r="L386" s="1"/>
      <x:c r="M386" s="1"/>
      <x:c r="N386" s="1"/>
      <x:c r="O386" s="1"/>
      <x:c r="P386" s="1"/>
      <x:c r="Q386" s="1"/>
      <x:c r="R386" s="1"/>
      <x:c r="S386" s="1"/>
    </x:row>
    <x:row r="387" ht="26" customHeight="1">
      <x:c r="A387" s="1"/>
      <x:c r="B387" s="1"/>
      <x:c r="C387" s="1"/>
      <x:c r="D387" s="1"/>
      <x:c r="E387" s="1"/>
      <x:c r="F387" s="1"/>
      <x:c r="G387" s="1"/>
      <x:c r="H387" s="1"/>
      <x:c r="I387" s="1"/>
      <x:c r="J387" s="1"/>
      <x:c r="K387" s="1"/>
      <x:c r="L387" s="1"/>
      <x:c r="M387" s="1"/>
      <x:c r="N387" s="1"/>
      <x:c r="O387" s="1"/>
      <x:c r="P387" s="1"/>
      <x:c r="Q387" s="1"/>
      <x:c r="R387" s="1"/>
      <x:c r="S387" s="1"/>
    </x:row>
    <x:row r="388" ht="26" customHeight="1">
      <x:c r="A388" s="1"/>
      <x:c r="B388" s="1"/>
      <x:c r="C388" s="1"/>
      <x:c r="D388" s="1"/>
      <x:c r="E388" s="1"/>
      <x:c r="F388" s="1"/>
      <x:c r="G388" s="1"/>
      <x:c r="H388" s="1"/>
      <x:c r="I388" s="1"/>
      <x:c r="J388" s="1"/>
      <x:c r="K388" s="1"/>
      <x:c r="L388" s="1"/>
      <x:c r="M388" s="1"/>
      <x:c r="N388" s="1"/>
      <x:c r="O388" s="1"/>
      <x:c r="P388" s="1"/>
      <x:c r="Q388" s="1"/>
      <x:c r="R388" s="1"/>
      <x:c r="S388" s="1"/>
    </x:row>
    <x:row r="389" ht="26" customHeight="1">
      <x:c r="A389" s="1"/>
      <x:c r="B389" s="1"/>
      <x:c r="C389" s="1"/>
      <x:c r="D389" s="1"/>
      <x:c r="E389" s="1"/>
      <x:c r="F389" s="1"/>
      <x:c r="G389" s="1"/>
      <x:c r="H389" s="1"/>
      <x:c r="I389" s="1"/>
      <x:c r="J389" s="1"/>
      <x:c r="K389" s="1"/>
      <x:c r="L389" s="1"/>
      <x:c r="M389" s="1"/>
      <x:c r="N389" s="1"/>
      <x:c r="O389" s="1"/>
      <x:c r="P389" s="1"/>
      <x:c r="Q389" s="1"/>
      <x:c r="R389" s="1"/>
      <x:c r="S389" s="1"/>
    </x:row>
    <x:row r="390" ht="26" customHeight="1">
      <x:c r="A390" s="1"/>
      <x:c r="B390" s="1"/>
      <x:c r="C390" s="1"/>
      <x:c r="D390" s="1"/>
      <x:c r="E390" s="1"/>
      <x:c r="F390" s="1"/>
      <x:c r="G390" s="1"/>
      <x:c r="H390" s="1"/>
      <x:c r="I390" s="1"/>
      <x:c r="J390" s="1"/>
      <x:c r="K390" s="1"/>
      <x:c r="L390" s="1"/>
      <x:c r="M390" s="1"/>
      <x:c r="N390" s="1"/>
      <x:c r="O390" s="1"/>
      <x:c r="P390" s="1"/>
      <x:c r="Q390" s="1"/>
      <x:c r="R390" s="1"/>
      <x:c r="S390" s="1"/>
    </x:row>
    <x:row r="391" ht="26" customHeight="1">
      <x:c r="A391" s="1"/>
      <x:c r="B391" s="1"/>
      <x:c r="C391" s="1"/>
      <x:c r="D391" s="1"/>
      <x:c r="E391" s="1"/>
      <x:c r="F391" s="1"/>
      <x:c r="G391" s="1"/>
      <x:c r="H391" s="1"/>
      <x:c r="I391" s="1"/>
      <x:c r="J391" s="1"/>
      <x:c r="K391" s="1"/>
      <x:c r="L391" s="1"/>
      <x:c r="M391" s="1"/>
      <x:c r="N391" s="1"/>
      <x:c r="O391" s="1"/>
      <x:c r="P391" s="1"/>
      <x:c r="Q391" s="1"/>
      <x:c r="R391" s="1"/>
      <x:c r="S391" s="1"/>
    </x:row>
    <x:row r="392" ht="26" customHeight="1">
      <x:c r="A392" s="1"/>
      <x:c r="B392" s="1"/>
      <x:c r="C392" s="1"/>
      <x:c r="D392" s="1"/>
      <x:c r="E392" s="1"/>
      <x:c r="F392" s="1"/>
      <x:c r="G392" s="1"/>
      <x:c r="H392" s="1"/>
      <x:c r="I392" s="1"/>
      <x:c r="J392" s="1"/>
      <x:c r="K392" s="1"/>
      <x:c r="L392" s="1"/>
      <x:c r="M392" s="1"/>
      <x:c r="N392" s="1"/>
      <x:c r="O392" s="1"/>
      <x:c r="P392" s="1"/>
      <x:c r="Q392" s="1"/>
      <x:c r="R392" s="1"/>
      <x:c r="S392" s="1"/>
    </x:row>
    <x:row r="393" ht="26" customHeight="1">
      <x:c r="A393" s="1"/>
      <x:c r="B393" s="1"/>
      <x:c r="C393" s="1"/>
      <x:c r="D393" s="1"/>
      <x:c r="E393" s="1"/>
      <x:c r="F393" s="1"/>
      <x:c r="G393" s="1"/>
      <x:c r="H393" s="1"/>
      <x:c r="I393" s="1"/>
      <x:c r="J393" s="1"/>
      <x:c r="K393" s="1"/>
      <x:c r="L393" s="1"/>
      <x:c r="M393" s="1"/>
      <x:c r="N393" s="1"/>
      <x:c r="O393" s="1"/>
      <x:c r="P393" s="1"/>
      <x:c r="Q393" s="1"/>
      <x:c r="R393" s="1"/>
      <x:c r="S393" s="1"/>
    </x:row>
    <x:row r="394" ht="26" customHeight="1">
      <x:c r="A394" s="1"/>
      <x:c r="B394" s="1"/>
      <x:c r="C394" s="1"/>
      <x:c r="D394" s="1"/>
      <x:c r="E394" s="1"/>
      <x:c r="F394" s="1"/>
      <x:c r="G394" s="1"/>
      <x:c r="H394" s="1"/>
      <x:c r="I394" s="1"/>
      <x:c r="J394" s="1"/>
      <x:c r="K394" s="1"/>
      <x:c r="L394" s="1"/>
      <x:c r="M394" s="1"/>
      <x:c r="N394" s="1"/>
      <x:c r="O394" s="1"/>
      <x:c r="P394" s="1"/>
      <x:c r="Q394" s="1"/>
      <x:c r="R394" s="1"/>
      <x:c r="S394" s="1"/>
    </x:row>
    <x:row r="395" ht="26" customHeight="1">
      <x:c r="A395" s="1"/>
      <x:c r="B395" s="1"/>
      <x:c r="C395" s="1"/>
      <x:c r="D395" s="1"/>
      <x:c r="E395" s="1"/>
      <x:c r="F395" s="1"/>
      <x:c r="G395" s="1"/>
      <x:c r="H395" s="1"/>
      <x:c r="I395" s="1"/>
      <x:c r="J395" s="1"/>
      <x:c r="K395" s="1"/>
      <x:c r="L395" s="1"/>
      <x:c r="M395" s="1"/>
      <x:c r="N395" s="1"/>
      <x:c r="O395" s="1"/>
      <x:c r="P395" s="1"/>
      <x:c r="Q395" s="1"/>
      <x:c r="R395" s="1"/>
      <x:c r="S395" s="1"/>
    </x:row>
    <x:row r="396" ht="26" customHeight="1">
      <x:c r="A396" s="1"/>
      <x:c r="B396" s="1"/>
      <x:c r="C396" s="1"/>
      <x:c r="D396" s="1"/>
      <x:c r="E396" s="1"/>
      <x:c r="F396" s="1"/>
      <x:c r="G396" s="1"/>
      <x:c r="H396" s="1"/>
      <x:c r="I396" s="1"/>
      <x:c r="J396" s="1"/>
      <x:c r="K396" s="1"/>
      <x:c r="L396" s="1"/>
      <x:c r="M396" s="1"/>
      <x:c r="N396" s="1"/>
      <x:c r="O396" s="1"/>
      <x:c r="P396" s="1"/>
      <x:c r="Q396" s="1"/>
      <x:c r="R396" s="1"/>
      <x:c r="S396" s="1"/>
    </x:row>
    <x:row r="397" ht="26" customHeight="1">
      <x:c r="A397" s="1"/>
      <x:c r="B397" s="1"/>
      <x:c r="C397" s="1"/>
      <x:c r="D397" s="1"/>
      <x:c r="E397" s="1"/>
      <x:c r="F397" s="1"/>
      <x:c r="G397" s="1"/>
      <x:c r="H397" s="1"/>
      <x:c r="I397" s="1"/>
      <x:c r="J397" s="1"/>
      <x:c r="K397" s="1"/>
      <x:c r="L397" s="1"/>
      <x:c r="M397" s="1"/>
      <x:c r="N397" s="1"/>
      <x:c r="O397" s="1"/>
      <x:c r="P397" s="1"/>
      <x:c r="Q397" s="1"/>
      <x:c r="R397" s="1"/>
      <x:c r="S397" s="1"/>
    </x:row>
    <x:row r="398" ht="26" customHeight="1">
      <x:c r="A398" s="1"/>
      <x:c r="B398" s="1"/>
      <x:c r="C398" s="1"/>
      <x:c r="D398" s="1"/>
      <x:c r="E398" s="1"/>
      <x:c r="F398" s="1"/>
      <x:c r="G398" s="1"/>
      <x:c r="H398" s="1"/>
      <x:c r="I398" s="1"/>
      <x:c r="J398" s="1"/>
      <x:c r="K398" s="1"/>
      <x:c r="L398" s="1"/>
      <x:c r="M398" s="1"/>
      <x:c r="N398" s="1"/>
      <x:c r="O398" s="1"/>
      <x:c r="P398" s="1"/>
      <x:c r="Q398" s="1"/>
      <x:c r="R398" s="1"/>
      <x:c r="S398" s="1"/>
    </x:row>
    <x:row r="399" ht="26" customHeight="1">
      <x:c r="A399" s="1"/>
      <x:c r="B399" s="1"/>
      <x:c r="C399" s="1"/>
      <x:c r="D399" s="1"/>
      <x:c r="E399" s="1"/>
      <x:c r="F399" s="1"/>
      <x:c r="G399" s="1"/>
      <x:c r="H399" s="1"/>
      <x:c r="I399" s="1"/>
      <x:c r="J399" s="1"/>
      <x:c r="K399" s="1"/>
      <x:c r="L399" s="1"/>
      <x:c r="M399" s="1"/>
      <x:c r="N399" s="1"/>
      <x:c r="O399" s="1"/>
      <x:c r="P399" s="1"/>
      <x:c r="Q399" s="1"/>
      <x:c r="R399" s="1"/>
      <x:c r="S399" s="1"/>
    </x:row>
    <x:row r="400" ht="26" customHeight="1">
      <x:c r="A400" s="1"/>
      <x:c r="B400" s="1"/>
      <x:c r="C400" s="1"/>
      <x:c r="D400" s="1"/>
      <x:c r="E400" s="1"/>
      <x:c r="F400" s="1"/>
      <x:c r="G400" s="1"/>
      <x:c r="H400" s="1"/>
      <x:c r="I400" s="1"/>
      <x:c r="J400" s="1"/>
      <x:c r="K400" s="1"/>
      <x:c r="L400" s="1"/>
      <x:c r="M400" s="1"/>
      <x:c r="N400" s="1"/>
      <x:c r="O400" s="1"/>
      <x:c r="P400" s="1"/>
      <x:c r="Q400" s="1"/>
      <x:c r="R400" s="1"/>
      <x:c r="S400" s="1"/>
    </x:row>
    <x:row r="401" ht="26" customHeight="1">
      <x:c r="A401" s="1"/>
      <x:c r="B401" s="1"/>
      <x:c r="C401" s="1"/>
      <x:c r="D401" s="1"/>
      <x:c r="E401" s="1"/>
      <x:c r="F401" s="1"/>
      <x:c r="G401" s="1"/>
      <x:c r="H401" s="1"/>
      <x:c r="I401" s="1"/>
      <x:c r="J401" s="1"/>
      <x:c r="K401" s="1"/>
      <x:c r="L401" s="1"/>
      <x:c r="M401" s="1"/>
      <x:c r="N401" s="1"/>
      <x:c r="O401" s="1"/>
      <x:c r="P401" s="1"/>
      <x:c r="Q401" s="1"/>
      <x:c r="R401" s="1"/>
      <x:c r="S401" s="1"/>
    </x:row>
    <x:row r="402" ht="26" customHeight="1">
      <x:c r="A402" s="1"/>
      <x:c r="B402" s="1"/>
      <x:c r="C402" s="1"/>
      <x:c r="D402" s="1"/>
      <x:c r="E402" s="1"/>
      <x:c r="F402" s="1"/>
      <x:c r="G402" s="1"/>
      <x:c r="H402" s="1"/>
      <x:c r="I402" s="1"/>
      <x:c r="J402" s="1"/>
      <x:c r="K402" s="1"/>
      <x:c r="L402" s="1"/>
      <x:c r="M402" s="1"/>
      <x:c r="N402" s="1"/>
      <x:c r="O402" s="1"/>
      <x:c r="P402" s="1"/>
      <x:c r="Q402" s="1"/>
      <x:c r="R402" s="1"/>
      <x:c r="S402" s="1"/>
    </x:row>
    <x:row r="403" ht="26" customHeight="1">
      <x:c r="A403" s="1"/>
      <x:c r="B403" s="1"/>
      <x:c r="C403" s="1"/>
      <x:c r="D403" s="1"/>
      <x:c r="E403" s="1"/>
      <x:c r="F403" s="1"/>
      <x:c r="G403" s="1"/>
      <x:c r="H403" s="1"/>
      <x:c r="I403" s="1"/>
      <x:c r="J403" s="1"/>
      <x:c r="K403" s="1"/>
      <x:c r="L403" s="1"/>
      <x:c r="M403" s="1"/>
      <x:c r="N403" s="1"/>
      <x:c r="O403" s="1"/>
      <x:c r="P403" s="1"/>
      <x:c r="Q403" s="1"/>
      <x:c r="R403" s="1"/>
      <x:c r="S403" s="1"/>
    </x:row>
    <x:row r="404" ht="26" customHeight="1">
      <x:c r="A404" s="1"/>
      <x:c r="B404" s="1"/>
      <x:c r="C404" s="1"/>
      <x:c r="D404" s="1"/>
      <x:c r="E404" s="1"/>
      <x:c r="F404" s="1"/>
      <x:c r="G404" s="1"/>
      <x:c r="H404" s="1"/>
      <x:c r="I404" s="1"/>
      <x:c r="J404" s="1"/>
      <x:c r="K404" s="1"/>
      <x:c r="L404" s="1"/>
      <x:c r="M404" s="1"/>
      <x:c r="N404" s="1"/>
      <x:c r="O404" s="1"/>
      <x:c r="P404" s="1"/>
      <x:c r="Q404" s="1"/>
      <x:c r="R404" s="1"/>
      <x:c r="S404" s="1"/>
    </x:row>
    <x:row r="405" ht="26" customHeight="1">
      <x:c r="A405" s="1"/>
      <x:c r="B405" s="1"/>
      <x:c r="C405" s="1"/>
      <x:c r="D405" s="1"/>
      <x:c r="E405" s="1"/>
      <x:c r="F405" s="1"/>
      <x:c r="G405" s="1"/>
      <x:c r="H405" s="1"/>
      <x:c r="I405" s="1"/>
      <x:c r="J405" s="1"/>
      <x:c r="K405" s="1"/>
      <x:c r="L405" s="1"/>
      <x:c r="M405" s="1"/>
      <x:c r="N405" s="1"/>
      <x:c r="O405" s="1"/>
      <x:c r="P405" s="1"/>
      <x:c r="Q405" s="1"/>
      <x:c r="R405" s="1"/>
      <x:c r="S405" s="1"/>
    </x:row>
    <x:row r="406" ht="26" customHeight="1">
      <x:c r="A406" s="1"/>
      <x:c r="B406" s="1"/>
      <x:c r="C406" s="1"/>
      <x:c r="D406" s="1"/>
      <x:c r="E406" s="1"/>
      <x:c r="F406" s="1"/>
      <x:c r="G406" s="1"/>
      <x:c r="H406" s="1"/>
      <x:c r="I406" s="1"/>
      <x:c r="J406" s="1"/>
      <x:c r="K406" s="1"/>
      <x:c r="L406" s="1"/>
      <x:c r="M406" s="1"/>
      <x:c r="N406" s="1"/>
      <x:c r="O406" s="1"/>
      <x:c r="P406" s="1"/>
      <x:c r="Q406" s="1"/>
      <x:c r="R406" s="1"/>
      <x:c r="S406" s="1"/>
    </x:row>
    <x:row r="407" ht="26" customHeight="1">
      <x:c r="A407" s="1"/>
      <x:c r="B407" s="1"/>
      <x:c r="C407" s="1"/>
      <x:c r="D407" s="1"/>
      <x:c r="E407" s="1"/>
      <x:c r="F407" s="1"/>
      <x:c r="G407" s="1"/>
      <x:c r="H407" s="1"/>
      <x:c r="I407" s="1"/>
      <x:c r="J407" s="1"/>
      <x:c r="K407" s="1"/>
      <x:c r="L407" s="1"/>
      <x:c r="M407" s="1"/>
      <x:c r="N407" s="1"/>
      <x:c r="O407" s="1"/>
      <x:c r="P407" s="1"/>
      <x:c r="Q407" s="1"/>
      <x:c r="R407" s="1"/>
      <x:c r="S407" s="1"/>
    </x:row>
    <x:row r="408" ht="26" customHeight="1">
      <x:c r="A408" s="1"/>
      <x:c r="B408" s="1"/>
      <x:c r="C408" s="1"/>
      <x:c r="D408" s="1"/>
      <x:c r="E408" s="1"/>
      <x:c r="F408" s="1"/>
      <x:c r="G408" s="1"/>
      <x:c r="H408" s="1"/>
      <x:c r="I408" s="1"/>
      <x:c r="J408" s="1"/>
      <x:c r="K408" s="1"/>
      <x:c r="L408" s="1"/>
      <x:c r="M408" s="1"/>
      <x:c r="N408" s="1"/>
      <x:c r="O408" s="1"/>
      <x:c r="P408" s="1"/>
      <x:c r="Q408" s="1"/>
      <x:c r="R408" s="1"/>
      <x:c r="S408" s="1"/>
    </x:row>
    <x:row r="409" ht="26" customHeight="1">
      <x:c r="A409" s="1"/>
      <x:c r="B409" s="1"/>
      <x:c r="C409" s="1"/>
      <x:c r="D409" s="1"/>
      <x:c r="E409" s="1"/>
      <x:c r="F409" s="1"/>
      <x:c r="G409" s="1"/>
      <x:c r="H409" s="1"/>
      <x:c r="I409" s="1"/>
      <x:c r="J409" s="1"/>
      <x:c r="K409" s="1"/>
      <x:c r="L409" s="1"/>
      <x:c r="M409" s="1"/>
      <x:c r="N409" s="1"/>
      <x:c r="O409" s="1"/>
      <x:c r="P409" s="1"/>
      <x:c r="Q409" s="1"/>
      <x:c r="R409" s="1"/>
      <x:c r="S409" s="1"/>
    </x:row>
    <x:row r="410" ht="26" customHeight="1">
      <x:c r="A410" s="1"/>
      <x:c r="B410" s="1"/>
      <x:c r="C410" s="1"/>
      <x:c r="D410" s="1"/>
      <x:c r="E410" s="1"/>
      <x:c r="F410" s="1"/>
      <x:c r="G410" s="1"/>
      <x:c r="H410" s="1"/>
      <x:c r="I410" s="1"/>
      <x:c r="J410" s="1"/>
      <x:c r="K410" s="1"/>
      <x:c r="L410" s="1"/>
      <x:c r="M410" s="1"/>
      <x:c r="N410" s="1"/>
      <x:c r="O410" s="1"/>
      <x:c r="P410" s="1"/>
      <x:c r="Q410" s="1"/>
      <x:c r="R410" s="1"/>
      <x:c r="S410" s="1"/>
    </x:row>
    <x:row r="411" ht="26" customHeight="1">
      <x:c r="A411" s="1"/>
      <x:c r="B411" s="1"/>
      <x:c r="C411" s="1"/>
      <x:c r="D411" s="1"/>
      <x:c r="E411" s="1"/>
      <x:c r="F411" s="1"/>
      <x:c r="G411" s="1"/>
      <x:c r="H411" s="1"/>
      <x:c r="I411" s="1"/>
      <x:c r="J411" s="1"/>
      <x:c r="K411" s="1"/>
      <x:c r="L411" s="1"/>
      <x:c r="M411" s="1"/>
      <x:c r="N411" s="1"/>
      <x:c r="O411" s="1"/>
      <x:c r="P411" s="1"/>
      <x:c r="Q411" s="1"/>
      <x:c r="R411" s="1"/>
      <x:c r="S411" s="1"/>
    </x:row>
    <x:row r="412" ht="26" customHeight="1">
      <x:c r="A412" s="1"/>
      <x:c r="B412" s="1"/>
      <x:c r="C412" s="1"/>
      <x:c r="D412" s="1"/>
      <x:c r="E412" s="1"/>
      <x:c r="F412" s="1"/>
      <x:c r="G412" s="1"/>
      <x:c r="H412" s="1"/>
      <x:c r="I412" s="1"/>
      <x:c r="J412" s="1"/>
      <x:c r="K412" s="1"/>
      <x:c r="L412" s="1"/>
      <x:c r="M412" s="1"/>
      <x:c r="N412" s="1"/>
      <x:c r="O412" s="1"/>
      <x:c r="P412" s="1"/>
      <x:c r="Q412" s="1"/>
      <x:c r="R412" s="1"/>
      <x:c r="S412" s="1"/>
    </x:row>
    <x:row r="413" ht="26" customHeight="1">
      <x:c r="A413" s="1"/>
      <x:c r="B413" s="1"/>
      <x:c r="C413" s="1"/>
      <x:c r="D413" s="1"/>
      <x:c r="E413" s="1"/>
      <x:c r="F413" s="1"/>
      <x:c r="G413" s="1"/>
      <x:c r="H413" s="1"/>
      <x:c r="I413" s="1"/>
      <x:c r="J413" s="1"/>
      <x:c r="K413" s="1"/>
      <x:c r="L413" s="1"/>
      <x:c r="M413" s="1"/>
      <x:c r="N413" s="1"/>
      <x:c r="O413" s="1"/>
      <x:c r="P413" s="1"/>
      <x:c r="Q413" s="1"/>
      <x:c r="R413" s="1"/>
      <x:c r="S413" s="1"/>
    </x:row>
    <x:row r="414" ht="26" customHeight="1">
      <x:c r="A414" s="1"/>
      <x:c r="B414" s="1"/>
      <x:c r="C414" s="1"/>
      <x:c r="D414" s="1"/>
      <x:c r="E414" s="1"/>
      <x:c r="F414" s="1"/>
      <x:c r="G414" s="1"/>
      <x:c r="H414" s="1"/>
      <x:c r="I414" s="1"/>
      <x:c r="J414" s="1"/>
      <x:c r="K414" s="1"/>
      <x:c r="L414" s="1"/>
      <x:c r="M414" s="1"/>
      <x:c r="N414" s="1"/>
      <x:c r="O414" s="1"/>
      <x:c r="P414" s="1"/>
      <x:c r="Q414" s="1"/>
      <x:c r="R414" s="1"/>
      <x:c r="S414" s="1"/>
    </x:row>
    <x:row r="415" ht="26" customHeight="1">
      <x:c r="A415" s="1"/>
      <x:c r="B415" s="1"/>
      <x:c r="C415" s="1"/>
      <x:c r="D415" s="1"/>
      <x:c r="E415" s="1"/>
      <x:c r="F415" s="1"/>
      <x:c r="G415" s="1"/>
      <x:c r="H415" s="1"/>
      <x:c r="I415" s="1"/>
      <x:c r="J415" s="1"/>
      <x:c r="K415" s="1"/>
      <x:c r="L415" s="1"/>
      <x:c r="M415" s="1"/>
      <x:c r="N415" s="1"/>
      <x:c r="O415" s="1"/>
      <x:c r="P415" s="1"/>
      <x:c r="Q415" s="1"/>
      <x:c r="R415" s="1"/>
      <x:c r="S415" s="1"/>
    </x:row>
    <x:row r="416" ht="26" customHeight="1">
      <x:c r="A416" s="1"/>
      <x:c r="B416" s="1"/>
      <x:c r="C416" s="1"/>
      <x:c r="D416" s="1"/>
      <x:c r="E416" s="1"/>
      <x:c r="F416" s="1"/>
      <x:c r="G416" s="1"/>
      <x:c r="H416" s="1"/>
      <x:c r="I416" s="1"/>
      <x:c r="J416" s="1"/>
      <x:c r="K416" s="1"/>
      <x:c r="L416" s="1"/>
      <x:c r="M416" s="1"/>
      <x:c r="N416" s="1"/>
      <x:c r="O416" s="1"/>
      <x:c r="P416" s="1"/>
      <x:c r="Q416" s="1"/>
      <x:c r="R416" s="1"/>
      <x:c r="S416" s="1"/>
    </x:row>
    <x:row r="417" ht="26" customHeight="1">
      <x:c r="A417" s="1"/>
      <x:c r="B417" s="1"/>
      <x:c r="C417" s="1"/>
      <x:c r="D417" s="1"/>
      <x:c r="E417" s="1"/>
      <x:c r="F417" s="1"/>
      <x:c r="G417" s="1"/>
      <x:c r="H417" s="1"/>
      <x:c r="I417" s="1"/>
      <x:c r="J417" s="1"/>
      <x:c r="K417" s="1"/>
      <x:c r="L417" s="1"/>
      <x:c r="M417" s="1"/>
      <x:c r="N417" s="1"/>
      <x:c r="O417" s="1"/>
      <x:c r="P417" s="1"/>
      <x:c r="Q417" s="1"/>
      <x:c r="R417" s="1"/>
      <x:c r="S417" s="1"/>
    </x:row>
    <x:row r="418" ht="26" customHeight="1">
      <x:c r="A418" s="1"/>
      <x:c r="B418" s="1"/>
      <x:c r="C418" s="1"/>
      <x:c r="D418" s="1"/>
      <x:c r="E418" s="1"/>
      <x:c r="F418" s="1"/>
      <x:c r="G418" s="1"/>
      <x:c r="H418" s="1"/>
      <x:c r="I418" s="1"/>
      <x:c r="J418" s="1"/>
      <x:c r="K418" s="1"/>
      <x:c r="L418" s="1"/>
      <x:c r="M418" s="1"/>
      <x:c r="N418" s="1"/>
      <x:c r="O418" s="1"/>
      <x:c r="P418" s="1"/>
      <x:c r="Q418" s="1"/>
      <x:c r="R418" s="1"/>
      <x:c r="S418" s="1"/>
    </x:row>
    <x:row r="419" ht="26" customHeight="1">
      <x:c r="A419" s="1"/>
      <x:c r="B419" s="1"/>
      <x:c r="C419" s="1"/>
      <x:c r="D419" s="1"/>
      <x:c r="E419" s="1"/>
      <x:c r="F419" s="1"/>
      <x:c r="G419" s="1"/>
      <x:c r="H419" s="1"/>
      <x:c r="I419" s="1"/>
      <x:c r="J419" s="1"/>
      <x:c r="K419" s="1"/>
      <x:c r="L419" s="1"/>
      <x:c r="M419" s="1"/>
      <x:c r="N419" s="1"/>
      <x:c r="O419" s="1"/>
      <x:c r="P419" s="1"/>
      <x:c r="Q419" s="1"/>
      <x:c r="R419" s="1"/>
      <x:c r="S419" s="1"/>
    </x:row>
    <x:row r="420" ht="26" customHeight="1">
      <x:c r="A420" s="1"/>
      <x:c r="B420" s="1"/>
      <x:c r="C420" s="1"/>
      <x:c r="D420" s="1"/>
      <x:c r="E420" s="1"/>
      <x:c r="F420" s="1"/>
      <x:c r="G420" s="1"/>
      <x:c r="H420" s="1"/>
      <x:c r="I420" s="1"/>
      <x:c r="J420" s="1"/>
      <x:c r="K420" s="1"/>
      <x:c r="L420" s="1"/>
      <x:c r="M420" s="1"/>
      <x:c r="N420" s="1"/>
      <x:c r="O420" s="1"/>
      <x:c r="P420" s="1"/>
      <x:c r="Q420" s="1"/>
      <x:c r="R420" s="1"/>
      <x:c r="S420" s="1"/>
    </x:row>
    <x:row r="421" ht="26" customHeight="1">
      <x:c r="A421" s="1"/>
      <x:c r="B421" s="1"/>
      <x:c r="C421" s="1"/>
      <x:c r="D421" s="1"/>
      <x:c r="E421" s="1"/>
      <x:c r="F421" s="1"/>
      <x:c r="G421" s="1"/>
      <x:c r="H421" s="1"/>
      <x:c r="I421" s="1"/>
      <x:c r="J421" s="1"/>
      <x:c r="K421" s="1"/>
      <x:c r="L421" s="1"/>
      <x:c r="M421" s="1"/>
      <x:c r="N421" s="1"/>
      <x:c r="O421" s="1"/>
      <x:c r="P421" s="1"/>
      <x:c r="Q421" s="1"/>
      <x:c r="R421" s="1"/>
      <x:c r="S421" s="1"/>
    </x:row>
    <x:row r="422" ht="26" customHeight="1">
      <x:c r="A422" s="1"/>
      <x:c r="B422" s="1"/>
      <x:c r="C422" s="1"/>
      <x:c r="D422" s="1"/>
      <x:c r="E422" s="1"/>
      <x:c r="F422" s="1"/>
      <x:c r="G422" s="1"/>
      <x:c r="H422" s="1"/>
      <x:c r="I422" s="1"/>
      <x:c r="J422" s="1"/>
      <x:c r="K422" s="1"/>
      <x:c r="L422" s="1"/>
      <x:c r="M422" s="1"/>
      <x:c r="N422" s="1"/>
      <x:c r="O422" s="1"/>
      <x:c r="P422" s="1"/>
      <x:c r="Q422" s="1"/>
      <x:c r="R422" s="1"/>
      <x:c r="S422" s="1"/>
    </x:row>
    <x:row r="423" ht="26" customHeight="1">
      <x:c r="A423" s="1"/>
      <x:c r="B423" s="1"/>
      <x:c r="C423" s="1"/>
      <x:c r="D423" s="1"/>
      <x:c r="E423" s="1"/>
      <x:c r="F423" s="1"/>
      <x:c r="G423" s="1"/>
      <x:c r="H423" s="1"/>
      <x:c r="I423" s="1"/>
      <x:c r="J423" s="1"/>
      <x:c r="K423" s="1"/>
      <x:c r="L423" s="1"/>
      <x:c r="M423" s="1"/>
      <x:c r="N423" s="1"/>
      <x:c r="O423" s="1"/>
      <x:c r="P423" s="1"/>
      <x:c r="Q423" s="1"/>
      <x:c r="R423" s="1"/>
      <x:c r="S423" s="1"/>
    </x:row>
    <x:row r="424" ht="26" customHeight="1">
      <x:c r="A424" s="1"/>
      <x:c r="B424" s="1"/>
      <x:c r="C424" s="1"/>
      <x:c r="D424" s="1"/>
      <x:c r="E424" s="1"/>
      <x:c r="F424" s="1"/>
      <x:c r="G424" s="1"/>
      <x:c r="H424" s="1"/>
      <x:c r="I424" s="1"/>
      <x:c r="J424" s="1"/>
      <x:c r="K424" s="1"/>
      <x:c r="L424" s="1"/>
      <x:c r="M424" s="1"/>
      <x:c r="N424" s="1"/>
      <x:c r="O424" s="1"/>
      <x:c r="P424" s="1"/>
      <x:c r="Q424" s="1"/>
      <x:c r="R424" s="1"/>
      <x:c r="S424" s="1"/>
    </x:row>
    <x:row r="425" ht="26" customHeight="1">
      <x:c r="A425" s="1"/>
      <x:c r="B425" s="1"/>
      <x:c r="C425" s="1"/>
      <x:c r="D425" s="1"/>
      <x:c r="E425" s="1"/>
      <x:c r="F425" s="1"/>
      <x:c r="G425" s="1"/>
      <x:c r="H425" s="1"/>
      <x:c r="I425" s="1"/>
      <x:c r="J425" s="1"/>
      <x:c r="K425" s="1"/>
      <x:c r="L425" s="1"/>
      <x:c r="M425" s="1"/>
      <x:c r="N425" s="1"/>
      <x:c r="O425" s="1"/>
      <x:c r="P425" s="1"/>
      <x:c r="Q425" s="1"/>
      <x:c r="R425" s="1"/>
      <x:c r="S425" s="1"/>
    </x:row>
    <x:row r="426" ht="26" customHeight="1">
      <x:c r="A426" s="1"/>
      <x:c r="B426" s="1"/>
      <x:c r="C426" s="1"/>
      <x:c r="D426" s="1"/>
      <x:c r="E426" s="1"/>
      <x:c r="F426" s="1"/>
      <x:c r="G426" s="1"/>
      <x:c r="H426" s="1"/>
      <x:c r="I426" s="1"/>
      <x:c r="J426" s="1"/>
      <x:c r="K426" s="1"/>
      <x:c r="L426" s="1"/>
      <x:c r="M426" s="1"/>
      <x:c r="N426" s="1"/>
      <x:c r="O426" s="1"/>
      <x:c r="P426" s="1"/>
      <x:c r="Q426" s="1"/>
      <x:c r="R426" s="1"/>
      <x:c r="S426" s="1"/>
    </x:row>
    <x:row r="427" ht="26" customHeight="1">
      <x:c r="A427" s="1"/>
      <x:c r="B427" s="1"/>
      <x:c r="C427" s="1"/>
      <x:c r="D427" s="1"/>
      <x:c r="E427" s="1"/>
      <x:c r="F427" s="1"/>
      <x:c r="G427" s="1"/>
      <x:c r="H427" s="1"/>
      <x:c r="I427" s="1"/>
      <x:c r="J427" s="1"/>
      <x:c r="K427" s="1"/>
      <x:c r="L427" s="1"/>
      <x:c r="M427" s="1"/>
      <x:c r="N427" s="1"/>
      <x:c r="O427" s="1"/>
      <x:c r="P427" s="1"/>
      <x:c r="Q427" s="1"/>
      <x:c r="R427" s="1"/>
      <x:c r="S427" s="1"/>
    </x:row>
    <x:row r="428" ht="26" customHeight="1">
      <x:c r="A428" s="1"/>
      <x:c r="B428" s="1"/>
      <x:c r="C428" s="1"/>
      <x:c r="D428" s="1"/>
      <x:c r="E428" s="1"/>
      <x:c r="F428" s="1"/>
      <x:c r="G428" s="1"/>
      <x:c r="H428" s="1"/>
      <x:c r="I428" s="1"/>
      <x:c r="J428" s="1"/>
      <x:c r="K428" s="1"/>
      <x:c r="L428" s="1"/>
      <x:c r="M428" s="1"/>
      <x:c r="N428" s="1"/>
      <x:c r="O428" s="1"/>
      <x:c r="P428" s="1"/>
      <x:c r="Q428" s="1"/>
      <x:c r="R428" s="1"/>
      <x:c r="S428" s="1"/>
    </x:row>
    <x:row r="429" ht="26" customHeight="1">
      <x:c r="A429" s="1"/>
      <x:c r="B429" s="1"/>
      <x:c r="C429" s="1"/>
      <x:c r="D429" s="1"/>
      <x:c r="E429" s="1"/>
      <x:c r="F429" s="1"/>
      <x:c r="G429" s="1"/>
      <x:c r="H429" s="1"/>
      <x:c r="I429" s="1"/>
      <x:c r="J429" s="1"/>
      <x:c r="K429" s="1"/>
      <x:c r="L429" s="1"/>
      <x:c r="M429" s="1"/>
      <x:c r="N429" s="1"/>
      <x:c r="O429" s="1"/>
      <x:c r="P429" s="1"/>
      <x:c r="Q429" s="1"/>
      <x:c r="R429" s="1"/>
      <x:c r="S429" s="1"/>
    </x:row>
    <x:row r="430" ht="26" customHeight="1">
      <x:c r="A430" s="1"/>
      <x:c r="B430" s="1"/>
      <x:c r="C430" s="1"/>
      <x:c r="D430" s="1"/>
      <x:c r="E430" s="1"/>
      <x:c r="F430" s="1"/>
      <x:c r="G430" s="1"/>
      <x:c r="H430" s="1"/>
      <x:c r="I430" s="1"/>
      <x:c r="J430" s="1"/>
      <x:c r="K430" s="1"/>
      <x:c r="L430" s="1"/>
      <x:c r="M430" s="1"/>
      <x:c r="N430" s="1"/>
      <x:c r="O430" s="1"/>
      <x:c r="P430" s="1"/>
      <x:c r="Q430" s="1"/>
      <x:c r="R430" s="1"/>
      <x:c r="S430" s="1"/>
    </x:row>
    <x:row r="431" ht="26" customHeight="1">
      <x:c r="A431" s="1"/>
      <x:c r="B431" s="1"/>
      <x:c r="C431" s="1"/>
      <x:c r="D431" s="1"/>
      <x:c r="E431" s="1"/>
      <x:c r="F431" s="1"/>
      <x:c r="G431" s="1"/>
      <x:c r="H431" s="1"/>
      <x:c r="I431" s="1"/>
      <x:c r="J431" s="1"/>
      <x:c r="K431" s="1"/>
      <x:c r="L431" s="1"/>
      <x:c r="M431" s="1"/>
      <x:c r="N431" s="1"/>
      <x:c r="O431" s="1"/>
      <x:c r="P431" s="1"/>
      <x:c r="Q431" s="1"/>
      <x:c r="R431" s="1"/>
      <x:c r="S431" s="1"/>
    </x:row>
    <x:row r="432" ht="26" customHeight="1">
      <x:c r="A432" s="1"/>
      <x:c r="B432" s="1"/>
      <x:c r="C432" s="1"/>
      <x:c r="D432" s="1"/>
      <x:c r="E432" s="1"/>
      <x:c r="F432" s="1"/>
      <x:c r="G432" s="1"/>
      <x:c r="H432" s="1"/>
      <x:c r="I432" s="1"/>
      <x:c r="J432" s="1"/>
      <x:c r="K432" s="1"/>
      <x:c r="L432" s="1"/>
      <x:c r="M432" s="1"/>
      <x:c r="N432" s="1"/>
      <x:c r="O432" s="1"/>
      <x:c r="P432" s="1"/>
      <x:c r="Q432" s="1"/>
      <x:c r="R432" s="1"/>
      <x:c r="S432" s="1"/>
    </x:row>
    <x:row r="433" ht="26" customHeight="1">
      <x:c r="A433" s="1"/>
      <x:c r="B433" s="1"/>
      <x:c r="C433" s="1"/>
      <x:c r="D433" s="1"/>
      <x:c r="E433" s="1"/>
      <x:c r="F433" s="1"/>
      <x:c r="G433" s="1"/>
      <x:c r="H433" s="1"/>
      <x:c r="I433" s="1"/>
      <x:c r="J433" s="1"/>
      <x:c r="K433" s="1"/>
      <x:c r="L433" s="1"/>
      <x:c r="M433" s="1"/>
      <x:c r="N433" s="1"/>
      <x:c r="O433" s="1"/>
      <x:c r="P433" s="1"/>
      <x:c r="Q433" s="1"/>
      <x:c r="R433" s="1"/>
      <x:c r="S433" s="1"/>
    </x:row>
    <x:row r="434" ht="26" customHeight="1">
      <x:c r="A434" s="1"/>
      <x:c r="B434" s="1"/>
      <x:c r="C434" s="1"/>
      <x:c r="D434" s="1"/>
      <x:c r="E434" s="1"/>
      <x:c r="F434" s="1"/>
      <x:c r="G434" s="1"/>
      <x:c r="H434" s="1"/>
      <x:c r="I434" s="1"/>
      <x:c r="J434" s="1"/>
      <x:c r="K434" s="1"/>
      <x:c r="L434" s="1"/>
      <x:c r="M434" s="1"/>
      <x:c r="N434" s="1"/>
      <x:c r="O434" s="1"/>
      <x:c r="P434" s="1"/>
      <x:c r="Q434" s="1"/>
      <x:c r="R434" s="1"/>
      <x:c r="S434" s="1"/>
    </x:row>
    <x:row r="435" ht="26" customHeight="1">
      <x:c r="A435" s="1"/>
      <x:c r="B435" s="1"/>
      <x:c r="C435" s="1"/>
      <x:c r="D435" s="1"/>
      <x:c r="E435" s="1"/>
      <x:c r="F435" s="1"/>
      <x:c r="G435" s="1"/>
      <x:c r="H435" s="1"/>
      <x:c r="I435" s="1"/>
      <x:c r="J435" s="1"/>
      <x:c r="K435" s="1"/>
      <x:c r="L435" s="1"/>
      <x:c r="M435" s="1"/>
      <x:c r="N435" s="1"/>
      <x:c r="O435" s="1"/>
      <x:c r="P435" s="1"/>
      <x:c r="Q435" s="1"/>
      <x:c r="R435" s="1"/>
      <x:c r="S435" s="1"/>
    </x:row>
    <x:row r="436" ht="26" customHeight="1">
      <x:c r="A436" s="1"/>
      <x:c r="B436" s="1"/>
      <x:c r="C436" s="1"/>
      <x:c r="D436" s="1"/>
      <x:c r="E436" s="1"/>
      <x:c r="F436" s="1"/>
      <x:c r="G436" s="1"/>
      <x:c r="H436" s="1"/>
      <x:c r="I436" s="1"/>
      <x:c r="J436" s="1"/>
      <x:c r="K436" s="1"/>
      <x:c r="L436" s="1"/>
      <x:c r="M436" s="1"/>
      <x:c r="N436" s="1"/>
      <x:c r="O436" s="1"/>
      <x:c r="P436" s="1"/>
      <x:c r="Q436" s="1"/>
      <x:c r="R436" s="1"/>
      <x:c r="S436" s="1"/>
    </x:row>
    <x:row r="437" ht="26" customHeight="1">
      <x:c r="A437" s="1"/>
      <x:c r="B437" s="1"/>
      <x:c r="C437" s="1"/>
      <x:c r="D437" s="1"/>
      <x:c r="E437" s="1"/>
      <x:c r="F437" s="1"/>
      <x:c r="G437" s="1"/>
      <x:c r="H437" s="1"/>
      <x:c r="I437" s="1"/>
      <x:c r="J437" s="1"/>
      <x:c r="K437" s="1"/>
      <x:c r="L437" s="1"/>
      <x:c r="M437" s="1"/>
      <x:c r="N437" s="1"/>
      <x:c r="O437" s="1"/>
      <x:c r="P437" s="1"/>
      <x:c r="Q437" s="1"/>
      <x:c r="R437" s="1"/>
      <x:c r="S437" s="1"/>
    </x:row>
    <x:row r="438" ht="26" customHeight="1">
      <x:c r="A438" s="1"/>
      <x:c r="B438" s="1"/>
      <x:c r="C438" s="1"/>
      <x:c r="D438" s="1"/>
      <x:c r="E438" s="1"/>
      <x:c r="F438" s="1"/>
      <x:c r="G438" s="1"/>
      <x:c r="H438" s="1"/>
      <x:c r="I438" s="1"/>
      <x:c r="J438" s="1"/>
      <x:c r="K438" s="1"/>
      <x:c r="L438" s="1"/>
      <x:c r="M438" s="1"/>
      <x:c r="N438" s="1"/>
      <x:c r="O438" s="1"/>
      <x:c r="P438" s="1"/>
      <x:c r="Q438" s="1"/>
      <x:c r="R438" s="1"/>
      <x:c r="S438" s="1"/>
    </x:row>
    <x:row r="439" ht="26" customHeight="1">
      <x:c r="A439" s="1"/>
      <x:c r="B439" s="1"/>
      <x:c r="C439" s="1"/>
      <x:c r="D439" s="1"/>
      <x:c r="E439" s="1"/>
      <x:c r="F439" s="1"/>
      <x:c r="G439" s="1"/>
      <x:c r="H439" s="1"/>
      <x:c r="I439" s="1"/>
      <x:c r="J439" s="1"/>
      <x:c r="K439" s="1"/>
      <x:c r="L439" s="1"/>
      <x:c r="M439" s="1"/>
      <x:c r="N439" s="1"/>
      <x:c r="O439" s="1"/>
      <x:c r="P439" s="1"/>
      <x:c r="Q439" s="1"/>
      <x:c r="R439" s="1"/>
      <x:c r="S439" s="1"/>
    </x:row>
    <x:row r="440" ht="26" customHeight="1">
      <x:c r="A440" s="1"/>
      <x:c r="B440" s="1"/>
      <x:c r="C440" s="1"/>
      <x:c r="D440" s="1"/>
      <x:c r="E440" s="1"/>
      <x:c r="F440" s="1"/>
      <x:c r="G440" s="1"/>
      <x:c r="H440" s="1"/>
      <x:c r="I440" s="1"/>
      <x:c r="J440" s="1"/>
      <x:c r="K440" s="1"/>
      <x:c r="L440" s="1"/>
      <x:c r="M440" s="1"/>
      <x:c r="N440" s="1"/>
      <x:c r="O440" s="1"/>
      <x:c r="P440" s="1"/>
      <x:c r="Q440" s="1"/>
      <x:c r="R440" s="1"/>
      <x:c r="S440" s="1"/>
    </x:row>
    <x:row r="441" ht="26" customHeight="1">
      <x:c r="A441" s="1"/>
      <x:c r="B441" s="1"/>
      <x:c r="C441" s="1"/>
      <x:c r="D441" s="1"/>
      <x:c r="E441" s="1"/>
      <x:c r="F441" s="1"/>
      <x:c r="G441" s="1"/>
      <x:c r="H441" s="1"/>
      <x:c r="I441" s="1"/>
      <x:c r="J441" s="1"/>
      <x:c r="K441" s="1"/>
      <x:c r="L441" s="1"/>
      <x:c r="M441" s="1"/>
      <x:c r="N441" s="1"/>
      <x:c r="O441" s="1"/>
      <x:c r="P441" s="1"/>
      <x:c r="Q441" s="1"/>
      <x:c r="R441" s="1"/>
      <x:c r="S441" s="1"/>
    </x:row>
    <x:row r="442" ht="26" customHeight="1">
      <x:c r="A442" s="1"/>
      <x:c r="B442" s="1"/>
      <x:c r="C442" s="1"/>
      <x:c r="D442" s="1"/>
      <x:c r="E442" s="1"/>
      <x:c r="F442" s="1"/>
      <x:c r="G442" s="1"/>
      <x:c r="H442" s="1"/>
      <x:c r="I442" s="1"/>
      <x:c r="J442" s="1"/>
      <x:c r="K442" s="1"/>
      <x:c r="L442" s="1"/>
      <x:c r="M442" s="1"/>
      <x:c r="N442" s="1"/>
      <x:c r="O442" s="1"/>
      <x:c r="P442" s="1"/>
      <x:c r="Q442" s="1"/>
      <x:c r="R442" s="1"/>
      <x:c r="S442" s="1"/>
    </x:row>
    <x:row r="443" ht="26" customHeight="1">
      <x:c r="A443" s="1"/>
      <x:c r="B443" s="1"/>
      <x:c r="C443" s="1"/>
      <x:c r="D443" s="1"/>
      <x:c r="E443" s="1"/>
      <x:c r="F443" s="1"/>
      <x:c r="G443" s="1"/>
      <x:c r="H443" s="1"/>
      <x:c r="I443" s="1"/>
      <x:c r="J443" s="1"/>
      <x:c r="K443" s="1"/>
      <x:c r="L443" s="1"/>
      <x:c r="M443" s="1"/>
      <x:c r="N443" s="1"/>
      <x:c r="O443" s="1"/>
      <x:c r="P443" s="1"/>
      <x:c r="Q443" s="1"/>
      <x:c r="R443" s="1"/>
      <x:c r="S443" s="1"/>
    </x:row>
    <x:row r="444" ht="26" customHeight="1">
      <x:c r="A444" s="1"/>
      <x:c r="B444" s="1"/>
      <x:c r="C444" s="1"/>
      <x:c r="D444" s="1"/>
      <x:c r="E444" s="1"/>
      <x:c r="F444" s="1"/>
      <x:c r="G444" s="1"/>
      <x:c r="H444" s="1"/>
      <x:c r="I444" s="1"/>
      <x:c r="J444" s="1"/>
      <x:c r="K444" s="1"/>
      <x:c r="L444" s="1"/>
      <x:c r="M444" s="1"/>
      <x:c r="N444" s="1"/>
      <x:c r="O444" s="1"/>
      <x:c r="P444" s="1"/>
      <x:c r="Q444" s="1"/>
      <x:c r="R444" s="1"/>
      <x:c r="S444" s="1"/>
    </x:row>
    <x:row r="445" ht="26" customHeight="1">
      <x:c r="A445" s="1"/>
      <x:c r="B445" s="1"/>
      <x:c r="C445" s="1"/>
      <x:c r="D445" s="1"/>
      <x:c r="E445" s="1"/>
      <x:c r="F445" s="1"/>
      <x:c r="G445" s="1"/>
      <x:c r="H445" s="1"/>
      <x:c r="I445" s="1"/>
      <x:c r="J445" s="1"/>
      <x:c r="K445" s="1"/>
      <x:c r="L445" s="1"/>
      <x:c r="M445" s="1"/>
      <x:c r="N445" s="1"/>
      <x:c r="O445" s="1"/>
      <x:c r="P445" s="1"/>
      <x:c r="Q445" s="1"/>
      <x:c r="R445" s="1"/>
      <x:c r="S445" s="1"/>
    </x:row>
    <x:row r="446" ht="26" customHeight="1">
      <x:c r="A446" s="1"/>
      <x:c r="B446" s="1"/>
      <x:c r="C446" s="1"/>
      <x:c r="D446" s="1"/>
      <x:c r="E446" s="1"/>
      <x:c r="F446" s="1"/>
      <x:c r="G446" s="1"/>
      <x:c r="H446" s="1"/>
      <x:c r="I446" s="1"/>
      <x:c r="J446" s="1"/>
      <x:c r="K446" s="1"/>
      <x:c r="L446" s="1"/>
      <x:c r="M446" s="1"/>
      <x:c r="N446" s="1"/>
      <x:c r="O446" s="1"/>
      <x:c r="P446" s="1"/>
      <x:c r="Q446" s="1"/>
      <x:c r="R446" s="1"/>
      <x:c r="S446" s="1"/>
    </x:row>
    <x:row r="447" ht="26" customHeight="1">
      <x:c r="A447" s="1"/>
      <x:c r="B447" s="1"/>
      <x:c r="C447" s="1"/>
      <x:c r="D447" s="1"/>
      <x:c r="E447" s="1"/>
      <x:c r="F447" s="1"/>
      <x:c r="G447" s="1"/>
      <x:c r="H447" s="1"/>
      <x:c r="I447" s="1"/>
      <x:c r="J447" s="1"/>
      <x:c r="K447" s="1"/>
      <x:c r="L447" s="1"/>
      <x:c r="M447" s="1"/>
      <x:c r="N447" s="1"/>
      <x:c r="O447" s="1"/>
      <x:c r="P447" s="1"/>
      <x:c r="Q447" s="1"/>
      <x:c r="R447" s="1"/>
      <x:c r="S447" s="1"/>
    </x:row>
    <x:row r="448" ht="26" customHeight="1">
      <x:c r="A448" s="1"/>
      <x:c r="B448" s="1"/>
      <x:c r="C448" s="1"/>
      <x:c r="D448" s="1"/>
      <x:c r="E448" s="1"/>
      <x:c r="F448" s="1"/>
      <x:c r="G448" s="1"/>
      <x:c r="H448" s="1"/>
      <x:c r="I448" s="1"/>
      <x:c r="J448" s="1"/>
      <x:c r="K448" s="1"/>
      <x:c r="L448" s="1"/>
      <x:c r="M448" s="1"/>
      <x:c r="N448" s="1"/>
      <x:c r="O448" s="1"/>
      <x:c r="P448" s="1"/>
      <x:c r="Q448" s="1"/>
      <x:c r="R448" s="1"/>
      <x:c r="S448" s="1"/>
    </x:row>
    <x:row r="449" ht="26" customHeight="1">
      <x:c r="A449" s="1"/>
      <x:c r="B449" s="1"/>
      <x:c r="C449" s="1"/>
      <x:c r="D449" s="1"/>
      <x:c r="E449" s="1"/>
      <x:c r="F449" s="1"/>
      <x:c r="G449" s="1"/>
      <x:c r="H449" s="1"/>
      <x:c r="I449" s="1"/>
      <x:c r="J449" s="1"/>
      <x:c r="K449" s="1"/>
      <x:c r="L449" s="1"/>
      <x:c r="M449" s="1"/>
      <x:c r="N449" s="1"/>
      <x:c r="O449" s="1"/>
      <x:c r="P449" s="1"/>
      <x:c r="Q449" s="1"/>
      <x:c r="R449" s="1"/>
      <x:c r="S449" s="1"/>
    </x:row>
    <x:row r="450" ht="26" customHeight="1">
      <x:c r="A450" s="1"/>
      <x:c r="B450" s="1"/>
      <x:c r="C450" s="1"/>
      <x:c r="D450" s="1"/>
      <x:c r="E450" s="1"/>
      <x:c r="F450" s="1"/>
      <x:c r="G450" s="1"/>
      <x:c r="H450" s="1"/>
      <x:c r="I450" s="1"/>
      <x:c r="J450" s="1"/>
      <x:c r="K450" s="1"/>
      <x:c r="L450" s="1"/>
      <x:c r="M450" s="1"/>
      <x:c r="N450" s="1"/>
      <x:c r="O450" s="1"/>
      <x:c r="P450" s="1"/>
      <x:c r="Q450" s="1"/>
      <x:c r="R450" s="1"/>
      <x:c r="S450" s="1"/>
    </x:row>
    <x:row r="451" ht="26" customHeight="1">
      <x:c r="A451" s="1"/>
      <x:c r="B451" s="1"/>
      <x:c r="C451" s="1"/>
      <x:c r="D451" s="1"/>
      <x:c r="E451" s="1"/>
      <x:c r="F451" s="1"/>
      <x:c r="G451" s="1"/>
      <x:c r="H451" s="1"/>
      <x:c r="I451" s="1"/>
      <x:c r="J451" s="1"/>
      <x:c r="K451" s="1"/>
      <x:c r="L451" s="1"/>
      <x:c r="M451" s="1"/>
      <x:c r="N451" s="1"/>
      <x:c r="O451" s="1"/>
      <x:c r="P451" s="1"/>
      <x:c r="Q451" s="1"/>
      <x:c r="R451" s="1"/>
      <x:c r="S451" s="1"/>
    </x:row>
    <x:row r="452" ht="26" customHeight="1">
      <x:c r="A452" s="1"/>
      <x:c r="B452" s="1"/>
      <x:c r="C452" s="1"/>
      <x:c r="D452" s="1"/>
      <x:c r="E452" s="1"/>
      <x:c r="F452" s="1"/>
      <x:c r="G452" s="1"/>
      <x:c r="H452" s="1"/>
      <x:c r="I452" s="1"/>
      <x:c r="J452" s="1"/>
      <x:c r="K452" s="1"/>
      <x:c r="L452" s="1"/>
      <x:c r="M452" s="1"/>
      <x:c r="N452" s="1"/>
      <x:c r="O452" s="1"/>
      <x:c r="P452" s="1"/>
      <x:c r="Q452" s="1"/>
      <x:c r="R452" s="1"/>
      <x:c r="S452" s="1"/>
    </x:row>
    <x:row r="453" ht="26" customHeight="1">
      <x:c r="A453" s="1"/>
      <x:c r="B453" s="1"/>
      <x:c r="C453" s="1"/>
      <x:c r="D453" s="1"/>
      <x:c r="E453" s="1"/>
      <x:c r="F453" s="1"/>
      <x:c r="G453" s="1"/>
      <x:c r="H453" s="1"/>
      <x:c r="I453" s="1"/>
      <x:c r="J453" s="1"/>
      <x:c r="K453" s="1"/>
      <x:c r="L453" s="1"/>
      <x:c r="M453" s="1"/>
      <x:c r="N453" s="1"/>
      <x:c r="O453" s="1"/>
      <x:c r="P453" s="1"/>
      <x:c r="Q453" s="1"/>
      <x:c r="R453" s="1"/>
      <x:c r="S453" s="1"/>
    </x:row>
    <x:row r="454" ht="26" customHeight="1">
      <x:c r="A454" s="1"/>
      <x:c r="B454" s="1"/>
      <x:c r="C454" s="1"/>
      <x:c r="D454" s="1"/>
      <x:c r="E454" s="1"/>
      <x:c r="F454" s="1"/>
      <x:c r="G454" s="1"/>
      <x:c r="H454" s="1"/>
      <x:c r="I454" s="1"/>
      <x:c r="J454" s="1"/>
      <x:c r="K454" s="1"/>
      <x:c r="L454" s="1"/>
      <x:c r="M454" s="1"/>
      <x:c r="N454" s="1"/>
      <x:c r="O454" s="1"/>
      <x:c r="P454" s="1"/>
      <x:c r="Q454" s="1"/>
      <x:c r="R454" s="1"/>
      <x:c r="S454" s="1"/>
    </x:row>
    <x:row r="455" ht="26" customHeight="1">
      <x:c r="A455" s="1"/>
      <x:c r="B455" s="1"/>
      <x:c r="C455" s="1"/>
      <x:c r="D455" s="1"/>
      <x:c r="E455" s="1"/>
      <x:c r="F455" s="1"/>
      <x:c r="G455" s="1"/>
      <x:c r="H455" s="1"/>
      <x:c r="I455" s="1"/>
      <x:c r="J455" s="1"/>
      <x:c r="K455" s="1"/>
      <x:c r="L455" s="1"/>
      <x:c r="M455" s="1"/>
      <x:c r="N455" s="1"/>
      <x:c r="O455" s="1"/>
      <x:c r="P455" s="1"/>
      <x:c r="Q455" s="1"/>
      <x:c r="R455" s="1"/>
      <x:c r="S455" s="1"/>
    </x:row>
    <x:row r="456" ht="26" customHeight="1">
      <x:c r="A456" s="1"/>
      <x:c r="B456" s="1"/>
      <x:c r="C456" s="1"/>
      <x:c r="D456" s="1"/>
      <x:c r="E456" s="1"/>
      <x:c r="F456" s="1"/>
      <x:c r="G456" s="1"/>
      <x:c r="H456" s="1"/>
      <x:c r="I456" s="1"/>
      <x:c r="J456" s="1"/>
      <x:c r="K456" s="1"/>
      <x:c r="L456" s="1"/>
      <x:c r="M456" s="1"/>
      <x:c r="N456" s="1"/>
      <x:c r="O456" s="1"/>
      <x:c r="P456" s="1"/>
      <x:c r="Q456" s="1"/>
      <x:c r="R456" s="1"/>
      <x:c r="S456" s="1"/>
    </x:row>
    <x:row r="457" ht="26" customHeight="1">
      <x:c r="A457" s="1"/>
      <x:c r="B457" s="1"/>
      <x:c r="C457" s="1"/>
      <x:c r="D457" s="1"/>
      <x:c r="E457" s="1"/>
      <x:c r="F457" s="1"/>
      <x:c r="G457" s="1"/>
      <x:c r="H457" s="1"/>
      <x:c r="I457" s="1"/>
      <x:c r="J457" s="1"/>
      <x:c r="K457" s="1"/>
      <x:c r="L457" s="1"/>
      <x:c r="M457" s="1"/>
      <x:c r="N457" s="1"/>
      <x:c r="O457" s="1"/>
      <x:c r="P457" s="1"/>
      <x:c r="Q457" s="1"/>
      <x:c r="R457" s="1"/>
      <x:c r="S457" s="1"/>
    </x:row>
    <x:row r="458" ht="26" customHeight="1">
      <x:c r="A458" s="1"/>
      <x:c r="B458" s="1"/>
      <x:c r="C458" s="1"/>
      <x:c r="D458" s="1"/>
      <x:c r="E458" s="1"/>
      <x:c r="F458" s="1"/>
      <x:c r="G458" s="1"/>
      <x:c r="H458" s="1"/>
      <x:c r="I458" s="1"/>
      <x:c r="J458" s="1"/>
      <x:c r="K458" s="1"/>
      <x:c r="L458" s="1"/>
      <x:c r="M458" s="1"/>
      <x:c r="N458" s="1"/>
      <x:c r="O458" s="1"/>
      <x:c r="P458" s="1"/>
      <x:c r="Q458" s="1"/>
      <x:c r="R458" s="1"/>
      <x:c r="S458" s="1"/>
    </x:row>
    <x:row r="459" ht="26" customHeight="1">
      <x:c r="A459" s="1"/>
      <x:c r="B459" s="1"/>
      <x:c r="C459" s="1"/>
      <x:c r="D459" s="1"/>
      <x:c r="E459" s="1"/>
      <x:c r="F459" s="1"/>
      <x:c r="G459" s="1"/>
      <x:c r="H459" s="1"/>
      <x:c r="I459" s="1"/>
      <x:c r="J459" s="1"/>
      <x:c r="K459" s="1"/>
      <x:c r="L459" s="1"/>
      <x:c r="M459" s="1"/>
      <x:c r="N459" s="1"/>
      <x:c r="O459" s="1"/>
      <x:c r="P459" s="1"/>
      <x:c r="Q459" s="1"/>
      <x:c r="R459" s="1"/>
      <x:c r="S459" s="1"/>
    </x:row>
    <x:row r="460" ht="26" customHeight="1">
      <x:c r="A460" s="1"/>
      <x:c r="B460" s="1"/>
      <x:c r="C460" s="1"/>
      <x:c r="D460" s="1"/>
      <x:c r="E460" s="1"/>
      <x:c r="F460" s="1"/>
      <x:c r="G460" s="1"/>
      <x:c r="H460" s="1"/>
      <x:c r="I460" s="1"/>
      <x:c r="J460" s="1"/>
      <x:c r="K460" s="1"/>
      <x:c r="L460" s="1"/>
      <x:c r="M460" s="1"/>
      <x:c r="N460" s="1"/>
      <x:c r="O460" s="1"/>
      <x:c r="P460" s="1"/>
      <x:c r="Q460" s="1"/>
      <x:c r="R460" s="1"/>
      <x:c r="S460" s="1"/>
    </x:row>
    <x:row r="461" ht="26" customHeight="1">
      <x:c r="A461" s="1"/>
      <x:c r="B461" s="1"/>
      <x:c r="C461" s="1"/>
      <x:c r="D461" s="1"/>
      <x:c r="E461" s="1"/>
      <x:c r="F461" s="1"/>
      <x:c r="G461" s="1"/>
      <x:c r="H461" s="1"/>
      <x:c r="I461" s="1"/>
      <x:c r="J461" s="1"/>
      <x:c r="K461" s="1"/>
      <x:c r="L461" s="1"/>
      <x:c r="M461" s="1"/>
      <x:c r="N461" s="1"/>
      <x:c r="O461" s="1"/>
      <x:c r="P461" s="1"/>
      <x:c r="Q461" s="1"/>
      <x:c r="R461" s="1"/>
      <x:c r="S461" s="1"/>
    </x:row>
    <x:row r="462" ht="26" customHeight="1">
      <x:c r="A462" s="1"/>
      <x:c r="B462" s="1"/>
      <x:c r="C462" s="1"/>
      <x:c r="D462" s="1"/>
      <x:c r="E462" s="1"/>
      <x:c r="F462" s="1"/>
      <x:c r="G462" s="1"/>
      <x:c r="H462" s="1"/>
      <x:c r="I462" s="1"/>
      <x:c r="J462" s="1"/>
      <x:c r="K462" s="1"/>
      <x:c r="L462" s="1"/>
      <x:c r="M462" s="1"/>
      <x:c r="N462" s="1"/>
      <x:c r="O462" s="1"/>
      <x:c r="P462" s="1"/>
      <x:c r="Q462" s="1"/>
      <x:c r="R462" s="1"/>
      <x:c r="S462" s="1"/>
    </x:row>
    <x:row r="463" ht="26" customHeight="1">
      <x:c r="A463" s="1"/>
      <x:c r="B463" s="1"/>
      <x:c r="C463" s="1"/>
      <x:c r="D463" s="1"/>
      <x:c r="E463" s="1"/>
      <x:c r="F463" s="1"/>
      <x:c r="G463" s="1"/>
      <x:c r="H463" s="1"/>
      <x:c r="I463" s="1"/>
      <x:c r="J463" s="1"/>
      <x:c r="K463" s="1"/>
      <x:c r="L463" s="1"/>
      <x:c r="M463" s="1"/>
      <x:c r="N463" s="1"/>
      <x:c r="O463" s="1"/>
      <x:c r="P463" s="1"/>
      <x:c r="Q463" s="1"/>
      <x:c r="R463" s="1"/>
      <x:c r="S463" s="1"/>
    </x:row>
    <x:row r="464" ht="26" customHeight="1">
      <x:c r="A464" s="1"/>
      <x:c r="B464" s="1"/>
      <x:c r="C464" s="1"/>
      <x:c r="D464" s="1"/>
      <x:c r="E464" s="1"/>
      <x:c r="F464" s="1"/>
      <x:c r="G464" s="1"/>
      <x:c r="H464" s="1"/>
      <x:c r="I464" s="1"/>
      <x:c r="J464" s="1"/>
      <x:c r="K464" s="1"/>
      <x:c r="L464" s="1"/>
      <x:c r="M464" s="1"/>
      <x:c r="N464" s="1"/>
      <x:c r="O464" s="1"/>
      <x:c r="P464" s="1"/>
      <x:c r="Q464" s="1"/>
      <x:c r="R464" s="1"/>
      <x:c r="S464" s="1"/>
    </x:row>
    <x:row r="465" ht="26" customHeight="1">
      <x:c r="A465" s="1"/>
      <x:c r="B465" s="1"/>
      <x:c r="C465" s="1"/>
      <x:c r="D465" s="1"/>
      <x:c r="E465" s="1"/>
      <x:c r="F465" s="1"/>
      <x:c r="G465" s="1"/>
      <x:c r="H465" s="1"/>
      <x:c r="I465" s="1"/>
      <x:c r="J465" s="1"/>
      <x:c r="K465" s="1"/>
      <x:c r="L465" s="1"/>
      <x:c r="M465" s="1"/>
      <x:c r="N465" s="1"/>
      <x:c r="O465" s="1"/>
      <x:c r="P465" s="1"/>
      <x:c r="Q465" s="1"/>
      <x:c r="R465" s="1"/>
      <x:c r="S465" s="1"/>
    </x:row>
    <x:row r="466" ht="26" customHeight="1">
      <x:c r="A466" s="1"/>
      <x:c r="B466" s="1"/>
      <x:c r="C466" s="1"/>
      <x:c r="D466" s="1"/>
      <x:c r="E466" s="1"/>
      <x:c r="F466" s="1"/>
      <x:c r="G466" s="1"/>
      <x:c r="H466" s="1"/>
      <x:c r="I466" s="1"/>
      <x:c r="J466" s="1"/>
      <x:c r="K466" s="1"/>
      <x:c r="L466" s="1"/>
      <x:c r="M466" s="1"/>
      <x:c r="N466" s="1"/>
      <x:c r="O466" s="1"/>
      <x:c r="P466" s="1"/>
      <x:c r="Q466" s="1"/>
      <x:c r="R466" s="1"/>
      <x:c r="S466" s="1"/>
    </x:row>
    <x:row r="467" ht="26" customHeight="1">
      <x:c r="A467" s="1"/>
      <x:c r="B467" s="1"/>
      <x:c r="C467" s="1"/>
      <x:c r="D467" s="1"/>
      <x:c r="E467" s="1"/>
      <x:c r="F467" s="1"/>
      <x:c r="G467" s="1"/>
      <x:c r="H467" s="1"/>
      <x:c r="I467" s="1"/>
      <x:c r="J467" s="1"/>
      <x:c r="K467" s="1"/>
      <x:c r="L467" s="1"/>
      <x:c r="M467" s="1"/>
      <x:c r="N467" s="1"/>
      <x:c r="O467" s="1"/>
      <x:c r="P467" s="1"/>
      <x:c r="Q467" s="1"/>
      <x:c r="R467" s="1"/>
      <x:c r="S467" s="1"/>
    </x:row>
    <x:row r="468" ht="26" customHeight="1">
      <x:c r="A468" s="1"/>
      <x:c r="B468" s="1"/>
      <x:c r="C468" s="1"/>
      <x:c r="D468" s="1"/>
      <x:c r="E468" s="1"/>
      <x:c r="F468" s="1"/>
      <x:c r="G468" s="1"/>
      <x:c r="H468" s="1"/>
      <x:c r="I468" s="1"/>
      <x:c r="J468" s="1"/>
      <x:c r="K468" s="1"/>
      <x:c r="L468" s="1"/>
      <x:c r="M468" s="1"/>
      <x:c r="N468" s="1"/>
      <x:c r="O468" s="1"/>
      <x:c r="P468" s="1"/>
      <x:c r="Q468" s="1"/>
      <x:c r="R468" s="1"/>
      <x:c r="S468" s="1"/>
    </x:row>
    <x:row r="469" ht="26" customHeight="1">
      <x:c r="A469" s="1"/>
      <x:c r="B469" s="1"/>
      <x:c r="C469" s="1"/>
      <x:c r="D469" s="1"/>
      <x:c r="E469" s="1"/>
      <x:c r="F469" s="1"/>
      <x:c r="G469" s="1"/>
      <x:c r="H469" s="1"/>
      <x:c r="I469" s="1"/>
      <x:c r="J469" s="1"/>
      <x:c r="K469" s="1"/>
      <x:c r="L469" s="1"/>
      <x:c r="M469" s="1"/>
      <x:c r="N469" s="1"/>
      <x:c r="O469" s="1"/>
      <x:c r="P469" s="1"/>
      <x:c r="Q469" s="1"/>
      <x:c r="R469" s="1"/>
      <x:c r="S469" s="1"/>
    </x:row>
    <x:row r="470" ht="26" customHeight="1">
      <x:c r="A470" s="1"/>
      <x:c r="B470" s="1"/>
      <x:c r="C470" s="1"/>
      <x:c r="D470" s="1"/>
      <x:c r="E470" s="1"/>
      <x:c r="F470" s="1"/>
      <x:c r="G470" s="1"/>
      <x:c r="H470" s="1"/>
      <x:c r="I470" s="1"/>
      <x:c r="J470" s="1"/>
      <x:c r="K470" s="1"/>
      <x:c r="L470" s="1"/>
      <x:c r="M470" s="1"/>
      <x:c r="N470" s="1"/>
      <x:c r="O470" s="1"/>
      <x:c r="P470" s="1"/>
      <x:c r="Q470" s="1"/>
      <x:c r="R470" s="1"/>
      <x:c r="S470" s="1"/>
    </x:row>
    <x:row r="471" ht="26" customHeight="1">
      <x:c r="A471" s="1"/>
      <x:c r="B471" s="1"/>
      <x:c r="C471" s="1"/>
      <x:c r="D471" s="1"/>
      <x:c r="E471" s="1"/>
      <x:c r="F471" s="1"/>
      <x:c r="G471" s="1"/>
      <x:c r="H471" s="1"/>
      <x:c r="I471" s="1"/>
      <x:c r="J471" s="1"/>
      <x:c r="K471" s="1"/>
      <x:c r="L471" s="1"/>
      <x:c r="M471" s="1"/>
      <x:c r="N471" s="1"/>
      <x:c r="O471" s="1"/>
      <x:c r="P471" s="1"/>
      <x:c r="Q471" s="1"/>
      <x:c r="R471" s="1"/>
      <x:c r="S471" s="1"/>
    </x:row>
    <x:row r="472" ht="26" customHeight="1">
      <x:c r="A472" s="1"/>
      <x:c r="B472" s="1"/>
      <x:c r="C472" s="1"/>
      <x:c r="D472" s="1"/>
      <x:c r="E472" s="1"/>
      <x:c r="F472" s="1"/>
      <x:c r="G472" s="1"/>
      <x:c r="H472" s="1"/>
      <x:c r="I472" s="1"/>
      <x:c r="J472" s="1"/>
      <x:c r="K472" s="1"/>
      <x:c r="L472" s="1"/>
      <x:c r="M472" s="1"/>
      <x:c r="N472" s="1"/>
      <x:c r="O472" s="1"/>
      <x:c r="P472" s="1"/>
      <x:c r="Q472" s="1"/>
      <x:c r="R472" s="1"/>
      <x:c r="S472" s="1"/>
    </x:row>
    <x:row r="473" ht="26" customHeight="1">
      <x:c r="A473" s="1"/>
      <x:c r="B473" s="1"/>
      <x:c r="C473" s="1"/>
      <x:c r="D473" s="1"/>
      <x:c r="E473" s="1"/>
      <x:c r="F473" s="1"/>
      <x:c r="G473" s="1"/>
      <x:c r="H473" s="1"/>
      <x:c r="I473" s="1"/>
      <x:c r="J473" s="1"/>
      <x:c r="K473" s="1"/>
      <x:c r="L473" s="1"/>
      <x:c r="M473" s="1"/>
      <x:c r="N473" s="1"/>
      <x:c r="O473" s="1"/>
      <x:c r="P473" s="1"/>
      <x:c r="Q473" s="1"/>
      <x:c r="R473" s="1"/>
      <x:c r="S473" s="1"/>
    </x:row>
    <x:row r="474" ht="26" customHeight="1">
      <x:c r="A474" s="1"/>
      <x:c r="B474" s="1"/>
      <x:c r="C474" s="1"/>
      <x:c r="D474" s="1"/>
      <x:c r="E474" s="1"/>
      <x:c r="F474" s="1"/>
      <x:c r="G474" s="1"/>
      <x:c r="H474" s="1"/>
      <x:c r="I474" s="1"/>
      <x:c r="J474" s="1"/>
      <x:c r="K474" s="1"/>
      <x:c r="L474" s="1"/>
      <x:c r="M474" s="1"/>
      <x:c r="N474" s="1"/>
      <x:c r="O474" s="1"/>
      <x:c r="P474" s="1"/>
      <x:c r="Q474" s="1"/>
      <x:c r="R474" s="1"/>
      <x:c r="S474" s="1"/>
    </x:row>
    <x:row r="475" ht="26" customHeight="1">
      <x:c r="A475" s="1"/>
      <x:c r="B475" s="1"/>
      <x:c r="C475" s="1"/>
      <x:c r="D475" s="1"/>
      <x:c r="E475" s="1"/>
      <x:c r="F475" s="1"/>
      <x:c r="G475" s="1"/>
      <x:c r="H475" s="1"/>
      <x:c r="I475" s="1"/>
      <x:c r="J475" s="1"/>
      <x:c r="K475" s="1"/>
      <x:c r="L475" s="1"/>
      <x:c r="M475" s="1"/>
      <x:c r="N475" s="1"/>
      <x:c r="O475" s="1"/>
      <x:c r="P475" s="1"/>
      <x:c r="Q475" s="1"/>
      <x:c r="R475" s="1"/>
      <x:c r="S475" s="1"/>
    </x:row>
    <x:row r="476" ht="26" customHeight="1">
      <x:c r="A476" s="1"/>
      <x:c r="B476" s="1"/>
      <x:c r="C476" s="1"/>
      <x:c r="D476" s="1"/>
      <x:c r="E476" s="1"/>
      <x:c r="F476" s="1"/>
      <x:c r="G476" s="1"/>
      <x:c r="H476" s="1"/>
      <x:c r="I476" s="1"/>
      <x:c r="J476" s="1"/>
      <x:c r="K476" s="1"/>
      <x:c r="L476" s="1"/>
      <x:c r="M476" s="1"/>
      <x:c r="N476" s="1"/>
      <x:c r="O476" s="1"/>
      <x:c r="P476" s="1"/>
      <x:c r="Q476" s="1"/>
      <x:c r="R476" s="1"/>
      <x:c r="S476" s="1"/>
    </x:row>
    <x:row r="477" ht="26" customHeight="1">
      <x:c r="A477" s="1"/>
      <x:c r="B477" s="1"/>
      <x:c r="C477" s="1"/>
      <x:c r="D477" s="1"/>
      <x:c r="E477" s="1"/>
      <x:c r="F477" s="1"/>
      <x:c r="G477" s="1"/>
      <x:c r="H477" s="1"/>
      <x:c r="I477" s="1"/>
      <x:c r="J477" s="1"/>
      <x:c r="K477" s="1"/>
      <x:c r="L477" s="1"/>
      <x:c r="M477" s="1"/>
      <x:c r="N477" s="1"/>
      <x:c r="O477" s="1"/>
      <x:c r="P477" s="1"/>
      <x:c r="Q477" s="1"/>
      <x:c r="R477" s="1"/>
      <x:c r="S477" s="1"/>
    </x:row>
    <x:row r="478" ht="26" customHeight="1">
      <x:c r="A478" s="1"/>
      <x:c r="B478" s="1"/>
      <x:c r="C478" s="1"/>
      <x:c r="D478" s="1"/>
      <x:c r="E478" s="1"/>
      <x:c r="F478" s="1"/>
      <x:c r="G478" s="1"/>
      <x:c r="H478" s="1"/>
      <x:c r="I478" s="1"/>
      <x:c r="J478" s="1"/>
      <x:c r="K478" s="1"/>
      <x:c r="L478" s="1"/>
      <x:c r="M478" s="1"/>
      <x:c r="N478" s="1"/>
      <x:c r="O478" s="1"/>
      <x:c r="P478" s="1"/>
      <x:c r="Q478" s="1"/>
      <x:c r="R478" s="1"/>
      <x:c r="S478" s="1"/>
    </x:row>
    <x:row r="479" ht="26" customHeight="1">
      <x:c r="A479" s="1"/>
      <x:c r="B479" s="1"/>
      <x:c r="C479" s="1"/>
      <x:c r="D479" s="1"/>
      <x:c r="E479" s="1"/>
      <x:c r="F479" s="1"/>
      <x:c r="G479" s="1"/>
      <x:c r="H479" s="1"/>
      <x:c r="I479" s="1"/>
      <x:c r="J479" s="1"/>
      <x:c r="K479" s="1"/>
      <x:c r="L479" s="1"/>
      <x:c r="M479" s="1"/>
      <x:c r="N479" s="1"/>
      <x:c r="O479" s="1"/>
      <x:c r="P479" s="1"/>
      <x:c r="Q479" s="1"/>
      <x:c r="R479" s="1"/>
      <x:c r="S479" s="1"/>
    </x:row>
    <x:row r="480" ht="26" customHeight="1">
      <x:c r="A480" s="1"/>
      <x:c r="B480" s="1"/>
      <x:c r="C480" s="1"/>
      <x:c r="D480" s="1"/>
      <x:c r="E480" s="1"/>
      <x:c r="F480" s="1"/>
      <x:c r="G480" s="1"/>
      <x:c r="H480" s="1"/>
      <x:c r="I480" s="1"/>
      <x:c r="J480" s="1"/>
      <x:c r="K480" s="1"/>
      <x:c r="L480" s="1"/>
      <x:c r="M480" s="1"/>
      <x:c r="N480" s="1"/>
      <x:c r="O480" s="1"/>
      <x:c r="P480" s="1"/>
      <x:c r="Q480" s="1"/>
      <x:c r="R480" s="1"/>
      <x:c r="S480" s="1"/>
    </x:row>
    <x:row r="481" ht="26" customHeight="1">
      <x:c r="A481" s="1"/>
      <x:c r="B481" s="1"/>
      <x:c r="C481" s="1"/>
      <x:c r="D481" s="1"/>
      <x:c r="E481" s="1"/>
      <x:c r="F481" s="1"/>
      <x:c r="G481" s="1"/>
      <x:c r="H481" s="1"/>
      <x:c r="I481" s="1"/>
      <x:c r="J481" s="1"/>
      <x:c r="K481" s="1"/>
      <x:c r="L481" s="1"/>
      <x:c r="M481" s="1"/>
      <x:c r="N481" s="1"/>
      <x:c r="O481" s="1"/>
      <x:c r="P481" s="1"/>
      <x:c r="Q481" s="1"/>
      <x:c r="R481" s="1"/>
      <x:c r="S481" s="1"/>
    </x:row>
    <x:row r="482" ht="26" customHeight="1">
      <x:c r="A482" s="1"/>
      <x:c r="B482" s="1"/>
      <x:c r="C482" s="1"/>
      <x:c r="D482" s="1"/>
      <x:c r="E482" s="1"/>
      <x:c r="F482" s="1"/>
      <x:c r="G482" s="1"/>
      <x:c r="H482" s="1"/>
      <x:c r="I482" s="1"/>
      <x:c r="J482" s="1"/>
      <x:c r="K482" s="1"/>
      <x:c r="L482" s="1"/>
      <x:c r="M482" s="1"/>
      <x:c r="N482" s="1"/>
      <x:c r="O482" s="1"/>
      <x:c r="P482" s="1"/>
      <x:c r="Q482" s="1"/>
      <x:c r="R482" s="1"/>
      <x:c r="S482" s="1"/>
    </x:row>
    <x:row r="483" ht="26" customHeight="1">
      <x:c r="A483" s="1"/>
      <x:c r="B483" s="1"/>
      <x:c r="C483" s="1"/>
      <x:c r="D483" s="1"/>
      <x:c r="E483" s="1"/>
      <x:c r="F483" s="1"/>
      <x:c r="G483" s="1"/>
      <x:c r="H483" s="1"/>
      <x:c r="I483" s="1"/>
      <x:c r="J483" s="1"/>
      <x:c r="K483" s="1"/>
      <x:c r="L483" s="1"/>
      <x:c r="M483" s="1"/>
      <x:c r="N483" s="1"/>
      <x:c r="O483" s="1"/>
      <x:c r="P483" s="1"/>
      <x:c r="Q483" s="1"/>
      <x:c r="R483" s="1"/>
      <x:c r="S483" s="1"/>
    </x:row>
    <x:row r="484" ht="26" customHeight="1">
      <x:c r="A484" s="1"/>
      <x:c r="B484" s="1"/>
      <x:c r="C484" s="1"/>
      <x:c r="D484" s="1"/>
      <x:c r="E484" s="1"/>
      <x:c r="F484" s="1"/>
      <x:c r="G484" s="1"/>
      <x:c r="H484" s="1"/>
      <x:c r="I484" s="1"/>
      <x:c r="J484" s="1"/>
      <x:c r="K484" s="1"/>
      <x:c r="L484" s="1"/>
      <x:c r="M484" s="1"/>
      <x:c r="N484" s="1"/>
      <x:c r="O484" s="1"/>
      <x:c r="P484" s="1"/>
      <x:c r="Q484" s="1"/>
      <x:c r="R484" s="1"/>
      <x:c r="S484" s="1"/>
    </x:row>
    <x:row r="485" ht="26" customHeight="1">
      <x:c r="A485" s="1"/>
      <x:c r="B485" s="1"/>
      <x:c r="C485" s="1"/>
      <x:c r="D485" s="1"/>
      <x:c r="E485" s="1"/>
      <x:c r="F485" s="1"/>
      <x:c r="G485" s="1"/>
      <x:c r="H485" s="1"/>
      <x:c r="I485" s="1"/>
      <x:c r="J485" s="1"/>
      <x:c r="K485" s="1"/>
      <x:c r="L485" s="1"/>
      <x:c r="M485" s="1"/>
      <x:c r="N485" s="1"/>
      <x:c r="O485" s="1"/>
      <x:c r="P485" s="1"/>
      <x:c r="Q485" s="1"/>
      <x:c r="R485" s="1"/>
      <x:c r="S485" s="1"/>
    </x:row>
    <x:row r="486" ht="26" customHeight="1">
      <x:c r="A486" s="1"/>
      <x:c r="B486" s="1"/>
      <x:c r="C486" s="1"/>
      <x:c r="D486" s="1"/>
      <x:c r="E486" s="1"/>
      <x:c r="F486" s="1"/>
      <x:c r="G486" s="1"/>
      <x:c r="H486" s="1"/>
      <x:c r="I486" s="1"/>
      <x:c r="J486" s="1"/>
      <x:c r="K486" s="1"/>
      <x:c r="L486" s="1"/>
      <x:c r="M486" s="1"/>
      <x:c r="N486" s="1"/>
      <x:c r="O486" s="1"/>
      <x:c r="P486" s="1"/>
      <x:c r="Q486" s="1"/>
      <x:c r="R486" s="1"/>
      <x:c r="S486" s="1"/>
    </x:row>
    <x:row r="487" ht="26" customHeight="1">
      <x:c r="A487" s="1"/>
      <x:c r="B487" s="1"/>
      <x:c r="C487" s="1"/>
      <x:c r="D487" s="1"/>
      <x:c r="E487" s="1"/>
      <x:c r="F487" s="1"/>
      <x:c r="G487" s="1"/>
      <x:c r="H487" s="1"/>
      <x:c r="I487" s="1"/>
      <x:c r="J487" s="1"/>
      <x:c r="K487" s="1"/>
      <x:c r="L487" s="1"/>
      <x:c r="M487" s="1"/>
      <x:c r="N487" s="1"/>
      <x:c r="O487" s="1"/>
      <x:c r="P487" s="1"/>
      <x:c r="Q487" s="1"/>
      <x:c r="R487" s="1"/>
      <x:c r="S487" s="1"/>
    </x:row>
    <x:row r="488" ht="26" customHeight="1">
      <x:c r="A488" s="1"/>
      <x:c r="B488" s="1"/>
      <x:c r="C488" s="1"/>
      <x:c r="D488" s="1"/>
      <x:c r="E488" s="1"/>
      <x:c r="F488" s="1"/>
      <x:c r="G488" s="1"/>
      <x:c r="H488" s="1"/>
      <x:c r="I488" s="1"/>
      <x:c r="J488" s="1"/>
      <x:c r="K488" s="1"/>
      <x:c r="L488" s="1"/>
      <x:c r="M488" s="1"/>
      <x:c r="N488" s="1"/>
      <x:c r="O488" s="1"/>
      <x:c r="P488" s="1"/>
      <x:c r="Q488" s="1"/>
      <x:c r="R488" s="1"/>
      <x:c r="S488" s="1"/>
    </x:row>
    <x:row r="489" ht="26" customHeight="1">
      <x:c r="A489" s="1"/>
      <x:c r="B489" s="1"/>
      <x:c r="C489" s="1"/>
      <x:c r="D489" s="1"/>
      <x:c r="E489" s="1"/>
      <x:c r="F489" s="1"/>
      <x:c r="G489" s="1"/>
      <x:c r="H489" s="1"/>
      <x:c r="I489" s="1"/>
      <x:c r="J489" s="1"/>
      <x:c r="K489" s="1"/>
      <x:c r="L489" s="1"/>
      <x:c r="M489" s="1"/>
      <x:c r="N489" s="1"/>
      <x:c r="O489" s="1"/>
      <x:c r="P489" s="1"/>
      <x:c r="Q489" s="1"/>
      <x:c r="R489" s="1"/>
      <x:c r="S489" s="1"/>
    </x:row>
    <x:row r="490" ht="26" customHeight="1">
      <x:c r="A490" s="1"/>
      <x:c r="B490" s="1"/>
      <x:c r="C490" s="1"/>
      <x:c r="D490" s="1"/>
      <x:c r="E490" s="1"/>
      <x:c r="F490" s="1"/>
      <x:c r="G490" s="1"/>
      <x:c r="H490" s="1"/>
      <x:c r="I490" s="1"/>
      <x:c r="J490" s="1"/>
      <x:c r="K490" s="1"/>
      <x:c r="L490" s="1"/>
      <x:c r="M490" s="1"/>
      <x:c r="N490" s="1"/>
      <x:c r="O490" s="1"/>
      <x:c r="P490" s="1"/>
      <x:c r="Q490" s="1"/>
      <x:c r="R490" s="1"/>
      <x:c r="S490" s="1"/>
    </x:row>
    <x:row r="491" ht="26" customHeight="1">
      <x:c r="A491" s="1"/>
      <x:c r="B491" s="1"/>
      <x:c r="C491" s="1"/>
      <x:c r="D491" s="1"/>
      <x:c r="E491" s="1"/>
      <x:c r="F491" s="1"/>
      <x:c r="G491" s="1"/>
      <x:c r="H491" s="1"/>
      <x:c r="I491" s="1"/>
      <x:c r="J491" s="1"/>
      <x:c r="K491" s="1"/>
      <x:c r="L491" s="1"/>
      <x:c r="M491" s="1"/>
      <x:c r="N491" s="1"/>
      <x:c r="O491" s="1"/>
      <x:c r="P491" s="1"/>
      <x:c r="Q491" s="1"/>
      <x:c r="R491" s="1"/>
      <x:c r="S491" s="1"/>
    </x:row>
    <x:row r="492" ht="26" customHeight="1">
      <x:c r="A492" s="1"/>
      <x:c r="B492" s="1"/>
      <x:c r="C492" s="1"/>
      <x:c r="D492" s="1"/>
      <x:c r="E492" s="1"/>
      <x:c r="F492" s="1"/>
      <x:c r="G492" s="1"/>
      <x:c r="H492" s="1"/>
      <x:c r="I492" s="1"/>
      <x:c r="J492" s="1"/>
      <x:c r="K492" s="1"/>
      <x:c r="L492" s="1"/>
      <x:c r="M492" s="1"/>
      <x:c r="N492" s="1"/>
      <x:c r="O492" s="1"/>
      <x:c r="P492" s="1"/>
      <x:c r="Q492" s="1"/>
      <x:c r="R492" s="1"/>
      <x:c r="S492" s="1"/>
    </x:row>
    <x:row r="493" ht="26" customHeight="1">
      <x:c r="A493" s="1"/>
      <x:c r="B493" s="1"/>
      <x:c r="C493" s="1"/>
      <x:c r="D493" s="1"/>
      <x:c r="E493" s="1"/>
      <x:c r="F493" s="1"/>
      <x:c r="G493" s="1"/>
      <x:c r="H493" s="1"/>
      <x:c r="I493" s="1"/>
      <x:c r="J493" s="1"/>
      <x:c r="K493" s="1"/>
      <x:c r="L493" s="1"/>
      <x:c r="M493" s="1"/>
      <x:c r="N493" s="1"/>
      <x:c r="O493" s="1"/>
      <x:c r="P493" s="1"/>
      <x:c r="Q493" s="1"/>
      <x:c r="R493" s="1"/>
      <x:c r="S493" s="1"/>
    </x:row>
    <x:row r="494" ht="26" customHeight="1">
      <x:c r="A494" s="1"/>
      <x:c r="B494" s="1"/>
      <x:c r="C494" s="1"/>
      <x:c r="D494" s="1"/>
      <x:c r="E494" s="1"/>
      <x:c r="F494" s="1"/>
      <x:c r="G494" s="1"/>
      <x:c r="H494" s="1"/>
      <x:c r="I494" s="1"/>
      <x:c r="J494" s="1"/>
      <x:c r="K494" s="1"/>
      <x:c r="L494" s="1"/>
      <x:c r="M494" s="1"/>
      <x:c r="N494" s="1"/>
      <x:c r="O494" s="1"/>
      <x:c r="P494" s="1"/>
      <x:c r="Q494" s="1"/>
      <x:c r="R494" s="1"/>
      <x:c r="S494" s="1"/>
    </x:row>
    <x:row r="495" ht="26" customHeight="1">
      <x:c r="A495" s="1"/>
      <x:c r="B495" s="1"/>
      <x:c r="C495" s="1"/>
      <x:c r="D495" s="1"/>
      <x:c r="E495" s="1"/>
      <x:c r="F495" s="1"/>
      <x:c r="G495" s="1"/>
      <x:c r="H495" s="1"/>
      <x:c r="I495" s="1"/>
      <x:c r="J495" s="1"/>
      <x:c r="K495" s="1"/>
      <x:c r="L495" s="1"/>
      <x:c r="M495" s="1"/>
      <x:c r="N495" s="1"/>
      <x:c r="O495" s="1"/>
      <x:c r="P495" s="1"/>
      <x:c r="Q495" s="1"/>
      <x:c r="R495" s="1"/>
      <x:c r="S495" s="1"/>
    </x:row>
    <x:row r="496" ht="26" customHeight="1">
      <x:c r="A496" s="1"/>
      <x:c r="B496" s="1"/>
      <x:c r="C496" s="1"/>
      <x:c r="D496" s="1"/>
      <x:c r="E496" s="1"/>
      <x:c r="F496" s="1"/>
      <x:c r="G496" s="1"/>
      <x:c r="H496" s="1"/>
      <x:c r="I496" s="1"/>
      <x:c r="J496" s="1"/>
      <x:c r="K496" s="1"/>
      <x:c r="L496" s="1"/>
      <x:c r="M496" s="1"/>
      <x:c r="N496" s="1"/>
      <x:c r="O496" s="1"/>
      <x:c r="P496" s="1"/>
      <x:c r="Q496" s="1"/>
      <x:c r="R496" s="1"/>
      <x:c r="S496" s="1"/>
    </x:row>
    <x:row r="497" ht="26" customHeight="1">
      <x:c r="A497" s="1"/>
      <x:c r="B497" s="1"/>
      <x:c r="C497" s="1"/>
      <x:c r="D497" s="1"/>
      <x:c r="E497" s="1"/>
      <x:c r="F497" s="1"/>
      <x:c r="G497" s="1"/>
      <x:c r="H497" s="1"/>
      <x:c r="I497" s="1"/>
      <x:c r="J497" s="1"/>
      <x:c r="K497" s="1"/>
      <x:c r="L497" s="1"/>
      <x:c r="M497" s="1"/>
      <x:c r="N497" s="1"/>
      <x:c r="O497" s="1"/>
      <x:c r="P497" s="1"/>
      <x:c r="Q497" s="1"/>
      <x:c r="R497" s="1"/>
      <x:c r="S497" s="1"/>
    </x:row>
    <x:row r="498" ht="26" customHeight="1">
      <x:c r="A498" s="1"/>
      <x:c r="B498" s="1"/>
      <x:c r="C498" s="1"/>
      <x:c r="D498" s="1"/>
      <x:c r="E498" s="1"/>
      <x:c r="F498" s="1"/>
      <x:c r="G498" s="1"/>
      <x:c r="H498" s="1"/>
      <x:c r="I498" s="1"/>
      <x:c r="J498" s="1"/>
      <x:c r="K498" s="1"/>
      <x:c r="L498" s="1"/>
      <x:c r="M498" s="1"/>
      <x:c r="N498" s="1"/>
      <x:c r="O498" s="1"/>
      <x:c r="P498" s="1"/>
      <x:c r="Q498" s="1"/>
      <x:c r="R498" s="1"/>
      <x:c r="S498" s="1"/>
    </x:row>
    <x:row r="499" ht="26" customHeight="1">
      <x:c r="A499" s="1"/>
      <x:c r="B499" s="1"/>
      <x:c r="C499" s="1"/>
      <x:c r="D499" s="1"/>
      <x:c r="E499" s="1"/>
      <x:c r="F499" s="1"/>
      <x:c r="G499" s="1"/>
      <x:c r="H499" s="1"/>
      <x:c r="I499" s="1"/>
      <x:c r="J499" s="1"/>
      <x:c r="K499" s="1"/>
      <x:c r="L499" s="1"/>
      <x:c r="M499" s="1"/>
      <x:c r="N499" s="1"/>
      <x:c r="O499" s="1"/>
      <x:c r="P499" s="1"/>
      <x:c r="Q499" s="1"/>
      <x:c r="R499" s="1"/>
      <x:c r="S499" s="1"/>
    </x:row>
    <x:row r="500" ht="26" customHeight="1">
      <x:c r="A500" s="1"/>
      <x:c r="B500" s="1"/>
      <x:c r="C500" s="1"/>
      <x:c r="D500" s="1"/>
      <x:c r="E500" s="1"/>
      <x:c r="F500" s="1"/>
      <x:c r="G500" s="1"/>
      <x:c r="H500" s="1"/>
      <x:c r="I500" s="1"/>
      <x:c r="J500" s="1"/>
      <x:c r="K500" s="1"/>
      <x:c r="L500" s="1"/>
      <x:c r="M500" s="1"/>
      <x:c r="N500" s="1"/>
      <x:c r="O500" s="1"/>
      <x:c r="P500" s="1"/>
      <x:c r="Q500" s="1"/>
      <x:c r="R500" s="1"/>
      <x:c r="S500" s="1"/>
    </x:row>
    <x:row r="501" ht="26" customHeight="1">
      <x:c r="A501" s="1"/>
      <x:c r="B501" s="1"/>
      <x:c r="C501" s="1"/>
      <x:c r="D501" s="1"/>
      <x:c r="E501" s="1"/>
      <x:c r="F501" s="1"/>
      <x:c r="G501" s="1"/>
      <x:c r="H501" s="1"/>
      <x:c r="I501" s="1"/>
      <x:c r="J501" s="1"/>
      <x:c r="K501" s="1"/>
      <x:c r="L501" s="1"/>
      <x:c r="M501" s="1"/>
      <x:c r="N501" s="1"/>
      <x:c r="O501" s="1"/>
      <x:c r="P501" s="1"/>
      <x:c r="Q501" s="1"/>
      <x:c r="R501" s="1"/>
      <x:c r="S501" s="1"/>
    </x:row>
    <x:row r="502" ht="26" customHeight="1">
      <x:c r="A502" s="1"/>
      <x:c r="B502" s="1"/>
      <x:c r="C502" s="1"/>
      <x:c r="D502" s="1"/>
      <x:c r="E502" s="1"/>
      <x:c r="F502" s="1"/>
      <x:c r="G502" s="1"/>
      <x:c r="H502" s="1"/>
      <x:c r="I502" s="1"/>
      <x:c r="J502" s="1"/>
      <x:c r="K502" s="1"/>
      <x:c r="L502" s="1"/>
      <x:c r="M502" s="1"/>
      <x:c r="N502" s="1"/>
      <x:c r="O502" s="1"/>
      <x:c r="P502" s="1"/>
      <x:c r="Q502" s="1"/>
      <x:c r="R502" s="1"/>
      <x:c r="S502" s="1"/>
    </x:row>
    <x:row r="503" ht="26" customHeight="1">
      <x:c r="A503" s="1"/>
      <x:c r="B503" s="1"/>
      <x:c r="C503" s="1"/>
      <x:c r="D503" s="1"/>
      <x:c r="E503" s="1"/>
      <x:c r="F503" s="1"/>
      <x:c r="G503" s="1"/>
      <x:c r="H503" s="1"/>
      <x:c r="I503" s="1"/>
      <x:c r="J503" s="1"/>
      <x:c r="K503" s="1"/>
      <x:c r="L503" s="1"/>
      <x:c r="M503" s="1"/>
      <x:c r="N503" s="1"/>
      <x:c r="O503" s="1"/>
      <x:c r="P503" s="1"/>
      <x:c r="Q503" s="1"/>
      <x:c r="R503" s="1"/>
      <x:c r="S503" s="1"/>
    </x:row>
    <x:row r="504" ht="26" customHeight="1">
      <x:c r="A504" s="1"/>
      <x:c r="B504" s="1"/>
      <x:c r="C504" s="1"/>
      <x:c r="D504" s="1"/>
      <x:c r="E504" s="1"/>
      <x:c r="F504" s="1"/>
      <x:c r="G504" s="1"/>
      <x:c r="H504" s="1"/>
      <x:c r="I504" s="1"/>
      <x:c r="J504" s="1"/>
      <x:c r="K504" s="1"/>
      <x:c r="L504" s="1"/>
      <x:c r="M504" s="1"/>
      <x:c r="N504" s="1"/>
      <x:c r="O504" s="1"/>
      <x:c r="P504" s="1"/>
      <x:c r="Q504" s="1"/>
      <x:c r="R504" s="1"/>
      <x:c r="S504" s="1"/>
    </x:row>
    <x:row r="505" ht="26" customHeight="1">
      <x:c r="A505" s="1"/>
      <x:c r="B505" s="1"/>
      <x:c r="C505" s="1"/>
      <x:c r="D505" s="1"/>
      <x:c r="E505" s="1"/>
      <x:c r="F505" s="1"/>
      <x:c r="G505" s="1"/>
      <x:c r="H505" s="1"/>
      <x:c r="I505" s="1"/>
      <x:c r="J505" s="1"/>
      <x:c r="K505" s="1"/>
      <x:c r="L505" s="1"/>
      <x:c r="M505" s="1"/>
      <x:c r="N505" s="1"/>
      <x:c r="O505" s="1"/>
      <x:c r="P505" s="1"/>
      <x:c r="Q505" s="1"/>
      <x:c r="R505" s="1"/>
      <x:c r="S505" s="1"/>
    </x:row>
    <x:row r="506" ht="26" customHeight="1">
      <x:c r="A506" s="1"/>
      <x:c r="B506" s="1"/>
      <x:c r="C506" s="1"/>
      <x:c r="D506" s="1"/>
      <x:c r="E506" s="1"/>
      <x:c r="F506" s="1"/>
      <x:c r="G506" s="1"/>
      <x:c r="H506" s="1"/>
      <x:c r="I506" s="1"/>
      <x:c r="J506" s="1"/>
      <x:c r="K506" s="1"/>
      <x:c r="L506" s="1"/>
      <x:c r="M506" s="1"/>
      <x:c r="N506" s="1"/>
      <x:c r="O506" s="1"/>
      <x:c r="P506" s="1"/>
      <x:c r="Q506" s="1"/>
      <x:c r="R506" s="1"/>
      <x:c r="S506" s="1"/>
    </x:row>
    <x:row r="507" ht="26" customHeight="1">
      <x:c r="A507" s="1"/>
      <x:c r="B507" s="1"/>
      <x:c r="C507" s="1"/>
      <x:c r="D507" s="1"/>
      <x:c r="E507" s="1"/>
      <x:c r="F507" s="1"/>
      <x:c r="G507" s="1"/>
      <x:c r="H507" s="1"/>
      <x:c r="I507" s="1"/>
      <x:c r="J507" s="1"/>
      <x:c r="K507" s="1"/>
      <x:c r="L507" s="1"/>
      <x:c r="M507" s="1"/>
      <x:c r="N507" s="1"/>
      <x:c r="O507" s="1"/>
      <x:c r="P507" s="1"/>
      <x:c r="Q507" s="1"/>
      <x:c r="R507" s="1"/>
      <x:c r="S507" s="1"/>
    </x:row>
    <x:row r="508" ht="26" customHeight="1">
      <x:c r="A508" s="1"/>
      <x:c r="B508" s="1"/>
      <x:c r="C508" s="1"/>
      <x:c r="D508" s="1"/>
      <x:c r="E508" s="1"/>
      <x:c r="F508" s="1"/>
      <x:c r="G508" s="1"/>
      <x:c r="H508" s="1"/>
      <x:c r="I508" s="1"/>
      <x:c r="J508" s="1"/>
      <x:c r="K508" s="1"/>
      <x:c r="L508" s="1"/>
      <x:c r="M508" s="1"/>
      <x:c r="N508" s="1"/>
      <x:c r="O508" s="1"/>
      <x:c r="P508" s="1"/>
      <x:c r="Q508" s="1"/>
      <x:c r="R508" s="1"/>
      <x:c r="S508" s="1"/>
    </x:row>
    <x:row r="509" ht="26" customHeight="1">
      <x:c r="A509" s="1"/>
      <x:c r="B509" s="1"/>
      <x:c r="C509" s="1"/>
      <x:c r="D509" s="1"/>
      <x:c r="E509" s="1"/>
      <x:c r="F509" s="1"/>
      <x:c r="G509" s="1"/>
      <x:c r="H509" s="1"/>
      <x:c r="I509" s="1"/>
      <x:c r="J509" s="1"/>
      <x:c r="K509" s="1"/>
      <x:c r="L509" s="1"/>
      <x:c r="M509" s="1"/>
      <x:c r="N509" s="1"/>
      <x:c r="O509" s="1"/>
      <x:c r="P509" s="1"/>
      <x:c r="Q509" s="1"/>
      <x:c r="R509" s="1"/>
      <x:c r="S509" s="1"/>
    </x:row>
    <x:row r="510" ht="26" customHeight="1">
      <x:c r="A510" s="1"/>
      <x:c r="B510" s="1"/>
      <x:c r="C510" s="1"/>
      <x:c r="D510" s="1"/>
      <x:c r="E510" s="1"/>
      <x:c r="F510" s="1"/>
      <x:c r="G510" s="1"/>
      <x:c r="H510" s="1"/>
      <x:c r="I510" s="1"/>
      <x:c r="J510" s="1"/>
      <x:c r="K510" s="1"/>
      <x:c r="L510" s="1"/>
      <x:c r="M510" s="1"/>
      <x:c r="N510" s="1"/>
      <x:c r="O510" s="1"/>
      <x:c r="P510" s="1"/>
      <x:c r="Q510" s="1"/>
      <x:c r="R510" s="1"/>
      <x:c r="S510" s="1"/>
    </x:row>
    <x:row r="511" ht="26" customHeight="1">
      <x:c r="A511" s="1"/>
      <x:c r="B511" s="1"/>
      <x:c r="C511" s="1"/>
      <x:c r="D511" s="1"/>
      <x:c r="E511" s="1"/>
      <x:c r="F511" s="1"/>
      <x:c r="G511" s="1"/>
      <x:c r="H511" s="1"/>
      <x:c r="I511" s="1"/>
      <x:c r="J511" s="1"/>
      <x:c r="K511" s="1"/>
      <x:c r="L511" s="1"/>
      <x:c r="M511" s="1"/>
      <x:c r="N511" s="1"/>
      <x:c r="O511" s="1"/>
      <x:c r="P511" s="1"/>
      <x:c r="Q511" s="1"/>
      <x:c r="R511" s="1"/>
      <x:c r="S511" s="1"/>
    </x:row>
    <x:row r="512" ht="26" customHeight="1">
      <x:c r="A512" s="1"/>
      <x:c r="B512" s="1"/>
      <x:c r="C512" s="1"/>
      <x:c r="D512" s="1"/>
      <x:c r="E512" s="1"/>
      <x:c r="F512" s="1"/>
      <x:c r="G512" s="1"/>
      <x:c r="H512" s="1"/>
      <x:c r="I512" s="1"/>
      <x:c r="J512" s="1"/>
      <x:c r="K512" s="1"/>
      <x:c r="L512" s="1"/>
      <x:c r="M512" s="1"/>
      <x:c r="N512" s="1"/>
      <x:c r="O512" s="1"/>
      <x:c r="P512" s="1"/>
      <x:c r="Q512" s="1"/>
      <x:c r="R512" s="1"/>
      <x:c r="S512" s="1"/>
    </x:row>
    <x:row r="513" ht="26" customHeight="1">
      <x:c r="A513" s="1"/>
      <x:c r="B513" s="1"/>
      <x:c r="C513" s="1"/>
      <x:c r="D513" s="1"/>
      <x:c r="E513" s="1"/>
      <x:c r="F513" s="1"/>
      <x:c r="G513" s="1"/>
      <x:c r="H513" s="1"/>
      <x:c r="I513" s="1"/>
      <x:c r="J513" s="1"/>
      <x:c r="K513" s="1"/>
      <x:c r="L513" s="1"/>
      <x:c r="M513" s="1"/>
      <x:c r="N513" s="1"/>
      <x:c r="O513" s="1"/>
      <x:c r="P513" s="1"/>
      <x:c r="Q513" s="1"/>
      <x:c r="R513" s="1"/>
      <x:c r="S513" s="1"/>
    </x:row>
    <x:row r="514" ht="26" customHeight="1">
      <x:c r="A514" s="1"/>
      <x:c r="B514" s="1"/>
      <x:c r="C514" s="1"/>
      <x:c r="D514" s="1"/>
      <x:c r="E514" s="1"/>
      <x:c r="F514" s="1"/>
      <x:c r="G514" s="1"/>
      <x:c r="H514" s="1"/>
      <x:c r="I514" s="1"/>
      <x:c r="J514" s="1"/>
      <x:c r="K514" s="1"/>
      <x:c r="L514" s="1"/>
      <x:c r="M514" s="1"/>
      <x:c r="N514" s="1"/>
      <x:c r="O514" s="1"/>
      <x:c r="P514" s="1"/>
      <x:c r="Q514" s="1"/>
      <x:c r="R514" s="1"/>
      <x:c r="S514" s="1"/>
    </x:row>
    <x:row r="515" ht="26" customHeight="1">
      <x:c r="A515" s="1"/>
      <x:c r="B515" s="1"/>
      <x:c r="C515" s="1"/>
      <x:c r="D515" s="1"/>
      <x:c r="E515" s="1"/>
      <x:c r="F515" s="1"/>
      <x:c r="G515" s="1"/>
      <x:c r="H515" s="1"/>
      <x:c r="I515" s="1"/>
      <x:c r="J515" s="1"/>
      <x:c r="K515" s="1"/>
      <x:c r="L515" s="1"/>
      <x:c r="M515" s="1"/>
      <x:c r="N515" s="1"/>
      <x:c r="O515" s="1"/>
      <x:c r="P515" s="1"/>
      <x:c r="Q515" s="1"/>
      <x:c r="R515" s="1"/>
      <x:c r="S515" s="1"/>
    </x:row>
    <x:row r="516" ht="26" customHeight="1">
      <x:c r="A516" s="1"/>
      <x:c r="B516" s="1"/>
      <x:c r="C516" s="1"/>
      <x:c r="D516" s="1"/>
      <x:c r="E516" s="1"/>
      <x:c r="F516" s="1"/>
      <x:c r="G516" s="1"/>
      <x:c r="H516" s="1"/>
      <x:c r="I516" s="1"/>
      <x:c r="J516" s="1"/>
      <x:c r="K516" s="1"/>
      <x:c r="L516" s="1"/>
      <x:c r="M516" s="1"/>
      <x:c r="N516" s="1"/>
      <x:c r="O516" s="1"/>
      <x:c r="P516" s="1"/>
      <x:c r="Q516" s="1"/>
      <x:c r="R516" s="1"/>
      <x:c r="S516" s="1"/>
    </x:row>
    <x:row r="517" ht="26" customHeight="1">
      <x:c r="A517" s="1"/>
      <x:c r="B517" s="1"/>
      <x:c r="C517" s="1"/>
      <x:c r="D517" s="1"/>
      <x:c r="E517" s="1"/>
      <x:c r="F517" s="1"/>
      <x:c r="G517" s="1"/>
      <x:c r="H517" s="1"/>
      <x:c r="I517" s="1"/>
      <x:c r="J517" s="1"/>
      <x:c r="K517" s="1"/>
      <x:c r="L517" s="1"/>
      <x:c r="M517" s="1"/>
      <x:c r="N517" s="1"/>
      <x:c r="O517" s="1"/>
      <x:c r="P517" s="1"/>
      <x:c r="Q517" s="1"/>
      <x:c r="R517" s="1"/>
      <x:c r="S517" s="1"/>
    </x:row>
    <x:row r="518" ht="26" customHeight="1">
      <x:c r="A518" s="1"/>
      <x:c r="B518" s="1"/>
      <x:c r="C518" s="1"/>
      <x:c r="D518" s="1"/>
      <x:c r="E518" s="1"/>
      <x:c r="F518" s="1"/>
      <x:c r="G518" s="1"/>
      <x:c r="H518" s="1"/>
      <x:c r="I518" s="1"/>
      <x:c r="J518" s="1"/>
      <x:c r="K518" s="1"/>
      <x:c r="L518" s="1"/>
      <x:c r="M518" s="1"/>
      <x:c r="N518" s="1"/>
      <x:c r="O518" s="1"/>
      <x:c r="P518" s="1"/>
      <x:c r="Q518" s="1"/>
      <x:c r="R518" s="1"/>
      <x:c r="S518" s="1"/>
    </x:row>
    <x:row r="519" ht="26" customHeight="1">
      <x:c r="A519" s="1"/>
      <x:c r="B519" s="1"/>
      <x:c r="C519" s="1"/>
      <x:c r="D519" s="1"/>
      <x:c r="E519" s="1"/>
      <x:c r="F519" s="1"/>
      <x:c r="G519" s="1"/>
      <x:c r="H519" s="1"/>
      <x:c r="I519" s="1"/>
      <x:c r="J519" s="1"/>
      <x:c r="K519" s="1"/>
      <x:c r="L519" s="1"/>
      <x:c r="M519" s="1"/>
      <x:c r="N519" s="1"/>
      <x:c r="O519" s="1"/>
      <x:c r="P519" s="1"/>
      <x:c r="Q519" s="1"/>
      <x:c r="R519" s="1"/>
      <x:c r="S519" s="1"/>
    </x:row>
    <x:row r="520" ht="26" customHeight="1">
      <x:c r="A520" s="1"/>
      <x:c r="B520" s="1"/>
      <x:c r="C520" s="1"/>
      <x:c r="D520" s="1"/>
      <x:c r="E520" s="1"/>
      <x:c r="F520" s="1"/>
      <x:c r="G520" s="1"/>
      <x:c r="H520" s="1"/>
      <x:c r="I520" s="1"/>
      <x:c r="J520" s="1"/>
      <x:c r="K520" s="1"/>
      <x:c r="L520" s="1"/>
      <x:c r="M520" s="1"/>
      <x:c r="N520" s="1"/>
      <x:c r="O520" s="1"/>
      <x:c r="P520" s="1"/>
      <x:c r="Q520" s="1"/>
      <x:c r="R520" s="1"/>
      <x:c r="S520" s="1"/>
    </x:row>
    <x:row r="521" ht="26" customHeight="1">
      <x:c r="A521" s="1"/>
      <x:c r="B521" s="1"/>
      <x:c r="C521" s="1"/>
      <x:c r="D521" s="1"/>
      <x:c r="E521" s="1"/>
      <x:c r="F521" s="1"/>
      <x:c r="G521" s="1"/>
      <x:c r="H521" s="1"/>
      <x:c r="I521" s="1"/>
      <x:c r="J521" s="1"/>
      <x:c r="K521" s="1"/>
      <x:c r="L521" s="1"/>
      <x:c r="M521" s="1"/>
      <x:c r="N521" s="1"/>
      <x:c r="O521" s="1"/>
      <x:c r="P521" s="1"/>
      <x:c r="Q521" s="1"/>
      <x:c r="R521" s="1"/>
      <x:c r="S521" s="1"/>
    </x:row>
    <x:row r="522" ht="26" customHeight="1">
      <x:c r="A522" s="1"/>
      <x:c r="B522" s="1"/>
      <x:c r="C522" s="1"/>
      <x:c r="D522" s="1"/>
      <x:c r="E522" s="1"/>
      <x:c r="F522" s="1"/>
      <x:c r="G522" s="1"/>
      <x:c r="H522" s="1"/>
      <x:c r="I522" s="1"/>
      <x:c r="J522" s="1"/>
      <x:c r="K522" s="1"/>
      <x:c r="L522" s="1"/>
      <x:c r="M522" s="1"/>
      <x:c r="N522" s="1"/>
      <x:c r="O522" s="1"/>
      <x:c r="P522" s="1"/>
      <x:c r="Q522" s="1"/>
      <x:c r="R522" s="1"/>
      <x:c r="S522" s="1"/>
    </x:row>
    <x:row r="523" ht="26" customHeight="1">
      <x:c r="A523" s="1"/>
      <x:c r="B523" s="1"/>
      <x:c r="C523" s="1"/>
      <x:c r="D523" s="1"/>
      <x:c r="E523" s="1"/>
      <x:c r="F523" s="1"/>
      <x:c r="G523" s="1"/>
      <x:c r="H523" s="1"/>
      <x:c r="I523" s="1"/>
      <x:c r="J523" s="1"/>
      <x:c r="K523" s="1"/>
      <x:c r="L523" s="1"/>
      <x:c r="M523" s="1"/>
      <x:c r="N523" s="1"/>
      <x:c r="O523" s="1"/>
      <x:c r="P523" s="1"/>
      <x:c r="Q523" s="1"/>
      <x:c r="R523" s="1"/>
      <x:c r="S523" s="1"/>
    </x:row>
    <x:row r="524" ht="26" customHeight="1">
      <x:c r="A524" s="1"/>
      <x:c r="B524" s="1"/>
      <x:c r="C524" s="1"/>
      <x:c r="D524" s="1"/>
      <x:c r="E524" s="1"/>
      <x:c r="F524" s="1"/>
      <x:c r="G524" s="1"/>
      <x:c r="H524" s="1"/>
      <x:c r="I524" s="1"/>
      <x:c r="J524" s="1"/>
      <x:c r="K524" s="1"/>
      <x:c r="L524" s="1"/>
      <x:c r="M524" s="1"/>
      <x:c r="N524" s="1"/>
      <x:c r="O524" s="1"/>
      <x:c r="P524" s="1"/>
      <x:c r="Q524" s="1"/>
      <x:c r="R524" s="1"/>
      <x:c r="S524" s="1"/>
    </x:row>
    <x:row r="525" ht="26" customHeight="1">
      <x:c r="A525" s="1"/>
      <x:c r="B525" s="1"/>
      <x:c r="C525" s="1"/>
      <x:c r="D525" s="1"/>
      <x:c r="E525" s="1"/>
      <x:c r="F525" s="1"/>
      <x:c r="G525" s="1"/>
      <x:c r="H525" s="1"/>
      <x:c r="I525" s="1"/>
      <x:c r="J525" s="1"/>
      <x:c r="K525" s="1"/>
      <x:c r="L525" s="1"/>
      <x:c r="M525" s="1"/>
      <x:c r="N525" s="1"/>
      <x:c r="O525" s="1"/>
      <x:c r="P525" s="1"/>
      <x:c r="Q525" s="1"/>
      <x:c r="R525" s="1"/>
      <x:c r="S525" s="1"/>
    </x:row>
    <x:row r="526" ht="26" customHeight="1">
      <x:c r="A526" s="1"/>
      <x:c r="B526" s="1"/>
      <x:c r="C526" s="1"/>
      <x:c r="D526" s="1"/>
      <x:c r="E526" s="1"/>
      <x:c r="F526" s="1"/>
      <x:c r="G526" s="1"/>
      <x:c r="H526" s="1"/>
      <x:c r="I526" s="1"/>
      <x:c r="J526" s="1"/>
      <x:c r="K526" s="1"/>
      <x:c r="L526" s="1"/>
      <x:c r="M526" s="1"/>
      <x:c r="N526" s="1"/>
      <x:c r="O526" s="1"/>
      <x:c r="P526" s="1"/>
      <x:c r="Q526" s="1"/>
      <x:c r="R526" s="1"/>
      <x:c r="S526" s="1"/>
    </x:row>
    <x:row r="527" ht="26" customHeight="1">
      <x:c r="A527" s="1"/>
      <x:c r="B527" s="1"/>
      <x:c r="C527" s="1"/>
      <x:c r="D527" s="1"/>
      <x:c r="E527" s="1"/>
      <x:c r="F527" s="1"/>
      <x:c r="G527" s="1"/>
      <x:c r="H527" s="1"/>
      <x:c r="I527" s="1"/>
      <x:c r="J527" s="1"/>
      <x:c r="K527" s="1"/>
      <x:c r="L527" s="1"/>
      <x:c r="M527" s="1"/>
      <x:c r="N527" s="1"/>
      <x:c r="O527" s="1"/>
      <x:c r="P527" s="1"/>
      <x:c r="Q527" s="1"/>
      <x:c r="R527" s="1"/>
      <x:c r="S527" s="1"/>
    </x:row>
    <x:row r="528" ht="26" customHeight="1">
      <x:c r="A528" s="1"/>
      <x:c r="B528" s="1"/>
      <x:c r="C528" s="1"/>
      <x:c r="D528" s="1"/>
      <x:c r="E528" s="1"/>
      <x:c r="F528" s="1"/>
      <x:c r="G528" s="1"/>
      <x:c r="H528" s="1"/>
      <x:c r="I528" s="1"/>
      <x:c r="J528" s="1"/>
      <x:c r="K528" s="1"/>
      <x:c r="L528" s="1"/>
      <x:c r="M528" s="1"/>
      <x:c r="N528" s="1"/>
      <x:c r="O528" s="1"/>
      <x:c r="P528" s="1"/>
      <x:c r="Q528" s="1"/>
      <x:c r="R528" s="1"/>
      <x:c r="S528" s="1"/>
    </x:row>
    <x:row r="529" ht="26" customHeight="1">
      <x:c r="A529" s="1"/>
      <x:c r="B529" s="1"/>
      <x:c r="C529" s="1"/>
      <x:c r="D529" s="1"/>
      <x:c r="E529" s="1"/>
      <x:c r="F529" s="1"/>
      <x:c r="G529" s="1"/>
      <x:c r="H529" s="1"/>
      <x:c r="I529" s="1"/>
      <x:c r="J529" s="1"/>
      <x:c r="K529" s="1"/>
      <x:c r="L529" s="1"/>
      <x:c r="M529" s="1"/>
      <x:c r="N529" s="1"/>
      <x:c r="O529" s="1"/>
      <x:c r="P529" s="1"/>
      <x:c r="Q529" s="1"/>
      <x:c r="R529" s="1"/>
      <x:c r="S529" s="1"/>
    </x:row>
    <x:row r="530" ht="26" customHeight="1">
      <x:c r="A530" s="1"/>
      <x:c r="B530" s="1"/>
      <x:c r="C530" s="1"/>
      <x:c r="D530" s="1"/>
      <x:c r="E530" s="1"/>
      <x:c r="F530" s="1"/>
      <x:c r="G530" s="1"/>
      <x:c r="H530" s="1"/>
      <x:c r="I530" s="1"/>
      <x:c r="J530" s="1"/>
      <x:c r="K530" s="1"/>
      <x:c r="L530" s="1"/>
      <x:c r="M530" s="1"/>
      <x:c r="N530" s="1"/>
      <x:c r="O530" s="1"/>
      <x:c r="P530" s="1"/>
      <x:c r="Q530" s="1"/>
      <x:c r="R530" s="1"/>
      <x:c r="S530" s="1"/>
    </x:row>
    <x:row r="531" ht="26" customHeight="1">
      <x:c r="A531" s="1"/>
      <x:c r="B531" s="1"/>
      <x:c r="C531" s="1"/>
      <x:c r="D531" s="1"/>
      <x:c r="E531" s="1"/>
      <x:c r="F531" s="1"/>
      <x:c r="G531" s="1"/>
      <x:c r="H531" s="1"/>
      <x:c r="I531" s="1"/>
      <x:c r="J531" s="1"/>
      <x:c r="K531" s="1"/>
      <x:c r="L531" s="1"/>
      <x:c r="M531" s="1"/>
      <x:c r="N531" s="1"/>
      <x:c r="O531" s="1"/>
      <x:c r="P531" s="1"/>
      <x:c r="Q531" s="1"/>
      <x:c r="R531" s="1"/>
      <x:c r="S531" s="1"/>
    </x:row>
    <x:row r="532" ht="26" customHeight="1">
      <x:c r="A532" s="1"/>
      <x:c r="B532" s="1"/>
      <x:c r="C532" s="1"/>
      <x:c r="D532" s="1"/>
      <x:c r="E532" s="1"/>
      <x:c r="F532" s="1"/>
      <x:c r="G532" s="1"/>
      <x:c r="H532" s="1"/>
      <x:c r="I532" s="1"/>
      <x:c r="J532" s="1"/>
      <x:c r="K532" s="1"/>
      <x:c r="L532" s="1"/>
      <x:c r="M532" s="1"/>
      <x:c r="N532" s="1"/>
      <x:c r="O532" s="1"/>
      <x:c r="P532" s="1"/>
      <x:c r="Q532" s="1"/>
      <x:c r="R532" s="1"/>
      <x:c r="S532" s="1"/>
    </x:row>
    <x:row r="533" ht="26" customHeight="1">
      <x:c r="A533" s="1"/>
      <x:c r="B533" s="1"/>
      <x:c r="C533" s="1"/>
      <x:c r="D533" s="1"/>
      <x:c r="E533" s="1"/>
      <x:c r="F533" s="1"/>
      <x:c r="G533" s="1"/>
      <x:c r="H533" s="1"/>
      <x:c r="I533" s="1"/>
      <x:c r="J533" s="1"/>
      <x:c r="K533" s="1"/>
      <x:c r="L533" s="1"/>
      <x:c r="M533" s="1"/>
      <x:c r="N533" s="1"/>
      <x:c r="O533" s="1"/>
      <x:c r="P533" s="1"/>
      <x:c r="Q533" s="1"/>
      <x:c r="R533" s="1"/>
      <x:c r="S533" s="1"/>
    </x:row>
    <x:row r="534" ht="26" customHeight="1">
      <x:c r="A534" s="1"/>
      <x:c r="B534" s="1"/>
      <x:c r="C534" s="1"/>
      <x:c r="D534" s="1"/>
      <x:c r="E534" s="1"/>
      <x:c r="F534" s="1"/>
      <x:c r="G534" s="1"/>
      <x:c r="H534" s="1"/>
      <x:c r="I534" s="1"/>
      <x:c r="J534" s="1"/>
      <x:c r="K534" s="1"/>
      <x:c r="L534" s="1"/>
      <x:c r="M534" s="1"/>
      <x:c r="N534" s="1"/>
      <x:c r="O534" s="1"/>
      <x:c r="P534" s="1"/>
      <x:c r="Q534" s="1"/>
      <x:c r="R534" s="1"/>
      <x:c r="S534" s="1"/>
    </x:row>
    <x:row r="535" ht="26" customHeight="1">
      <x:c r="A535" s="1"/>
      <x:c r="B535" s="1"/>
      <x:c r="C535" s="1"/>
      <x:c r="D535" s="1"/>
      <x:c r="E535" s="1"/>
      <x:c r="F535" s="1"/>
      <x:c r="G535" s="1"/>
      <x:c r="H535" s="1"/>
      <x:c r="I535" s="1"/>
      <x:c r="J535" s="1"/>
      <x:c r="K535" s="1"/>
      <x:c r="L535" s="1"/>
      <x:c r="M535" s="1"/>
      <x:c r="N535" s="1"/>
      <x:c r="O535" s="1"/>
      <x:c r="P535" s="1"/>
      <x:c r="Q535" s="1"/>
      <x:c r="R535" s="1"/>
      <x:c r="S535" s="1"/>
    </x:row>
    <x:row r="536" ht="26" customHeight="1">
      <x:c r="A536" s="1"/>
      <x:c r="B536" s="1"/>
      <x:c r="C536" s="1"/>
      <x:c r="D536" s="1"/>
      <x:c r="E536" s="1"/>
      <x:c r="F536" s="1"/>
      <x:c r="G536" s="1"/>
      <x:c r="H536" s="1"/>
      <x:c r="I536" s="1"/>
      <x:c r="J536" s="1"/>
      <x:c r="K536" s="1"/>
      <x:c r="L536" s="1"/>
      <x:c r="M536" s="1"/>
      <x:c r="N536" s="1"/>
      <x:c r="O536" s="1"/>
      <x:c r="P536" s="1"/>
      <x:c r="Q536" s="1"/>
      <x:c r="R536" s="1"/>
      <x:c r="S536" s="1"/>
    </x:row>
    <x:row r="537" ht="26" customHeight="1">
      <x:c r="A537" s="1"/>
      <x:c r="B537" s="1"/>
      <x:c r="C537" s="1"/>
      <x:c r="D537" s="1"/>
      <x:c r="E537" s="1"/>
      <x:c r="F537" s="1"/>
      <x:c r="G537" s="1"/>
      <x:c r="H537" s="1"/>
      <x:c r="I537" s="1"/>
      <x:c r="J537" s="1"/>
      <x:c r="K537" s="1"/>
      <x:c r="L537" s="1"/>
      <x:c r="M537" s="1"/>
      <x:c r="N537" s="1"/>
      <x:c r="O537" s="1"/>
      <x:c r="P537" s="1"/>
      <x:c r="Q537" s="1"/>
      <x:c r="R537" s="1"/>
      <x:c r="S537" s="1"/>
    </x:row>
    <x:row r="538" ht="26" customHeight="1">
      <x:c r="A538" s="1"/>
      <x:c r="B538" s="1"/>
      <x:c r="C538" s="1"/>
      <x:c r="D538" s="1"/>
      <x:c r="E538" s="1"/>
      <x:c r="F538" s="1"/>
      <x:c r="G538" s="1"/>
      <x:c r="H538" s="1"/>
      <x:c r="I538" s="1"/>
      <x:c r="J538" s="1"/>
      <x:c r="K538" s="1"/>
      <x:c r="L538" s="1"/>
      <x:c r="M538" s="1"/>
      <x:c r="N538" s="1"/>
      <x:c r="O538" s="1"/>
      <x:c r="P538" s="1"/>
      <x:c r="Q538" s="1"/>
      <x:c r="R538" s="1"/>
      <x:c r="S538" s="1"/>
    </x:row>
    <x:row r="539" ht="26" customHeight="1">
      <x:c r="A539" s="1"/>
      <x:c r="B539" s="1"/>
      <x:c r="C539" s="1"/>
      <x:c r="D539" s="1"/>
      <x:c r="E539" s="1"/>
      <x:c r="F539" s="1"/>
      <x:c r="G539" s="1"/>
      <x:c r="H539" s="1"/>
      <x:c r="I539" s="1"/>
      <x:c r="J539" s="1"/>
      <x:c r="K539" s="1"/>
      <x:c r="L539" s="1"/>
      <x:c r="M539" s="1"/>
      <x:c r="N539" s="1"/>
      <x:c r="O539" s="1"/>
      <x:c r="P539" s="1"/>
      <x:c r="Q539" s="1"/>
      <x:c r="R539" s="1"/>
      <x:c r="S539" s="1"/>
    </x:row>
    <x:row r="540" ht="26" customHeight="1">
      <x:c r="A540" s="1"/>
      <x:c r="B540" s="1"/>
      <x:c r="C540" s="1"/>
      <x:c r="D540" s="1"/>
      <x:c r="E540" s="1"/>
      <x:c r="F540" s="1"/>
      <x:c r="G540" s="1"/>
      <x:c r="H540" s="1"/>
      <x:c r="I540" s="1"/>
      <x:c r="J540" s="1"/>
      <x:c r="K540" s="1"/>
      <x:c r="L540" s="1"/>
      <x:c r="M540" s="1"/>
      <x:c r="N540" s="1"/>
      <x:c r="O540" s="1"/>
      <x:c r="P540" s="1"/>
      <x:c r="Q540" s="1"/>
      <x:c r="R540" s="1"/>
      <x:c r="S540" s="1"/>
    </x:row>
    <x:row r="541" ht="26" customHeight="1">
      <x:c r="A541" s="1"/>
      <x:c r="B541" s="1"/>
      <x:c r="C541" s="1"/>
      <x:c r="D541" s="1"/>
      <x:c r="E541" s="1"/>
      <x:c r="F541" s="1"/>
      <x:c r="G541" s="1"/>
      <x:c r="H541" s="1"/>
      <x:c r="I541" s="1"/>
      <x:c r="J541" s="1"/>
      <x:c r="K541" s="1"/>
      <x:c r="L541" s="1"/>
      <x:c r="M541" s="1"/>
      <x:c r="N541" s="1"/>
      <x:c r="O541" s="1"/>
      <x:c r="P541" s="1"/>
      <x:c r="Q541" s="1"/>
      <x:c r="R541" s="1"/>
      <x:c r="S541" s="1"/>
    </x:row>
    <x:row r="542" ht="26" customHeight="1">
      <x:c r="A542" s="1"/>
      <x:c r="B542" s="1"/>
      <x:c r="C542" s="1"/>
      <x:c r="D542" s="1"/>
      <x:c r="E542" s="1"/>
      <x:c r="F542" s="1"/>
      <x:c r="G542" s="1"/>
      <x:c r="H542" s="1"/>
      <x:c r="I542" s="1"/>
      <x:c r="J542" s="1"/>
      <x:c r="K542" s="1"/>
      <x:c r="L542" s="1"/>
      <x:c r="M542" s="1"/>
      <x:c r="N542" s="1"/>
      <x:c r="O542" s="1"/>
      <x:c r="P542" s="1"/>
      <x:c r="Q542" s="1"/>
      <x:c r="R542" s="1"/>
      <x:c r="S542" s="1"/>
    </x:row>
    <x:row r="543" ht="26" customHeight="1">
      <x:c r="A543" s="1"/>
      <x:c r="B543" s="1"/>
      <x:c r="C543" s="1"/>
      <x:c r="D543" s="1"/>
      <x:c r="E543" s="1"/>
      <x:c r="F543" s="1"/>
      <x:c r="G543" s="1"/>
      <x:c r="H543" s="1"/>
      <x:c r="I543" s="1"/>
      <x:c r="J543" s="1"/>
      <x:c r="K543" s="1"/>
      <x:c r="L543" s="1"/>
      <x:c r="M543" s="1"/>
      <x:c r="N543" s="1"/>
      <x:c r="O543" s="1"/>
      <x:c r="P543" s="1"/>
      <x:c r="Q543" s="1"/>
      <x:c r="R543" s="1"/>
      <x:c r="S543" s="1"/>
    </x:row>
    <x:row r="544" ht="26" customHeight="1">
      <x:c r="A544" s="1"/>
      <x:c r="B544" s="1"/>
      <x:c r="C544" s="1"/>
      <x:c r="D544" s="1"/>
      <x:c r="E544" s="1"/>
      <x:c r="F544" s="1"/>
      <x:c r="G544" s="1"/>
      <x:c r="H544" s="1"/>
      <x:c r="I544" s="1"/>
      <x:c r="J544" s="1"/>
      <x:c r="K544" s="1"/>
      <x:c r="L544" s="1"/>
      <x:c r="M544" s="1"/>
      <x:c r="N544" s="1"/>
      <x:c r="O544" s="1"/>
      <x:c r="P544" s="1"/>
      <x:c r="Q544" s="1"/>
      <x:c r="R544" s="1"/>
      <x:c r="S544" s="1"/>
    </x:row>
    <x:row r="545" ht="26" customHeight="1">
      <x:c r="A545" s="1"/>
      <x:c r="B545" s="1"/>
      <x:c r="C545" s="1"/>
      <x:c r="D545" s="1"/>
      <x:c r="E545" s="1"/>
      <x:c r="F545" s="1"/>
      <x:c r="G545" s="1"/>
      <x:c r="H545" s="1"/>
      <x:c r="I545" s="1"/>
      <x:c r="J545" s="1"/>
      <x:c r="K545" s="1"/>
      <x:c r="L545" s="1"/>
      <x:c r="M545" s="1"/>
      <x:c r="N545" s="1"/>
      <x:c r="O545" s="1"/>
      <x:c r="P545" s="1"/>
      <x:c r="Q545" s="1"/>
      <x:c r="R545" s="1"/>
      <x:c r="S545" s="1"/>
    </x:row>
    <x:row r="546" ht="26" customHeight="1">
      <x:c r="A546" s="1"/>
      <x:c r="B546" s="1"/>
      <x:c r="C546" s="1"/>
      <x:c r="D546" s="1"/>
      <x:c r="E546" s="1"/>
      <x:c r="F546" s="1"/>
      <x:c r="G546" s="1"/>
      <x:c r="H546" s="1"/>
      <x:c r="I546" s="1"/>
      <x:c r="J546" s="1"/>
      <x:c r="K546" s="1"/>
      <x:c r="L546" s="1"/>
      <x:c r="M546" s="1"/>
      <x:c r="N546" s="1"/>
      <x:c r="O546" s="1"/>
      <x:c r="P546" s="1"/>
      <x:c r="Q546" s="1"/>
      <x:c r="R546" s="1"/>
      <x:c r="S546" s="1"/>
    </x:row>
    <x:row r="547" ht="26" customHeight="1">
      <x:c r="A547" s="1"/>
      <x:c r="B547" s="1"/>
      <x:c r="C547" s="1"/>
      <x:c r="D547" s="1"/>
      <x:c r="E547" s="1"/>
      <x:c r="F547" s="1"/>
      <x:c r="G547" s="1"/>
      <x:c r="H547" s="1"/>
      <x:c r="I547" s="1"/>
      <x:c r="J547" s="1"/>
      <x:c r="K547" s="1"/>
      <x:c r="L547" s="1"/>
      <x:c r="M547" s="1"/>
      <x:c r="N547" s="1"/>
      <x:c r="O547" s="1"/>
      <x:c r="P547" s="1"/>
      <x:c r="Q547" s="1"/>
      <x:c r="R547" s="1"/>
      <x:c r="S547" s="1"/>
    </x:row>
    <x:row r="548" ht="26" customHeight="1">
      <x:c r="A548" s="1"/>
      <x:c r="B548" s="1"/>
      <x:c r="C548" s="1"/>
      <x:c r="D548" s="1"/>
      <x:c r="E548" s="1"/>
      <x:c r="F548" s="1"/>
      <x:c r="G548" s="1"/>
      <x:c r="H548" s="1"/>
      <x:c r="I548" s="1"/>
      <x:c r="J548" s="1"/>
      <x:c r="K548" s="1"/>
      <x:c r="L548" s="1"/>
      <x:c r="M548" s="1"/>
      <x:c r="N548" s="1"/>
      <x:c r="O548" s="1"/>
      <x:c r="P548" s="1"/>
      <x:c r="Q548" s="1"/>
      <x:c r="R548" s="1"/>
      <x:c r="S548" s="1"/>
    </x:row>
    <x:row r="549" ht="26" customHeight="1">
      <x:c r="A549" s="1"/>
      <x:c r="B549" s="1"/>
      <x:c r="C549" s="1"/>
      <x:c r="D549" s="1"/>
      <x:c r="E549" s="1"/>
      <x:c r="F549" s="1"/>
      <x:c r="G549" s="1"/>
      <x:c r="H549" s="1"/>
      <x:c r="I549" s="1"/>
      <x:c r="J549" s="1"/>
      <x:c r="K549" s="1"/>
      <x:c r="L549" s="1"/>
      <x:c r="M549" s="1"/>
      <x:c r="N549" s="1"/>
      <x:c r="O549" s="1"/>
      <x:c r="P549" s="1"/>
      <x:c r="Q549" s="1"/>
      <x:c r="R549" s="1"/>
      <x:c r="S549" s="1"/>
    </x:row>
    <x:row r="550" ht="26" customHeight="1">
      <x:c r="A550" s="1"/>
      <x:c r="B550" s="1"/>
      <x:c r="C550" s="1"/>
      <x:c r="D550" s="1"/>
      <x:c r="E550" s="1"/>
      <x:c r="F550" s="1"/>
      <x:c r="G550" s="1"/>
      <x:c r="H550" s="1"/>
      <x:c r="I550" s="1"/>
      <x:c r="J550" s="1"/>
      <x:c r="K550" s="1"/>
      <x:c r="L550" s="1"/>
      <x:c r="M550" s="1"/>
      <x:c r="N550" s="1"/>
      <x:c r="O550" s="1"/>
      <x:c r="P550" s="1"/>
      <x:c r="Q550" s="1"/>
      <x:c r="R550" s="1"/>
      <x:c r="S550" s="1"/>
    </x:row>
    <x:row r="551" ht="26" customHeight="1">
      <x:c r="A551" s="1"/>
      <x:c r="B551" s="1"/>
      <x:c r="C551" s="1"/>
      <x:c r="D551" s="1"/>
      <x:c r="E551" s="1"/>
      <x:c r="F551" s="1"/>
      <x:c r="G551" s="1"/>
      <x:c r="H551" s="1"/>
      <x:c r="I551" s="1"/>
      <x:c r="J551" s="1"/>
      <x:c r="K551" s="1"/>
      <x:c r="L551" s="1"/>
      <x:c r="M551" s="1"/>
      <x:c r="N551" s="1"/>
      <x:c r="O551" s="1"/>
      <x:c r="P551" s="1"/>
      <x:c r="Q551" s="1"/>
      <x:c r="R551" s="1"/>
      <x:c r="S551" s="1"/>
    </x:row>
    <x:row r="552" ht="26" customHeight="1">
      <x:c r="A552" s="1"/>
      <x:c r="B552" s="1"/>
      <x:c r="C552" s="1"/>
      <x:c r="D552" s="1"/>
      <x:c r="E552" s="1"/>
      <x:c r="F552" s="1"/>
      <x:c r="G552" s="1"/>
      <x:c r="H552" s="1"/>
      <x:c r="I552" s="1"/>
      <x:c r="J552" s="1"/>
      <x:c r="K552" s="1"/>
      <x:c r="L552" s="1"/>
      <x:c r="M552" s="1"/>
      <x:c r="N552" s="1"/>
      <x:c r="O552" s="1"/>
      <x:c r="P552" s="1"/>
      <x:c r="Q552" s="1"/>
      <x:c r="R552" s="1"/>
      <x:c r="S552" s="1"/>
    </x:row>
    <x:row r="553" ht="26" customHeight="1">
      <x:c r="A553" s="1"/>
      <x:c r="B553" s="1"/>
      <x:c r="C553" s="1"/>
      <x:c r="D553" s="1"/>
      <x:c r="E553" s="1"/>
      <x:c r="F553" s="1"/>
      <x:c r="G553" s="1"/>
      <x:c r="H553" s="1"/>
      <x:c r="I553" s="1"/>
      <x:c r="J553" s="1"/>
      <x:c r="K553" s="1"/>
      <x:c r="L553" s="1"/>
      <x:c r="M553" s="1"/>
      <x:c r="N553" s="1"/>
      <x:c r="O553" s="1"/>
      <x:c r="P553" s="1"/>
      <x:c r="Q553" s="1"/>
      <x:c r="R553" s="1"/>
      <x:c r="S553" s="1"/>
    </x:row>
    <x:row r="554" ht="26" customHeight="1">
      <x:c r="A554" s="1"/>
      <x:c r="B554" s="1"/>
      <x:c r="C554" s="1"/>
      <x:c r="D554" s="1"/>
      <x:c r="E554" s="1"/>
      <x:c r="F554" s="1"/>
      <x:c r="G554" s="1"/>
      <x:c r="H554" s="1"/>
      <x:c r="I554" s="1"/>
      <x:c r="J554" s="1"/>
      <x:c r="K554" s="1"/>
      <x:c r="L554" s="1"/>
      <x:c r="M554" s="1"/>
      <x:c r="N554" s="1"/>
      <x:c r="O554" s="1"/>
      <x:c r="P554" s="1"/>
      <x:c r="Q554" s="1"/>
      <x:c r="R554" s="1"/>
      <x:c r="S554" s="1"/>
    </x:row>
    <x:row r="555" ht="26" customHeight="1">
      <x:c r="A555" s="1"/>
      <x:c r="B555" s="1"/>
      <x:c r="C555" s="1"/>
      <x:c r="D555" s="1"/>
      <x:c r="E555" s="1"/>
      <x:c r="F555" s="1"/>
      <x:c r="G555" s="1"/>
      <x:c r="H555" s="1"/>
      <x:c r="I555" s="1"/>
      <x:c r="J555" s="1"/>
      <x:c r="K555" s="1"/>
      <x:c r="L555" s="1"/>
      <x:c r="M555" s="1"/>
      <x:c r="N555" s="1"/>
      <x:c r="O555" s="1"/>
      <x:c r="P555" s="1"/>
      <x:c r="Q555" s="1"/>
      <x:c r="R555" s="1"/>
      <x:c r="S555" s="1"/>
    </x:row>
    <x:row r="556" ht="26" customHeight="1">
      <x:c r="A556" s="1"/>
      <x:c r="B556" s="1"/>
      <x:c r="C556" s="1"/>
      <x:c r="D556" s="1"/>
      <x:c r="E556" s="1"/>
      <x:c r="F556" s="1"/>
      <x:c r="G556" s="1"/>
      <x:c r="H556" s="1"/>
      <x:c r="I556" s="1"/>
      <x:c r="J556" s="1"/>
      <x:c r="K556" s="1"/>
      <x:c r="L556" s="1"/>
      <x:c r="M556" s="1"/>
      <x:c r="N556" s="1"/>
      <x:c r="O556" s="1"/>
      <x:c r="P556" s="1"/>
      <x:c r="Q556" s="1"/>
      <x:c r="R556" s="1"/>
      <x:c r="S556" s="1"/>
    </x:row>
    <x:row r="557" ht="26" customHeight="1">
      <x:c r="A557" s="1"/>
      <x:c r="B557" s="1"/>
      <x:c r="C557" s="1"/>
      <x:c r="D557" s="1"/>
      <x:c r="E557" s="1"/>
      <x:c r="F557" s="1"/>
      <x:c r="G557" s="1"/>
      <x:c r="H557" s="1"/>
      <x:c r="I557" s="1"/>
      <x:c r="J557" s="1"/>
      <x:c r="K557" s="1"/>
      <x:c r="L557" s="1"/>
      <x:c r="M557" s="1"/>
      <x:c r="N557" s="1"/>
      <x:c r="O557" s="1"/>
      <x:c r="P557" s="1"/>
      <x:c r="Q557" s="1"/>
      <x:c r="R557" s="1"/>
      <x:c r="S557" s="1"/>
    </x:row>
    <x:row r="558" ht="26" customHeight="1">
      <x:c r="A558" s="1"/>
      <x:c r="B558" s="1"/>
      <x:c r="C558" s="1"/>
      <x:c r="D558" s="1"/>
      <x:c r="E558" s="1"/>
      <x:c r="F558" s="1"/>
      <x:c r="G558" s="1"/>
      <x:c r="H558" s="1"/>
      <x:c r="I558" s="1"/>
      <x:c r="J558" s="1"/>
      <x:c r="K558" s="1"/>
      <x:c r="L558" s="1"/>
      <x:c r="M558" s="1"/>
      <x:c r="N558" s="1"/>
      <x:c r="O558" s="1"/>
      <x:c r="P558" s="1"/>
      <x:c r="Q558" s="1"/>
      <x:c r="R558" s="1"/>
      <x:c r="S558" s="1"/>
    </x:row>
    <x:row r="559" ht="26" customHeight="1">
      <x:c r="A559" s="1"/>
      <x:c r="B559" s="1"/>
      <x:c r="C559" s="1"/>
      <x:c r="D559" s="1"/>
      <x:c r="E559" s="1"/>
      <x:c r="F559" s="1"/>
      <x:c r="G559" s="1"/>
      <x:c r="H559" s="1"/>
      <x:c r="I559" s="1"/>
      <x:c r="J559" s="1"/>
      <x:c r="K559" s="1"/>
      <x:c r="L559" s="1"/>
      <x:c r="M559" s="1"/>
      <x:c r="N559" s="1"/>
      <x:c r="O559" s="1"/>
      <x:c r="P559" s="1"/>
      <x:c r="Q559" s="1"/>
      <x:c r="R559" s="1"/>
      <x:c r="S559" s="1"/>
    </x:row>
    <x:row r="560" ht="26" customHeight="1">
      <x:c r="A560" s="1"/>
      <x:c r="B560" s="1"/>
      <x:c r="C560" s="1"/>
      <x:c r="D560" s="1"/>
      <x:c r="E560" s="1"/>
      <x:c r="F560" s="1"/>
      <x:c r="G560" s="1"/>
      <x:c r="H560" s="1"/>
      <x:c r="I560" s="1"/>
      <x:c r="J560" s="1"/>
      <x:c r="K560" s="1"/>
      <x:c r="L560" s="1"/>
      <x:c r="M560" s="1"/>
      <x:c r="N560" s="1"/>
      <x:c r="O560" s="1"/>
      <x:c r="P560" s="1"/>
      <x:c r="Q560" s="1"/>
      <x:c r="R560" s="1"/>
      <x:c r="S560" s="1"/>
    </x:row>
    <x:row r="561" ht="26" customHeight="1">
      <x:c r="A561" s="1"/>
      <x:c r="B561" s="1"/>
      <x:c r="C561" s="1"/>
      <x:c r="D561" s="1"/>
      <x:c r="E561" s="1"/>
      <x:c r="F561" s="1"/>
      <x:c r="G561" s="1"/>
      <x:c r="H561" s="1"/>
      <x:c r="I561" s="1"/>
      <x:c r="J561" s="1"/>
      <x:c r="K561" s="1"/>
      <x:c r="L561" s="1"/>
      <x:c r="M561" s="1"/>
      <x:c r="N561" s="1"/>
      <x:c r="O561" s="1"/>
      <x:c r="P561" s="1"/>
      <x:c r="Q561" s="1"/>
      <x:c r="R561" s="1"/>
      <x:c r="S561" s="1"/>
    </x:row>
    <x:row r="562" ht="26" customHeight="1">
      <x:c r="A562" s="1"/>
      <x:c r="B562" s="1"/>
      <x:c r="C562" s="1"/>
      <x:c r="D562" s="1"/>
      <x:c r="E562" s="1"/>
      <x:c r="F562" s="1"/>
      <x:c r="G562" s="1"/>
      <x:c r="H562" s="1"/>
      <x:c r="I562" s="1"/>
      <x:c r="J562" s="1"/>
      <x:c r="K562" s="1"/>
      <x:c r="L562" s="1"/>
      <x:c r="M562" s="1"/>
      <x:c r="N562" s="1"/>
      <x:c r="O562" s="1"/>
      <x:c r="P562" s="1"/>
      <x:c r="Q562" s="1"/>
      <x:c r="R562" s="1"/>
      <x:c r="S562" s="1"/>
    </x:row>
    <x:row r="563" ht="26" customHeight="1">
      <x:c r="A563" s="1"/>
      <x:c r="B563" s="1"/>
      <x:c r="C563" s="1"/>
      <x:c r="D563" s="1"/>
      <x:c r="E563" s="1"/>
      <x:c r="F563" s="1"/>
      <x:c r="G563" s="1"/>
      <x:c r="H563" s="1"/>
      <x:c r="I563" s="1"/>
      <x:c r="J563" s="1"/>
      <x:c r="K563" s="1"/>
      <x:c r="L563" s="1"/>
      <x:c r="M563" s="1"/>
      <x:c r="N563" s="1"/>
      <x:c r="O563" s="1"/>
      <x:c r="P563" s="1"/>
      <x:c r="Q563" s="1"/>
      <x:c r="R563" s="1"/>
      <x:c r="S563" s="1"/>
    </x:row>
    <x:row r="564" ht="26" customHeight="1">
      <x:c r="A564" s="1"/>
      <x:c r="B564" s="1"/>
      <x:c r="C564" s="1"/>
      <x:c r="D564" s="1"/>
      <x:c r="E564" s="1"/>
      <x:c r="F564" s="1"/>
      <x:c r="G564" s="1"/>
      <x:c r="H564" s="1"/>
      <x:c r="I564" s="1"/>
      <x:c r="J564" s="1"/>
      <x:c r="K564" s="1"/>
      <x:c r="L564" s="1"/>
      <x:c r="M564" s="1"/>
      <x:c r="N564" s="1"/>
      <x:c r="O564" s="1"/>
      <x:c r="P564" s="1"/>
      <x:c r="Q564" s="1"/>
      <x:c r="R564" s="1"/>
      <x:c r="S564" s="1"/>
    </x:row>
    <x:row r="565" ht="26" customHeight="1">
      <x:c r="A565" s="1"/>
      <x:c r="B565" s="1"/>
      <x:c r="C565" s="1"/>
      <x:c r="D565" s="1"/>
      <x:c r="E565" s="1"/>
      <x:c r="F565" s="1"/>
      <x:c r="G565" s="1"/>
      <x:c r="H565" s="1"/>
      <x:c r="I565" s="1"/>
      <x:c r="J565" s="1"/>
      <x:c r="K565" s="1"/>
      <x:c r="L565" s="1"/>
      <x:c r="M565" s="1"/>
      <x:c r="N565" s="1"/>
      <x:c r="O565" s="1"/>
      <x:c r="P565" s="1"/>
      <x:c r="Q565" s="1"/>
      <x:c r="R565" s="1"/>
      <x:c r="S565" s="1"/>
    </x:row>
    <x:row r="566" ht="26" customHeight="1">
      <x:c r="A566" s="1"/>
      <x:c r="B566" s="1"/>
      <x:c r="C566" s="1"/>
      <x:c r="D566" s="1"/>
      <x:c r="E566" s="1"/>
      <x:c r="F566" s="1"/>
      <x:c r="G566" s="1"/>
      <x:c r="H566" s="1"/>
      <x:c r="I566" s="1"/>
      <x:c r="J566" s="1"/>
      <x:c r="K566" s="1"/>
      <x:c r="L566" s="1"/>
      <x:c r="M566" s="1"/>
      <x:c r="N566" s="1"/>
      <x:c r="O566" s="1"/>
      <x:c r="P566" s="1"/>
      <x:c r="Q566" s="1"/>
      <x:c r="R566" s="1"/>
      <x:c r="S566" s="1"/>
    </x:row>
    <x:row r="567" ht="26" customHeight="1">
      <x:c r="A567" s="1"/>
      <x:c r="B567" s="1"/>
      <x:c r="C567" s="1"/>
      <x:c r="D567" s="1"/>
      <x:c r="E567" s="1"/>
      <x:c r="F567" s="1"/>
      <x:c r="G567" s="1"/>
      <x:c r="H567" s="1"/>
      <x:c r="I567" s="1"/>
      <x:c r="J567" s="1"/>
      <x:c r="K567" s="1"/>
      <x:c r="L567" s="1"/>
      <x:c r="M567" s="1"/>
      <x:c r="N567" s="1"/>
      <x:c r="O567" s="1"/>
      <x:c r="P567" s="1"/>
      <x:c r="Q567" s="1"/>
      <x:c r="R567" s="1"/>
      <x:c r="S567" s="1"/>
    </x:row>
    <x:row r="568" ht="26" customHeight="1">
      <x:c r="A568" s="1"/>
      <x:c r="B568" s="1"/>
      <x:c r="C568" s="1"/>
      <x:c r="D568" s="1"/>
      <x:c r="E568" s="1"/>
      <x:c r="F568" s="1"/>
      <x:c r="G568" s="1"/>
      <x:c r="H568" s="1"/>
      <x:c r="I568" s="1"/>
      <x:c r="J568" s="1"/>
      <x:c r="K568" s="1"/>
      <x:c r="L568" s="1"/>
      <x:c r="M568" s="1"/>
      <x:c r="N568" s="1"/>
      <x:c r="O568" s="1"/>
      <x:c r="P568" s="1"/>
      <x:c r="Q568" s="1"/>
      <x:c r="R568" s="1"/>
      <x:c r="S568" s="1"/>
    </x:row>
    <x:row r="569" ht="26" customHeight="1">
      <x:c r="A569" s="1"/>
      <x:c r="B569" s="1"/>
      <x:c r="C569" s="1"/>
      <x:c r="D569" s="1"/>
      <x:c r="E569" s="1"/>
      <x:c r="F569" s="1"/>
      <x:c r="G569" s="1"/>
      <x:c r="H569" s="1"/>
      <x:c r="I569" s="1"/>
      <x:c r="J569" s="1"/>
      <x:c r="K569" s="1"/>
      <x:c r="L569" s="1"/>
      <x:c r="M569" s="1"/>
      <x:c r="N569" s="1"/>
      <x:c r="O569" s="1"/>
      <x:c r="P569" s="1"/>
      <x:c r="Q569" s="1"/>
      <x:c r="R569" s="1"/>
      <x:c r="S569" s="1"/>
    </x:row>
    <x:row r="570" ht="26" customHeight="1">
      <x:c r="A570" s="1"/>
      <x:c r="B570" s="1"/>
      <x:c r="C570" s="1"/>
      <x:c r="D570" s="1"/>
      <x:c r="E570" s="1"/>
      <x:c r="F570" s="1"/>
      <x:c r="G570" s="1"/>
      <x:c r="H570" s="1"/>
      <x:c r="I570" s="1"/>
      <x:c r="J570" s="1"/>
      <x:c r="K570" s="1"/>
      <x:c r="L570" s="1"/>
      <x:c r="M570" s="1"/>
      <x:c r="N570" s="1"/>
      <x:c r="O570" s="1"/>
      <x:c r="P570" s="1"/>
      <x:c r="Q570" s="1"/>
      <x:c r="R570" s="1"/>
      <x:c r="S570" s="1"/>
    </x:row>
    <x:row r="571" ht="26" customHeight="1">
      <x:c r="A571" s="1"/>
      <x:c r="B571" s="1"/>
      <x:c r="C571" s="1"/>
      <x:c r="D571" s="1"/>
      <x:c r="E571" s="1"/>
      <x:c r="F571" s="1"/>
      <x:c r="G571" s="1"/>
      <x:c r="H571" s="1"/>
      <x:c r="I571" s="1"/>
      <x:c r="J571" s="1"/>
      <x:c r="K571" s="1"/>
      <x:c r="L571" s="1"/>
      <x:c r="M571" s="1"/>
      <x:c r="N571" s="1"/>
      <x:c r="O571" s="1"/>
      <x:c r="P571" s="1"/>
      <x:c r="Q571" s="1"/>
      <x:c r="R571" s="1"/>
      <x:c r="S571" s="1"/>
    </x:row>
    <x:row r="572" ht="26" customHeight="1">
      <x:c r="A572" s="1"/>
      <x:c r="B572" s="1"/>
      <x:c r="C572" s="1"/>
      <x:c r="D572" s="1"/>
      <x:c r="E572" s="1"/>
      <x:c r="F572" s="1"/>
      <x:c r="G572" s="1"/>
      <x:c r="H572" s="1"/>
      <x:c r="I572" s="1"/>
      <x:c r="J572" s="1"/>
      <x:c r="K572" s="1"/>
      <x:c r="L572" s="1"/>
      <x:c r="M572" s="1"/>
      <x:c r="N572" s="1"/>
      <x:c r="O572" s="1"/>
      <x:c r="P572" s="1"/>
      <x:c r="Q572" s="1"/>
      <x:c r="R572" s="1"/>
      <x:c r="S572" s="1"/>
    </x:row>
    <x:row r="573" ht="26" customHeight="1">
      <x:c r="A573" s="1"/>
      <x:c r="B573" s="1"/>
      <x:c r="C573" s="1"/>
      <x:c r="D573" s="1"/>
      <x:c r="E573" s="1"/>
      <x:c r="F573" s="1"/>
      <x:c r="G573" s="1"/>
      <x:c r="H573" s="1"/>
      <x:c r="I573" s="1"/>
      <x:c r="J573" s="1"/>
      <x:c r="K573" s="1"/>
      <x:c r="L573" s="1"/>
      <x:c r="M573" s="1"/>
      <x:c r="N573" s="1"/>
      <x:c r="O573" s="1"/>
      <x:c r="P573" s="1"/>
      <x:c r="Q573" s="1"/>
      <x:c r="R573" s="1"/>
      <x:c r="S573" s="1"/>
    </x:row>
    <x:row r="574" ht="26" customHeight="1">
      <x:c r="A574" s="1"/>
      <x:c r="B574" s="1"/>
      <x:c r="C574" s="1"/>
      <x:c r="D574" s="1"/>
      <x:c r="E574" s="1"/>
      <x:c r="F574" s="1"/>
      <x:c r="G574" s="1"/>
      <x:c r="H574" s="1"/>
      <x:c r="I574" s="1"/>
      <x:c r="J574" s="1"/>
      <x:c r="K574" s="1"/>
      <x:c r="L574" s="1"/>
      <x:c r="M574" s="1"/>
      <x:c r="N574" s="1"/>
      <x:c r="O574" s="1"/>
      <x:c r="P574" s="1"/>
      <x:c r="Q574" s="1"/>
      <x:c r="R574" s="1"/>
      <x:c r="S574" s="1"/>
    </x:row>
    <x:row r="575" ht="26" customHeight="1">
      <x:c r="A575" s="1"/>
      <x:c r="B575" s="1"/>
      <x:c r="C575" s="1"/>
      <x:c r="D575" s="1"/>
      <x:c r="E575" s="1"/>
      <x:c r="F575" s="1"/>
      <x:c r="G575" s="1"/>
      <x:c r="H575" s="1"/>
      <x:c r="I575" s="1"/>
      <x:c r="J575" s="1"/>
      <x:c r="K575" s="1"/>
      <x:c r="L575" s="1"/>
      <x:c r="M575" s="1"/>
      <x:c r="N575" s="1"/>
      <x:c r="O575" s="1"/>
      <x:c r="P575" s="1"/>
      <x:c r="Q575" s="1"/>
      <x:c r="R575" s="1"/>
      <x:c r="S575" s="1"/>
    </x:row>
    <x:row r="576" ht="26" customHeight="1">
      <x:c r="A576" s="1"/>
      <x:c r="B576" s="1"/>
      <x:c r="C576" s="1"/>
      <x:c r="D576" s="1"/>
      <x:c r="E576" s="1"/>
      <x:c r="F576" s="1"/>
      <x:c r="G576" s="1"/>
      <x:c r="H576" s="1"/>
      <x:c r="I576" s="1"/>
      <x:c r="J576" s="1"/>
      <x:c r="K576" s="1"/>
      <x:c r="L576" s="1"/>
      <x:c r="M576" s="1"/>
      <x:c r="N576" s="1"/>
      <x:c r="O576" s="1"/>
      <x:c r="P576" s="1"/>
      <x:c r="Q576" s="1"/>
      <x:c r="R576" s="1"/>
      <x:c r="S576" s="1"/>
    </x:row>
    <x:row r="577" ht="26" customHeight="1">
      <x:c r="A577" s="1"/>
      <x:c r="B577" s="1"/>
      <x:c r="C577" s="1"/>
      <x:c r="D577" s="1"/>
      <x:c r="E577" s="1"/>
      <x:c r="F577" s="1"/>
      <x:c r="G577" s="1"/>
      <x:c r="H577" s="1"/>
      <x:c r="I577" s="1"/>
      <x:c r="J577" s="1"/>
      <x:c r="K577" s="1"/>
      <x:c r="L577" s="1"/>
      <x:c r="M577" s="1"/>
      <x:c r="N577" s="1"/>
      <x:c r="O577" s="1"/>
      <x:c r="P577" s="1"/>
      <x:c r="Q577" s="1"/>
      <x:c r="R577" s="1"/>
      <x:c r="S577" s="1"/>
    </x:row>
    <x:row r="578" ht="26" customHeight="1">
      <x:c r="A578" s="1"/>
      <x:c r="B578" s="1"/>
      <x:c r="C578" s="1"/>
      <x:c r="D578" s="1"/>
      <x:c r="E578" s="1"/>
      <x:c r="F578" s="1"/>
      <x:c r="G578" s="1"/>
      <x:c r="H578" s="1"/>
      <x:c r="I578" s="1"/>
      <x:c r="J578" s="1"/>
      <x:c r="K578" s="1"/>
      <x:c r="L578" s="1"/>
      <x:c r="M578" s="1"/>
      <x:c r="N578" s="1"/>
      <x:c r="O578" s="1"/>
      <x:c r="P578" s="1"/>
      <x:c r="Q578" s="1"/>
      <x:c r="R578" s="1"/>
      <x:c r="S578" s="1"/>
    </x:row>
    <x:row r="579" ht="26" customHeight="1">
      <x:c r="A579" s="1"/>
      <x:c r="B579" s="1"/>
      <x:c r="C579" s="1"/>
      <x:c r="D579" s="1"/>
      <x:c r="E579" s="1"/>
      <x:c r="F579" s="1"/>
      <x:c r="G579" s="1"/>
      <x:c r="H579" s="1"/>
      <x:c r="I579" s="1"/>
      <x:c r="J579" s="1"/>
      <x:c r="K579" s="1"/>
      <x:c r="L579" s="1"/>
      <x:c r="M579" s="1"/>
      <x:c r="N579" s="1"/>
      <x:c r="O579" s="1"/>
      <x:c r="P579" s="1"/>
      <x:c r="Q579" s="1"/>
      <x:c r="R579" s="1"/>
      <x:c r="S579" s="1"/>
    </x:row>
    <x:row r="580" ht="26" customHeight="1">
      <x:c r="A580" s="1"/>
      <x:c r="B580" s="1"/>
      <x:c r="C580" s="1"/>
      <x:c r="D580" s="1"/>
      <x:c r="E580" s="1"/>
      <x:c r="F580" s="1"/>
      <x:c r="G580" s="1"/>
      <x:c r="H580" s="1"/>
      <x:c r="I580" s="1"/>
      <x:c r="J580" s="1"/>
      <x:c r="K580" s="1"/>
      <x:c r="L580" s="1"/>
      <x:c r="M580" s="1"/>
      <x:c r="N580" s="1"/>
      <x:c r="O580" s="1"/>
      <x:c r="P580" s="1"/>
      <x:c r="Q580" s="1"/>
      <x:c r="R580" s="1"/>
      <x:c r="S580" s="1"/>
    </x:row>
    <x:row r="581" ht="26" customHeight="1">
      <x:c r="A581" s="1"/>
      <x:c r="B581" s="1"/>
      <x:c r="C581" s="1"/>
      <x:c r="D581" s="1"/>
      <x:c r="E581" s="1"/>
      <x:c r="F581" s="1"/>
      <x:c r="G581" s="1"/>
      <x:c r="H581" s="1"/>
      <x:c r="I581" s="1"/>
      <x:c r="J581" s="1"/>
      <x:c r="K581" s="1"/>
      <x:c r="L581" s="1"/>
      <x:c r="M581" s="1"/>
      <x:c r="N581" s="1"/>
      <x:c r="O581" s="1"/>
      <x:c r="P581" s="1"/>
      <x:c r="Q581" s="1"/>
      <x:c r="R581" s="1"/>
      <x:c r="S581" s="1"/>
    </x:row>
    <x:row r="582" ht="26" customHeight="1">
      <x:c r="A582" s="1"/>
      <x:c r="B582" s="1"/>
      <x:c r="C582" s="1"/>
      <x:c r="D582" s="1"/>
      <x:c r="E582" s="1"/>
      <x:c r="F582" s="1"/>
      <x:c r="G582" s="1"/>
      <x:c r="H582" s="1"/>
      <x:c r="I582" s="1"/>
      <x:c r="J582" s="1"/>
      <x:c r="K582" s="1"/>
      <x:c r="L582" s="1"/>
      <x:c r="M582" s="1"/>
      <x:c r="N582" s="1"/>
      <x:c r="O582" s="1"/>
      <x:c r="P582" s="1"/>
      <x:c r="Q582" s="1"/>
      <x:c r="R582" s="1"/>
      <x:c r="S582" s="1"/>
    </x:row>
    <x:row r="583" ht="26" customHeight="1">
      <x:c r="A583" s="1"/>
      <x:c r="B583" s="1"/>
      <x:c r="C583" s="1"/>
      <x:c r="D583" s="1"/>
      <x:c r="E583" s="1"/>
      <x:c r="F583" s="1"/>
      <x:c r="G583" s="1"/>
      <x:c r="H583" s="1"/>
      <x:c r="I583" s="1"/>
      <x:c r="J583" s="1"/>
      <x:c r="K583" s="1"/>
      <x:c r="L583" s="1"/>
      <x:c r="M583" s="1"/>
      <x:c r="N583" s="1"/>
      <x:c r="O583" s="1"/>
      <x:c r="P583" s="1"/>
      <x:c r="Q583" s="1"/>
      <x:c r="R583" s="1"/>
      <x:c r="S583" s="1"/>
    </x:row>
    <x:row r="584" ht="26" customHeight="1">
      <x:c r="A584" s="1"/>
      <x:c r="B584" s="1"/>
      <x:c r="C584" s="1"/>
      <x:c r="D584" s="1"/>
      <x:c r="E584" s="1"/>
      <x:c r="F584" s="1"/>
      <x:c r="G584" s="1"/>
      <x:c r="H584" s="1"/>
      <x:c r="I584" s="1"/>
      <x:c r="J584" s="1"/>
      <x:c r="K584" s="1"/>
      <x:c r="L584" s="1"/>
      <x:c r="M584" s="1"/>
      <x:c r="N584" s="1"/>
      <x:c r="O584" s="1"/>
      <x:c r="P584" s="1"/>
      <x:c r="Q584" s="1"/>
      <x:c r="R584" s="1"/>
      <x:c r="S584" s="1"/>
    </x:row>
    <x:row r="585" ht="26" customHeight="1">
      <x:c r="A585" s="1"/>
      <x:c r="B585" s="1"/>
      <x:c r="C585" s="1"/>
      <x:c r="D585" s="1"/>
      <x:c r="E585" s="1"/>
      <x:c r="F585" s="1"/>
      <x:c r="G585" s="1"/>
      <x:c r="H585" s="1"/>
      <x:c r="I585" s="1"/>
      <x:c r="J585" s="1"/>
      <x:c r="K585" s="1"/>
      <x:c r="L585" s="1"/>
      <x:c r="M585" s="1"/>
      <x:c r="N585" s="1"/>
      <x:c r="O585" s="1"/>
      <x:c r="P585" s="1"/>
      <x:c r="Q585" s="1"/>
      <x:c r="R585" s="1"/>
      <x:c r="S585" s="1"/>
    </x:row>
    <x:row r="586" ht="26" customHeight="1">
      <x:c r="A586" s="1"/>
      <x:c r="B586" s="1"/>
      <x:c r="C586" s="1"/>
      <x:c r="D586" s="1"/>
      <x:c r="E586" s="1"/>
      <x:c r="F586" s="1"/>
      <x:c r="G586" s="1"/>
      <x:c r="H586" s="1"/>
      <x:c r="I586" s="1"/>
      <x:c r="J586" s="1"/>
      <x:c r="K586" s="1"/>
      <x:c r="L586" s="1"/>
      <x:c r="M586" s="1"/>
      <x:c r="N586" s="1"/>
      <x:c r="O586" s="1"/>
      <x:c r="P586" s="1"/>
      <x:c r="Q586" s="1"/>
      <x:c r="R586" s="1"/>
      <x:c r="S586" s="1"/>
    </x:row>
    <x:row r="587" ht="26" customHeight="1">
      <x:c r="A587" s="1"/>
      <x:c r="B587" s="1"/>
      <x:c r="C587" s="1"/>
      <x:c r="D587" s="1"/>
      <x:c r="E587" s="1"/>
      <x:c r="F587" s="1"/>
      <x:c r="G587" s="1"/>
      <x:c r="H587" s="1"/>
      <x:c r="I587" s="1"/>
      <x:c r="J587" s="1"/>
      <x:c r="K587" s="1"/>
      <x:c r="L587" s="1"/>
      <x:c r="M587" s="1"/>
      <x:c r="N587" s="1"/>
      <x:c r="O587" s="1"/>
      <x:c r="P587" s="1"/>
      <x:c r="Q587" s="1"/>
      <x:c r="R587" s="1"/>
      <x:c r="S587" s="1"/>
    </x:row>
    <x:row r="588" ht="26" customHeight="1">
      <x:c r="A588" s="1"/>
      <x:c r="B588" s="1"/>
      <x:c r="C588" s="1"/>
      <x:c r="D588" s="1"/>
      <x:c r="E588" s="1"/>
      <x:c r="F588" s="1"/>
      <x:c r="G588" s="1"/>
      <x:c r="H588" s="1"/>
      <x:c r="I588" s="1"/>
      <x:c r="J588" s="1"/>
      <x:c r="K588" s="1"/>
      <x:c r="L588" s="1"/>
      <x:c r="M588" s="1"/>
      <x:c r="N588" s="1"/>
      <x:c r="O588" s="1"/>
      <x:c r="P588" s="1"/>
      <x:c r="Q588" s="1"/>
      <x:c r="R588" s="1"/>
      <x:c r="S588" s="1"/>
    </x:row>
    <x:row r="589" ht="26" customHeight="1">
      <x:c r="A589" s="1"/>
      <x:c r="B589" s="1"/>
      <x:c r="C589" s="1"/>
      <x:c r="D589" s="1"/>
      <x:c r="E589" s="1"/>
      <x:c r="F589" s="1"/>
      <x:c r="G589" s="1"/>
      <x:c r="H589" s="1"/>
      <x:c r="I589" s="1"/>
      <x:c r="J589" s="1"/>
      <x:c r="K589" s="1"/>
      <x:c r="L589" s="1"/>
      <x:c r="M589" s="1"/>
      <x:c r="N589" s="1"/>
      <x:c r="O589" s="1"/>
      <x:c r="P589" s="1"/>
      <x:c r="Q589" s="1"/>
      <x:c r="R589" s="1"/>
      <x:c r="S589" s="1"/>
    </x:row>
    <x:row r="590" ht="26" customHeight="1">
      <x:c r="A590" s="1"/>
      <x:c r="B590" s="1"/>
      <x:c r="C590" s="1"/>
      <x:c r="D590" s="1"/>
      <x:c r="E590" s="1"/>
      <x:c r="F590" s="1"/>
      <x:c r="G590" s="1"/>
      <x:c r="H590" s="1"/>
      <x:c r="I590" s="1"/>
      <x:c r="J590" s="1"/>
      <x:c r="K590" s="1"/>
      <x:c r="L590" s="1"/>
      <x:c r="M590" s="1"/>
      <x:c r="N590" s="1"/>
      <x:c r="O590" s="1"/>
      <x:c r="P590" s="1"/>
      <x:c r="Q590" s="1"/>
      <x:c r="R590" s="1"/>
      <x:c r="S590" s="1"/>
    </x:row>
    <x:row r="591" ht="26" customHeight="1">
      <x:c r="A591" s="1"/>
      <x:c r="B591" s="1"/>
      <x:c r="C591" s="1"/>
      <x:c r="D591" s="1"/>
      <x:c r="E591" s="1"/>
      <x:c r="F591" s="1"/>
      <x:c r="G591" s="1"/>
      <x:c r="H591" s="1"/>
      <x:c r="I591" s="1"/>
      <x:c r="J591" s="1"/>
      <x:c r="K591" s="1"/>
      <x:c r="L591" s="1"/>
      <x:c r="M591" s="1"/>
      <x:c r="N591" s="1"/>
      <x:c r="O591" s="1"/>
      <x:c r="P591" s="1"/>
      <x:c r="Q591" s="1"/>
      <x:c r="R591" s="1"/>
      <x:c r="S591" s="1"/>
    </x:row>
    <x:row r="592" ht="26" customHeight="1">
      <x:c r="A592" s="1"/>
      <x:c r="B592" s="1"/>
      <x:c r="C592" s="1"/>
      <x:c r="D592" s="1"/>
      <x:c r="E592" s="1"/>
      <x:c r="F592" s="1"/>
      <x:c r="G592" s="1"/>
      <x:c r="H592" s="1"/>
      <x:c r="I592" s="1"/>
      <x:c r="J592" s="1"/>
      <x:c r="K592" s="1"/>
      <x:c r="L592" s="1"/>
      <x:c r="M592" s="1"/>
      <x:c r="N592" s="1"/>
      <x:c r="O592" s="1"/>
      <x:c r="P592" s="1"/>
      <x:c r="Q592" s="1"/>
      <x:c r="R592" s="1"/>
      <x:c r="S592" s="1"/>
    </x:row>
    <x:row r="593" ht="26" customHeight="1">
      <x:c r="A593" s="1"/>
      <x:c r="B593" s="1"/>
      <x:c r="C593" s="1"/>
      <x:c r="D593" s="1"/>
      <x:c r="E593" s="1"/>
      <x:c r="F593" s="1"/>
      <x:c r="G593" s="1"/>
      <x:c r="H593" s="1"/>
      <x:c r="I593" s="1"/>
      <x:c r="J593" s="1"/>
      <x:c r="K593" s="1"/>
      <x:c r="L593" s="1"/>
      <x:c r="M593" s="1"/>
      <x:c r="N593" s="1"/>
      <x:c r="O593" s="1"/>
      <x:c r="P593" s="1"/>
      <x:c r="Q593" s="1"/>
      <x:c r="R593" s="1"/>
      <x:c r="S593" s="1"/>
    </x:row>
    <x:row r="594" ht="26" customHeight="1">
      <x:c r="A594" s="1"/>
      <x:c r="B594" s="1"/>
      <x:c r="C594" s="1"/>
      <x:c r="D594" s="1"/>
      <x:c r="E594" s="1"/>
      <x:c r="F594" s="1"/>
      <x:c r="G594" s="1"/>
      <x:c r="H594" s="1"/>
      <x:c r="I594" s="1"/>
      <x:c r="J594" s="1"/>
      <x:c r="K594" s="1"/>
      <x:c r="L594" s="1"/>
      <x:c r="M594" s="1"/>
      <x:c r="N594" s="1"/>
      <x:c r="O594" s="1"/>
      <x:c r="P594" s="1"/>
      <x:c r="Q594" s="1"/>
      <x:c r="R594" s="1"/>
      <x:c r="S594" s="1"/>
    </x:row>
    <x:row r="595" ht="26" customHeight="1">
      <x:c r="A595" s="1"/>
      <x:c r="B595" s="1"/>
      <x:c r="C595" s="1"/>
      <x:c r="D595" s="1"/>
      <x:c r="E595" s="1"/>
      <x:c r="F595" s="1"/>
      <x:c r="G595" s="1"/>
      <x:c r="H595" s="1"/>
      <x:c r="I595" s="1"/>
      <x:c r="J595" s="1"/>
      <x:c r="K595" s="1"/>
      <x:c r="L595" s="1"/>
      <x:c r="M595" s="1"/>
      <x:c r="N595" s="1"/>
      <x:c r="O595" s="1"/>
      <x:c r="P595" s="1"/>
      <x:c r="Q595" s="1"/>
      <x:c r="R595" s="1"/>
      <x:c r="S595" s="1"/>
    </x:row>
    <x:row r="596" ht="26" customHeight="1">
      <x:c r="A596" s="1"/>
      <x:c r="B596" s="1"/>
      <x:c r="C596" s="1"/>
      <x:c r="D596" s="1"/>
      <x:c r="E596" s="1"/>
      <x:c r="F596" s="1"/>
      <x:c r="G596" s="1"/>
      <x:c r="H596" s="1"/>
      <x:c r="I596" s="1"/>
      <x:c r="J596" s="1"/>
      <x:c r="K596" s="1"/>
      <x:c r="L596" s="1"/>
      <x:c r="M596" s="1"/>
      <x:c r="N596" s="1"/>
      <x:c r="O596" s="1"/>
      <x:c r="P596" s="1"/>
      <x:c r="Q596" s="1"/>
      <x:c r="R596" s="1"/>
      <x:c r="S596" s="1"/>
    </x:row>
    <x:row r="597" ht="26" customHeight="1">
      <x:c r="A597" s="1"/>
      <x:c r="B597" s="1"/>
      <x:c r="C597" s="1"/>
      <x:c r="D597" s="1"/>
      <x:c r="E597" s="1"/>
      <x:c r="F597" s="1"/>
      <x:c r="G597" s="1"/>
      <x:c r="H597" s="1"/>
      <x:c r="I597" s="1"/>
      <x:c r="J597" s="1"/>
      <x:c r="K597" s="1"/>
      <x:c r="L597" s="1"/>
      <x:c r="M597" s="1"/>
      <x:c r="N597" s="1"/>
      <x:c r="O597" s="1"/>
      <x:c r="P597" s="1"/>
      <x:c r="Q597" s="1"/>
      <x:c r="R597" s="1"/>
      <x:c r="S597" s="1"/>
    </x:row>
    <x:row r="598" ht="26" customHeight="1">
      <x:c r="A598" s="1"/>
      <x:c r="B598" s="1"/>
      <x:c r="C598" s="1"/>
      <x:c r="D598" s="1"/>
      <x:c r="E598" s="1"/>
      <x:c r="F598" s="1"/>
      <x:c r="G598" s="1"/>
      <x:c r="H598" s="1"/>
      <x:c r="I598" s="1"/>
      <x:c r="J598" s="1"/>
      <x:c r="K598" s="1"/>
      <x:c r="L598" s="1"/>
      <x:c r="M598" s="1"/>
      <x:c r="N598" s="1"/>
      <x:c r="O598" s="1"/>
      <x:c r="P598" s="1"/>
      <x:c r="Q598" s="1"/>
      <x:c r="R598" s="1"/>
      <x:c r="S598" s="1"/>
    </x:row>
    <x:row r="599" ht="26" customHeight="1">
      <x:c r="A599" s="1"/>
      <x:c r="B599" s="1"/>
      <x:c r="C599" s="1"/>
      <x:c r="D599" s="1"/>
      <x:c r="E599" s="1"/>
      <x:c r="F599" s="1"/>
      <x:c r="G599" s="1"/>
      <x:c r="H599" s="1"/>
      <x:c r="I599" s="1"/>
      <x:c r="J599" s="1"/>
      <x:c r="K599" s="1"/>
      <x:c r="L599" s="1"/>
      <x:c r="M599" s="1"/>
      <x:c r="N599" s="1"/>
      <x:c r="O599" s="1"/>
      <x:c r="P599" s="1"/>
      <x:c r="Q599" s="1"/>
      <x:c r="R599" s="1"/>
      <x:c r="S599" s="1"/>
    </x:row>
    <x:row r="600" ht="26" customHeight="1">
      <x:c r="A600" s="1"/>
      <x:c r="B600" s="1"/>
      <x:c r="C600" s="1"/>
      <x:c r="D600" s="1"/>
      <x:c r="E600" s="1"/>
      <x:c r="F600" s="1"/>
      <x:c r="G600" s="1"/>
      <x:c r="H600" s="1"/>
      <x:c r="I600" s="1"/>
      <x:c r="J600" s="1"/>
      <x:c r="K600" s="1"/>
      <x:c r="L600" s="1"/>
      <x:c r="M600" s="1"/>
      <x:c r="N600" s="1"/>
      <x:c r="O600" s="1"/>
      <x:c r="P600" s="1"/>
      <x:c r="Q600" s="1"/>
      <x:c r="R600" s="1"/>
      <x:c r="S600" s="1"/>
    </x:row>
    <x:row r="601" ht="26" customHeight="1">
      <x:c r="A601" s="1"/>
      <x:c r="B601" s="1"/>
      <x:c r="C601" s="1"/>
      <x:c r="D601" s="1"/>
      <x:c r="E601" s="1"/>
      <x:c r="F601" s="1"/>
      <x:c r="G601" s="1"/>
      <x:c r="H601" s="1"/>
      <x:c r="I601" s="1"/>
      <x:c r="J601" s="1"/>
      <x:c r="K601" s="1"/>
      <x:c r="L601" s="1"/>
      <x:c r="M601" s="1"/>
      <x:c r="N601" s="1"/>
      <x:c r="O601" s="1"/>
      <x:c r="P601" s="1"/>
      <x:c r="Q601" s="1"/>
      <x:c r="R601" s="1"/>
      <x:c r="S601" s="1"/>
    </x:row>
    <x:row r="602" ht="26" customHeight="1">
      <x:c r="A602" s="1"/>
      <x:c r="B602" s="1"/>
      <x:c r="C602" s="1"/>
      <x:c r="D602" s="1"/>
      <x:c r="E602" s="1"/>
      <x:c r="F602" s="1"/>
      <x:c r="G602" s="1"/>
      <x:c r="H602" s="1"/>
      <x:c r="I602" s="1"/>
      <x:c r="J602" s="1"/>
      <x:c r="K602" s="1"/>
      <x:c r="L602" s="1"/>
      <x:c r="M602" s="1"/>
      <x:c r="N602" s="1"/>
      <x:c r="O602" s="1"/>
      <x:c r="P602" s="1"/>
      <x:c r="Q602" s="1"/>
      <x:c r="R602" s="1"/>
      <x:c r="S602" s="1"/>
    </x:row>
    <x:row r="603" ht="26" customHeight="1">
      <x:c r="A603" s="1"/>
      <x:c r="B603" s="1"/>
      <x:c r="C603" s="1"/>
      <x:c r="D603" s="1"/>
      <x:c r="E603" s="1"/>
      <x:c r="F603" s="1"/>
      <x:c r="G603" s="1"/>
      <x:c r="H603" s="1"/>
      <x:c r="I603" s="1"/>
      <x:c r="J603" s="1"/>
      <x:c r="K603" s="1"/>
      <x:c r="L603" s="1"/>
      <x:c r="M603" s="1"/>
      <x:c r="N603" s="1"/>
      <x:c r="O603" s="1"/>
      <x:c r="P603" s="1"/>
      <x:c r="Q603" s="1"/>
      <x:c r="R603" s="1"/>
      <x:c r="S603" s="1"/>
    </x:row>
    <x:row r="604" ht="26" customHeight="1">
      <x:c r="A604" s="1"/>
      <x:c r="B604" s="1"/>
      <x:c r="C604" s="1"/>
      <x:c r="D604" s="1"/>
      <x:c r="E604" s="1"/>
      <x:c r="F604" s="1"/>
      <x:c r="G604" s="1"/>
      <x:c r="H604" s="1"/>
      <x:c r="I604" s="1"/>
      <x:c r="J604" s="1"/>
      <x:c r="K604" s="1"/>
      <x:c r="L604" s="1"/>
      <x:c r="M604" s="1"/>
      <x:c r="N604" s="1"/>
      <x:c r="O604" s="1"/>
      <x:c r="P604" s="1"/>
      <x:c r="Q604" s="1"/>
      <x:c r="R604" s="1"/>
      <x:c r="S604" s="1"/>
    </x:row>
    <x:row r="605" ht="26" customHeight="1">
      <x:c r="A605" s="1"/>
      <x:c r="B605" s="1"/>
      <x:c r="C605" s="1"/>
      <x:c r="D605" s="1"/>
      <x:c r="E605" s="1"/>
      <x:c r="F605" s="1"/>
      <x:c r="G605" s="1"/>
      <x:c r="H605" s="1"/>
      <x:c r="I605" s="1"/>
      <x:c r="J605" s="1"/>
      <x:c r="K605" s="1"/>
      <x:c r="L605" s="1"/>
      <x:c r="M605" s="1"/>
      <x:c r="N605" s="1"/>
      <x:c r="O605" s="1"/>
      <x:c r="P605" s="1"/>
      <x:c r="Q605" s="1"/>
      <x:c r="R605" s="1"/>
      <x:c r="S605" s="1"/>
    </x:row>
    <x:row r="606" ht="26" customHeight="1">
      <x:c r="A606" s="1"/>
      <x:c r="B606" s="1"/>
      <x:c r="C606" s="1"/>
      <x:c r="D606" s="1"/>
      <x:c r="E606" s="1"/>
      <x:c r="F606" s="1"/>
      <x:c r="G606" s="1"/>
      <x:c r="H606" s="1"/>
      <x:c r="I606" s="1"/>
      <x:c r="J606" s="1"/>
      <x:c r="K606" s="1"/>
      <x:c r="L606" s="1"/>
      <x:c r="M606" s="1"/>
      <x:c r="N606" s="1"/>
      <x:c r="O606" s="1"/>
      <x:c r="P606" s="1"/>
      <x:c r="Q606" s="1"/>
      <x:c r="R606" s="1"/>
      <x:c r="S606" s="1"/>
    </x:row>
    <x:row r="607" ht="26" customHeight="1">
      <x:c r="A607" s="1"/>
      <x:c r="B607" s="1"/>
      <x:c r="C607" s="1"/>
      <x:c r="D607" s="1"/>
      <x:c r="E607" s="1"/>
      <x:c r="F607" s="1"/>
      <x:c r="G607" s="1"/>
      <x:c r="H607" s="1"/>
      <x:c r="I607" s="1"/>
      <x:c r="J607" s="1"/>
      <x:c r="K607" s="1"/>
      <x:c r="L607" s="1"/>
      <x:c r="M607" s="1"/>
      <x:c r="N607" s="1"/>
      <x:c r="O607" s="1"/>
      <x:c r="P607" s="1"/>
      <x:c r="Q607" s="1"/>
      <x:c r="R607" s="1"/>
      <x:c r="S607" s="1"/>
    </x:row>
    <x:row r="608" ht="26" customHeight="1">
      <x:c r="A608" s="1"/>
      <x:c r="B608" s="1"/>
      <x:c r="C608" s="1"/>
      <x:c r="D608" s="1"/>
      <x:c r="E608" s="1"/>
      <x:c r="F608" s="1"/>
      <x:c r="G608" s="1"/>
      <x:c r="H608" s="1"/>
      <x:c r="I608" s="1"/>
      <x:c r="J608" s="1"/>
      <x:c r="K608" s="1"/>
      <x:c r="L608" s="1"/>
      <x:c r="M608" s="1"/>
      <x:c r="N608" s="1"/>
      <x:c r="O608" s="1"/>
      <x:c r="P608" s="1"/>
      <x:c r="Q608" s="1"/>
      <x:c r="R608" s="1"/>
      <x:c r="S608" s="1"/>
    </x:row>
    <x:row r="609" ht="26" customHeight="1">
      <x:c r="A609" s="1"/>
      <x:c r="B609" s="1"/>
      <x:c r="C609" s="1"/>
      <x:c r="D609" s="1"/>
      <x:c r="E609" s="1"/>
      <x:c r="F609" s="1"/>
      <x:c r="G609" s="1"/>
      <x:c r="H609" s="1"/>
      <x:c r="I609" s="1"/>
      <x:c r="J609" s="1"/>
      <x:c r="K609" s="1"/>
      <x:c r="L609" s="1"/>
      <x:c r="M609" s="1"/>
      <x:c r="N609" s="1"/>
      <x:c r="O609" s="1"/>
      <x:c r="P609" s="1"/>
      <x:c r="Q609" s="1"/>
      <x:c r="R609" s="1"/>
      <x:c r="S609" s="1"/>
    </x:row>
    <x:row r="610" ht="26" customHeight="1">
      <x:c r="A610" s="1"/>
      <x:c r="B610" s="1"/>
      <x:c r="C610" s="1"/>
      <x:c r="D610" s="1"/>
      <x:c r="E610" s="1"/>
      <x:c r="F610" s="1"/>
      <x:c r="G610" s="1"/>
      <x:c r="H610" s="1"/>
      <x:c r="I610" s="1"/>
      <x:c r="J610" s="1"/>
      <x:c r="K610" s="1"/>
      <x:c r="L610" s="1"/>
      <x:c r="M610" s="1"/>
      <x:c r="N610" s="1"/>
      <x:c r="O610" s="1"/>
      <x:c r="P610" s="1"/>
      <x:c r="Q610" s="1"/>
      <x:c r="R610" s="1"/>
      <x:c r="S610" s="1"/>
    </x:row>
    <x:row r="611" ht="26" customHeight="1">
      <x:c r="A611" s="1"/>
      <x:c r="B611" s="1"/>
      <x:c r="C611" s="1"/>
      <x:c r="D611" s="1"/>
      <x:c r="E611" s="1"/>
      <x:c r="F611" s="1"/>
      <x:c r="G611" s="1"/>
      <x:c r="H611" s="1"/>
      <x:c r="I611" s="1"/>
      <x:c r="J611" s="1"/>
      <x:c r="K611" s="1"/>
      <x:c r="L611" s="1"/>
      <x:c r="M611" s="1"/>
      <x:c r="N611" s="1"/>
      <x:c r="O611" s="1"/>
      <x:c r="P611" s="1"/>
      <x:c r="Q611" s="1"/>
      <x:c r="R611" s="1"/>
      <x:c r="S611" s="1"/>
    </x:row>
    <x:row r="612" ht="26" customHeight="1">
      <x:c r="A612" s="1"/>
      <x:c r="B612" s="1"/>
      <x:c r="C612" s="1"/>
      <x:c r="D612" s="1"/>
      <x:c r="E612" s="1"/>
      <x:c r="F612" s="1"/>
      <x:c r="G612" s="1"/>
      <x:c r="H612" s="1"/>
      <x:c r="I612" s="1"/>
      <x:c r="J612" s="1"/>
      <x:c r="K612" s="1"/>
      <x:c r="L612" s="1"/>
      <x:c r="M612" s="1"/>
      <x:c r="N612" s="1"/>
      <x:c r="O612" s="1"/>
      <x:c r="P612" s="1"/>
      <x:c r="Q612" s="1"/>
      <x:c r="R612" s="1"/>
      <x:c r="S612" s="1"/>
    </x:row>
    <x:row r="613" ht="26" customHeight="1">
      <x:c r="A613" s="1"/>
      <x:c r="B613" s="1"/>
      <x:c r="C613" s="1"/>
      <x:c r="D613" s="1"/>
      <x:c r="E613" s="1"/>
      <x:c r="F613" s="1"/>
      <x:c r="G613" s="1"/>
      <x:c r="H613" s="1"/>
      <x:c r="I613" s="1"/>
      <x:c r="J613" s="1"/>
      <x:c r="K613" s="1"/>
      <x:c r="L613" s="1"/>
      <x:c r="M613" s="1"/>
      <x:c r="N613" s="1"/>
      <x:c r="O613" s="1"/>
      <x:c r="P613" s="1"/>
      <x:c r="Q613" s="1"/>
      <x:c r="R613" s="1"/>
      <x:c r="S613" s="1"/>
    </x:row>
    <x:row r="614" ht="26" customHeight="1">
      <x:c r="A614" s="1"/>
      <x:c r="B614" s="1"/>
      <x:c r="C614" s="1"/>
      <x:c r="D614" s="1"/>
      <x:c r="E614" s="1"/>
      <x:c r="F614" s="1"/>
      <x:c r="G614" s="1"/>
      <x:c r="H614" s="1"/>
      <x:c r="I614" s="1"/>
      <x:c r="J614" s="1"/>
      <x:c r="K614" s="1"/>
      <x:c r="L614" s="1"/>
      <x:c r="M614" s="1"/>
      <x:c r="N614" s="1"/>
      <x:c r="O614" s="1"/>
      <x:c r="P614" s="1"/>
      <x:c r="Q614" s="1"/>
      <x:c r="R614" s="1"/>
      <x:c r="S614" s="1"/>
    </x:row>
    <x:row r="615" ht="26" customHeight="1">
      <x:c r="A615" s="1"/>
      <x:c r="B615" s="1"/>
      <x:c r="C615" s="1"/>
      <x:c r="D615" s="1"/>
      <x:c r="E615" s="1"/>
      <x:c r="F615" s="1"/>
      <x:c r="G615" s="1"/>
      <x:c r="H615" s="1"/>
      <x:c r="I615" s="1"/>
      <x:c r="J615" s="1"/>
      <x:c r="K615" s="1"/>
      <x:c r="L615" s="1"/>
      <x:c r="M615" s="1"/>
      <x:c r="N615" s="1"/>
      <x:c r="O615" s="1"/>
      <x:c r="P615" s="1"/>
      <x:c r="Q615" s="1"/>
      <x:c r="R615" s="1"/>
      <x:c r="S615" s="1"/>
    </x:row>
    <x:row r="616" ht="26" customHeight="1">
      <x:c r="A616" s="1"/>
      <x:c r="B616" s="1"/>
      <x:c r="C616" s="1"/>
      <x:c r="D616" s="1"/>
      <x:c r="E616" s="1"/>
      <x:c r="F616" s="1"/>
      <x:c r="G616" s="1"/>
      <x:c r="H616" s="1"/>
      <x:c r="I616" s="1"/>
      <x:c r="J616" s="1"/>
      <x:c r="K616" s="1"/>
      <x:c r="L616" s="1"/>
      <x:c r="M616" s="1"/>
      <x:c r="N616" s="1"/>
      <x:c r="O616" s="1"/>
      <x:c r="P616" s="1"/>
      <x:c r="Q616" s="1"/>
      <x:c r="R616" s="1"/>
      <x:c r="S616" s="1"/>
    </x:row>
    <x:row r="617" ht="26" customHeight="1">
      <x:c r="A617" s="1"/>
      <x:c r="B617" s="1"/>
      <x:c r="C617" s="1"/>
      <x:c r="D617" s="1"/>
      <x:c r="E617" s="1"/>
      <x:c r="F617" s="1"/>
      <x:c r="G617" s="1"/>
      <x:c r="H617" s="1"/>
      <x:c r="I617" s="1"/>
      <x:c r="J617" s="1"/>
      <x:c r="K617" s="1"/>
      <x:c r="L617" s="1"/>
      <x:c r="M617" s="1"/>
      <x:c r="N617" s="1"/>
      <x:c r="O617" s="1"/>
      <x:c r="P617" s="1"/>
      <x:c r="Q617" s="1"/>
      <x:c r="R617" s="1"/>
      <x:c r="S617" s="1"/>
    </x:row>
    <x:row r="618" ht="26" customHeight="1">
      <x:c r="A618" s="1"/>
      <x:c r="B618" s="1"/>
      <x:c r="C618" s="1"/>
      <x:c r="D618" s="1"/>
      <x:c r="E618" s="1"/>
      <x:c r="F618" s="1"/>
      <x:c r="G618" s="1"/>
      <x:c r="H618" s="1"/>
      <x:c r="I618" s="1"/>
      <x:c r="J618" s="1"/>
      <x:c r="K618" s="1"/>
      <x:c r="L618" s="1"/>
      <x:c r="M618" s="1"/>
      <x:c r="N618" s="1"/>
      <x:c r="O618" s="1"/>
      <x:c r="P618" s="1"/>
      <x:c r="Q618" s="1"/>
      <x:c r="R618" s="1"/>
      <x:c r="S618" s="1"/>
    </x:row>
    <x:row r="619" ht="26" customHeight="1">
      <x:c r="A619" s="1"/>
      <x:c r="B619" s="1"/>
      <x:c r="C619" s="1"/>
      <x:c r="D619" s="1"/>
      <x:c r="E619" s="1"/>
      <x:c r="F619" s="1"/>
      <x:c r="G619" s="1"/>
      <x:c r="H619" s="1"/>
      <x:c r="I619" s="1"/>
      <x:c r="J619" s="1"/>
      <x:c r="K619" s="1"/>
      <x:c r="L619" s="1"/>
      <x:c r="M619" s="1"/>
      <x:c r="N619" s="1"/>
      <x:c r="O619" s="1"/>
      <x:c r="P619" s="1"/>
      <x:c r="Q619" s="1"/>
      <x:c r="R619" s="1"/>
      <x:c r="S619" s="1"/>
    </x:row>
    <x:row r="620" ht="26" customHeight="1">
      <x:c r="A620" s="1"/>
      <x:c r="B620" s="1"/>
      <x:c r="C620" s="1"/>
      <x:c r="D620" s="1"/>
      <x:c r="E620" s="1"/>
      <x:c r="F620" s="1"/>
      <x:c r="G620" s="1"/>
      <x:c r="H620" s="1"/>
      <x:c r="I620" s="1"/>
      <x:c r="J620" s="1"/>
      <x:c r="K620" s="1"/>
      <x:c r="L620" s="1"/>
      <x:c r="M620" s="1"/>
      <x:c r="N620" s="1"/>
      <x:c r="O620" s="1"/>
      <x:c r="P620" s="1"/>
      <x:c r="Q620" s="1"/>
      <x:c r="R620" s="1"/>
      <x:c r="S620" s="1"/>
    </x:row>
    <x:row r="621" ht="26" customHeight="1">
      <x:c r="A621" s="1"/>
      <x:c r="B621" s="1"/>
      <x:c r="C621" s="1"/>
      <x:c r="D621" s="1"/>
      <x:c r="E621" s="1"/>
      <x:c r="F621" s="1"/>
      <x:c r="G621" s="1"/>
      <x:c r="H621" s="1"/>
      <x:c r="I621" s="1"/>
      <x:c r="J621" s="1"/>
      <x:c r="K621" s="1"/>
      <x:c r="L621" s="1"/>
      <x:c r="M621" s="1"/>
      <x:c r="N621" s="1"/>
      <x:c r="O621" s="1"/>
      <x:c r="P621" s="1"/>
      <x:c r="Q621" s="1"/>
      <x:c r="R621" s="1"/>
      <x:c r="S621" s="1"/>
    </x:row>
    <x:row r="622" ht="26" customHeight="1">
      <x:c r="A622" s="1"/>
      <x:c r="B622" s="1"/>
      <x:c r="C622" s="1"/>
      <x:c r="D622" s="1"/>
      <x:c r="E622" s="1"/>
      <x:c r="F622" s="1"/>
      <x:c r="G622" s="1"/>
      <x:c r="H622" s="1"/>
      <x:c r="I622" s="1"/>
      <x:c r="J622" s="1"/>
      <x:c r="K622" s="1"/>
      <x:c r="L622" s="1"/>
      <x:c r="M622" s="1"/>
      <x:c r="N622" s="1"/>
      <x:c r="O622" s="1"/>
      <x:c r="P622" s="1"/>
      <x:c r="Q622" s="1"/>
      <x:c r="R622" s="1"/>
      <x:c r="S622" s="1"/>
    </x:row>
    <x:row r="623" ht="26" customHeight="1">
      <x:c r="A623" s="1"/>
      <x:c r="B623" s="1"/>
      <x:c r="C623" s="1"/>
      <x:c r="D623" s="1"/>
      <x:c r="E623" s="1"/>
      <x:c r="F623" s="1"/>
      <x:c r="G623" s="1"/>
      <x:c r="H623" s="1"/>
      <x:c r="I623" s="1"/>
      <x:c r="J623" s="1"/>
      <x:c r="K623" s="1"/>
      <x:c r="L623" s="1"/>
      <x:c r="M623" s="1"/>
      <x:c r="N623" s="1"/>
      <x:c r="O623" s="1"/>
      <x:c r="P623" s="1"/>
      <x:c r="Q623" s="1"/>
      <x:c r="R623" s="1"/>
      <x:c r="S623" s="1"/>
    </x:row>
    <x:row r="624" ht="26" customHeight="1">
      <x:c r="A624" s="1"/>
      <x:c r="B624" s="1"/>
      <x:c r="C624" s="1"/>
      <x:c r="D624" s="1"/>
      <x:c r="E624" s="1"/>
      <x:c r="F624" s="1"/>
      <x:c r="G624" s="1"/>
      <x:c r="H624" s="1"/>
      <x:c r="I624" s="1"/>
      <x:c r="J624" s="1"/>
      <x:c r="K624" s="1"/>
      <x:c r="L624" s="1"/>
      <x:c r="M624" s="1"/>
      <x:c r="N624" s="1"/>
      <x:c r="O624" s="1"/>
      <x:c r="P624" s="1"/>
      <x:c r="Q624" s="1"/>
      <x:c r="R624" s="1"/>
      <x:c r="S624" s="1"/>
    </x:row>
    <x:row r="625" ht="26" customHeight="1">
      <x:c r="A625" s="1"/>
      <x:c r="B625" s="1"/>
      <x:c r="C625" s="1"/>
      <x:c r="D625" s="1"/>
      <x:c r="E625" s="1"/>
      <x:c r="F625" s="1"/>
      <x:c r="G625" s="1"/>
      <x:c r="H625" s="1"/>
      <x:c r="I625" s="1"/>
      <x:c r="J625" s="1"/>
      <x:c r="K625" s="1"/>
      <x:c r="L625" s="1"/>
      <x:c r="M625" s="1"/>
      <x:c r="N625" s="1"/>
      <x:c r="O625" s="1"/>
      <x:c r="P625" s="1"/>
      <x:c r="Q625" s="1"/>
      <x:c r="R625" s="1"/>
      <x:c r="S625" s="1"/>
    </x:row>
    <x:row r="626" ht="26" customHeight="1">
      <x:c r="A626" s="1"/>
      <x:c r="B626" s="1"/>
      <x:c r="C626" s="1"/>
      <x:c r="D626" s="1"/>
      <x:c r="E626" s="1"/>
      <x:c r="F626" s="1"/>
      <x:c r="G626" s="1"/>
      <x:c r="H626" s="1"/>
      <x:c r="I626" s="1"/>
      <x:c r="J626" s="1"/>
      <x:c r="K626" s="1"/>
      <x:c r="L626" s="1"/>
      <x:c r="M626" s="1"/>
      <x:c r="N626" s="1"/>
      <x:c r="O626" s="1"/>
      <x:c r="P626" s="1"/>
      <x:c r="Q626" s="1"/>
      <x:c r="R626" s="1"/>
      <x:c r="S626" s="1"/>
    </x:row>
    <x:row r="627" ht="26" customHeight="1">
      <x:c r="A627" s="1"/>
      <x:c r="B627" s="1"/>
      <x:c r="C627" s="1"/>
      <x:c r="D627" s="1"/>
      <x:c r="E627" s="1"/>
      <x:c r="F627" s="1"/>
      <x:c r="G627" s="1"/>
      <x:c r="H627" s="1"/>
      <x:c r="I627" s="1"/>
      <x:c r="J627" s="1"/>
      <x:c r="K627" s="1"/>
      <x:c r="L627" s="1"/>
      <x:c r="M627" s="1"/>
      <x:c r="N627" s="1"/>
      <x:c r="O627" s="1"/>
      <x:c r="P627" s="1"/>
      <x:c r="Q627" s="1"/>
      <x:c r="R627" s="1"/>
      <x:c r="S627" s="1"/>
    </x:row>
    <x:row r="628" ht="26" customHeight="1">
      <x:c r="A628" s="1"/>
      <x:c r="B628" s="1"/>
      <x:c r="C628" s="1"/>
      <x:c r="D628" s="1"/>
      <x:c r="E628" s="1"/>
      <x:c r="F628" s="1"/>
      <x:c r="G628" s="1"/>
      <x:c r="H628" s="1"/>
      <x:c r="I628" s="1"/>
      <x:c r="J628" s="1"/>
      <x:c r="K628" s="1"/>
      <x:c r="L628" s="1"/>
      <x:c r="M628" s="1"/>
      <x:c r="N628" s="1"/>
      <x:c r="O628" s="1"/>
      <x:c r="P628" s="1"/>
      <x:c r="Q628" s="1"/>
      <x:c r="R628" s="1"/>
      <x:c r="S628" s="1"/>
    </x:row>
    <x:row r="629" ht="26" customHeight="1">
      <x:c r="A629" s="1"/>
      <x:c r="B629" s="1"/>
      <x:c r="C629" s="1"/>
      <x:c r="D629" s="1"/>
      <x:c r="E629" s="1"/>
      <x:c r="F629" s="1"/>
      <x:c r="G629" s="1"/>
      <x:c r="H629" s="1"/>
      <x:c r="I629" s="1"/>
      <x:c r="J629" s="1"/>
      <x:c r="K629" s="1"/>
      <x:c r="L629" s="1"/>
      <x:c r="M629" s="1"/>
      <x:c r="N629" s="1"/>
      <x:c r="O629" s="1"/>
      <x:c r="P629" s="1"/>
      <x:c r="Q629" s="1"/>
      <x:c r="R629" s="1"/>
      <x:c r="S629" s="1"/>
    </x:row>
    <x:row r="630" ht="26" customHeight="1">
      <x:c r="A630" s="1"/>
      <x:c r="B630" s="1"/>
      <x:c r="C630" s="1"/>
      <x:c r="D630" s="1"/>
      <x:c r="E630" s="1"/>
      <x:c r="F630" s="1"/>
      <x:c r="G630" s="1"/>
      <x:c r="H630" s="1"/>
      <x:c r="I630" s="1"/>
      <x:c r="J630" s="1"/>
      <x:c r="K630" s="1"/>
      <x:c r="L630" s="1"/>
      <x:c r="M630" s="1"/>
      <x:c r="N630" s="1"/>
      <x:c r="O630" s="1"/>
      <x:c r="P630" s="1"/>
      <x:c r="Q630" s="1"/>
      <x:c r="R630" s="1"/>
      <x:c r="S630" s="1"/>
    </x:row>
    <x:row r="631" ht="26" customHeight="1">
      <x:c r="A631" s="1"/>
      <x:c r="B631" s="1"/>
      <x:c r="C631" s="1"/>
      <x:c r="D631" s="1"/>
      <x:c r="E631" s="1"/>
      <x:c r="F631" s="1"/>
      <x:c r="G631" s="1"/>
      <x:c r="H631" s="1"/>
      <x:c r="I631" s="1"/>
      <x:c r="J631" s="1"/>
      <x:c r="K631" s="1"/>
      <x:c r="L631" s="1"/>
      <x:c r="M631" s="1"/>
      <x:c r="N631" s="1"/>
      <x:c r="O631" s="1"/>
      <x:c r="P631" s="1"/>
      <x:c r="Q631" s="1"/>
      <x:c r="R631" s="1"/>
      <x:c r="S631" s="1"/>
    </x:row>
    <x:row r="632" ht="26" customHeight="1">
      <x:c r="A632" s="1"/>
      <x:c r="B632" s="1"/>
      <x:c r="C632" s="1"/>
      <x:c r="D632" s="1"/>
      <x:c r="E632" s="1"/>
      <x:c r="F632" s="1"/>
      <x:c r="G632" s="1"/>
      <x:c r="H632" s="1"/>
      <x:c r="I632" s="1"/>
      <x:c r="J632" s="1"/>
      <x:c r="K632" s="1"/>
      <x:c r="L632" s="1"/>
      <x:c r="M632" s="1"/>
      <x:c r="N632" s="1"/>
      <x:c r="O632" s="1"/>
      <x:c r="P632" s="1"/>
      <x:c r="Q632" s="1"/>
      <x:c r="R632" s="1"/>
      <x:c r="S632" s="1"/>
    </x:row>
    <x:row r="633" ht="26" customHeight="1">
      <x:c r="A633" s="1"/>
      <x:c r="B633" s="1"/>
      <x:c r="C633" s="1"/>
      <x:c r="D633" s="1"/>
      <x:c r="E633" s="1"/>
      <x:c r="F633" s="1"/>
      <x:c r="G633" s="1"/>
      <x:c r="H633" s="1"/>
      <x:c r="I633" s="1"/>
      <x:c r="J633" s="1"/>
      <x:c r="K633" s="1"/>
      <x:c r="L633" s="1"/>
      <x:c r="M633" s="1"/>
      <x:c r="N633" s="1"/>
      <x:c r="O633" s="1"/>
      <x:c r="P633" s="1"/>
      <x:c r="Q633" s="1"/>
      <x:c r="R633" s="1"/>
      <x:c r="S633" s="1"/>
    </x:row>
    <x:row r="634" ht="26" customHeight="1">
      <x:c r="A634" s="1"/>
      <x:c r="B634" s="1"/>
      <x:c r="C634" s="1"/>
      <x:c r="D634" s="1"/>
      <x:c r="E634" s="1"/>
      <x:c r="F634" s="1"/>
      <x:c r="G634" s="1"/>
      <x:c r="H634" s="1"/>
      <x:c r="I634" s="1"/>
      <x:c r="J634" s="1"/>
      <x:c r="K634" s="1"/>
      <x:c r="L634" s="1"/>
      <x:c r="M634" s="1"/>
      <x:c r="N634" s="1"/>
      <x:c r="O634" s="1"/>
      <x:c r="P634" s="1"/>
      <x:c r="Q634" s="1"/>
      <x:c r="R634" s="1"/>
      <x:c r="S634" s="1"/>
    </x:row>
    <x:row r="635" ht="26" customHeight="1">
      <x:c r="A635" s="1"/>
      <x:c r="B635" s="1"/>
      <x:c r="C635" s="1"/>
      <x:c r="D635" s="1"/>
      <x:c r="E635" s="1"/>
      <x:c r="F635" s="1"/>
      <x:c r="G635" s="1"/>
      <x:c r="H635" s="1"/>
      <x:c r="I635" s="1"/>
      <x:c r="J635" s="1"/>
      <x:c r="K635" s="1"/>
      <x:c r="L635" s="1"/>
      <x:c r="M635" s="1"/>
      <x:c r="N635" s="1"/>
      <x:c r="O635" s="1"/>
      <x:c r="P635" s="1"/>
      <x:c r="Q635" s="1"/>
      <x:c r="R635" s="1"/>
      <x:c r="S635" s="1"/>
    </x:row>
    <x:row r="636" ht="26" customHeight="1">
      <x:c r="A636" s="1"/>
      <x:c r="B636" s="1"/>
      <x:c r="C636" s="1"/>
      <x:c r="D636" s="1"/>
      <x:c r="E636" s="1"/>
      <x:c r="F636" s="1"/>
      <x:c r="G636" s="1"/>
      <x:c r="H636" s="1"/>
      <x:c r="I636" s="1"/>
      <x:c r="J636" s="1"/>
      <x:c r="K636" s="1"/>
      <x:c r="L636" s="1"/>
      <x:c r="M636" s="1"/>
      <x:c r="N636" s="1"/>
      <x:c r="O636" s="1"/>
      <x:c r="P636" s="1"/>
      <x:c r="Q636" s="1"/>
      <x:c r="R636" s="1"/>
      <x:c r="S636" s="1"/>
    </x:row>
    <x:row r="637" ht="26" customHeight="1">
      <x:c r="A637" s="1"/>
      <x:c r="B637" s="1"/>
      <x:c r="C637" s="1"/>
      <x:c r="D637" s="1"/>
      <x:c r="E637" s="1"/>
      <x:c r="F637" s="1"/>
      <x:c r="G637" s="1"/>
      <x:c r="H637" s="1"/>
      <x:c r="I637" s="1"/>
      <x:c r="J637" s="1"/>
      <x:c r="K637" s="1"/>
      <x:c r="L637" s="1"/>
      <x:c r="M637" s="1"/>
      <x:c r="N637" s="1"/>
      <x:c r="O637" s="1"/>
      <x:c r="P637" s="1"/>
      <x:c r="Q637" s="1"/>
      <x:c r="R637" s="1"/>
      <x:c r="S637" s="1"/>
    </x:row>
    <x:row r="638" ht="26" customHeight="1">
      <x:c r="A638" s="1"/>
      <x:c r="B638" s="1"/>
      <x:c r="C638" s="1"/>
      <x:c r="D638" s="1"/>
      <x:c r="E638" s="1"/>
      <x:c r="F638" s="1"/>
      <x:c r="G638" s="1"/>
      <x:c r="H638" s="1"/>
      <x:c r="I638" s="1"/>
      <x:c r="J638" s="1"/>
      <x:c r="K638" s="1"/>
      <x:c r="L638" s="1"/>
      <x:c r="M638" s="1"/>
      <x:c r="N638" s="1"/>
      <x:c r="O638" s="1"/>
      <x:c r="P638" s="1"/>
      <x:c r="Q638" s="1"/>
      <x:c r="R638" s="1"/>
      <x:c r="S638" s="1"/>
    </x:row>
    <x:row r="639" ht="26" customHeight="1">
      <x:c r="A639" s="1"/>
      <x:c r="B639" s="1"/>
      <x:c r="C639" s="1"/>
      <x:c r="D639" s="1"/>
      <x:c r="E639" s="1"/>
      <x:c r="F639" s="1"/>
      <x:c r="G639" s="1"/>
      <x:c r="H639" s="1"/>
      <x:c r="I639" s="1"/>
      <x:c r="J639" s="1"/>
      <x:c r="K639" s="1"/>
      <x:c r="L639" s="1"/>
      <x:c r="M639" s="1"/>
      <x:c r="N639" s="1"/>
      <x:c r="O639" s="1"/>
      <x:c r="P639" s="1"/>
      <x:c r="Q639" s="1"/>
      <x:c r="R639" s="1"/>
      <x:c r="S639" s="1"/>
    </x:row>
    <x:row r="640" ht="26" customHeight="1">
      <x:c r="A640" s="1"/>
      <x:c r="B640" s="1"/>
      <x:c r="C640" s="1"/>
      <x:c r="D640" s="1"/>
      <x:c r="E640" s="1"/>
      <x:c r="F640" s="1"/>
      <x:c r="G640" s="1"/>
      <x:c r="H640" s="1"/>
      <x:c r="I640" s="1"/>
      <x:c r="J640" s="1"/>
      <x:c r="K640" s="1"/>
      <x:c r="L640" s="1"/>
      <x:c r="M640" s="1"/>
      <x:c r="N640" s="1"/>
      <x:c r="O640" s="1"/>
      <x:c r="P640" s="1"/>
      <x:c r="Q640" s="1"/>
      <x:c r="R640" s="1"/>
      <x:c r="S640" s="1"/>
    </x:row>
    <x:row r="641" ht="26" customHeight="1">
      <x:c r="A641" s="1"/>
      <x:c r="B641" s="1"/>
      <x:c r="C641" s="1"/>
      <x:c r="D641" s="1"/>
      <x:c r="E641" s="1"/>
      <x:c r="F641" s="1"/>
      <x:c r="G641" s="1"/>
      <x:c r="H641" s="1"/>
      <x:c r="I641" s="1"/>
      <x:c r="J641" s="1"/>
      <x:c r="K641" s="1"/>
      <x:c r="L641" s="1"/>
      <x:c r="M641" s="1"/>
      <x:c r="N641" s="1"/>
      <x:c r="O641" s="1"/>
      <x:c r="P641" s="1"/>
      <x:c r="Q641" s="1"/>
      <x:c r="R641" s="1"/>
      <x:c r="S641" s="1"/>
    </x:row>
    <x:row r="642" ht="26" customHeight="1">
      <x:c r="A642" s="1"/>
      <x:c r="B642" s="1"/>
      <x:c r="C642" s="1"/>
      <x:c r="D642" s="1"/>
      <x:c r="E642" s="1"/>
      <x:c r="F642" s="1"/>
      <x:c r="G642" s="1"/>
      <x:c r="H642" s="1"/>
      <x:c r="I642" s="1"/>
      <x:c r="J642" s="1"/>
      <x:c r="K642" s="1"/>
      <x:c r="L642" s="1"/>
      <x:c r="M642" s="1"/>
      <x:c r="N642" s="1"/>
      <x:c r="O642" s="1"/>
      <x:c r="P642" s="1"/>
      <x:c r="Q642" s="1"/>
      <x:c r="R642" s="1"/>
      <x:c r="S642" s="1"/>
    </x:row>
    <x:row r="643" ht="26" customHeight="1">
      <x:c r="A643" s="1"/>
      <x:c r="B643" s="1"/>
      <x:c r="C643" s="1"/>
      <x:c r="D643" s="1"/>
      <x:c r="E643" s="1"/>
      <x:c r="F643" s="1"/>
      <x:c r="G643" s="1"/>
      <x:c r="H643" s="1"/>
      <x:c r="I643" s="1"/>
      <x:c r="J643" s="1"/>
      <x:c r="K643" s="1"/>
      <x:c r="L643" s="1"/>
      <x:c r="M643" s="1"/>
      <x:c r="N643" s="1"/>
      <x:c r="O643" s="1"/>
      <x:c r="P643" s="1"/>
      <x:c r="Q643" s="1"/>
      <x:c r="R643" s="1"/>
      <x:c r="S643" s="1"/>
    </x:row>
    <x:row r="644" ht="26" customHeight="1">
      <x:c r="A644" s="1"/>
      <x:c r="B644" s="1"/>
      <x:c r="C644" s="1"/>
      <x:c r="D644" s="1"/>
      <x:c r="E644" s="1"/>
      <x:c r="F644" s="1"/>
      <x:c r="G644" s="1"/>
      <x:c r="H644" s="1"/>
      <x:c r="I644" s="1"/>
      <x:c r="J644" s="1"/>
      <x:c r="K644" s="1"/>
      <x:c r="L644" s="1"/>
      <x:c r="M644" s="1"/>
      <x:c r="N644" s="1"/>
      <x:c r="O644" s="1"/>
      <x:c r="P644" s="1"/>
      <x:c r="Q644" s="1"/>
      <x:c r="R644" s="1"/>
      <x:c r="S644" s="1"/>
    </x:row>
    <x:row r="645" ht="26" customHeight="1">
      <x:c r="A645" s="1"/>
      <x:c r="B645" s="1"/>
      <x:c r="C645" s="1"/>
      <x:c r="D645" s="1"/>
      <x:c r="E645" s="1"/>
      <x:c r="F645" s="1"/>
      <x:c r="G645" s="1"/>
      <x:c r="H645" s="1"/>
      <x:c r="I645" s="1"/>
      <x:c r="J645" s="1"/>
      <x:c r="K645" s="1"/>
      <x:c r="L645" s="1"/>
      <x:c r="M645" s="1"/>
      <x:c r="N645" s="1"/>
      <x:c r="O645" s="1"/>
      <x:c r="P645" s="1"/>
      <x:c r="Q645" s="1"/>
      <x:c r="R645" s="1"/>
      <x:c r="S645" s="1"/>
    </x:row>
    <x:row r="646" ht="26" customHeight="1">
      <x:c r="A646" s="1"/>
      <x:c r="B646" s="1"/>
      <x:c r="C646" s="1"/>
      <x:c r="D646" s="1"/>
      <x:c r="E646" s="1"/>
      <x:c r="F646" s="1"/>
      <x:c r="G646" s="1"/>
      <x:c r="H646" s="1"/>
      <x:c r="I646" s="1"/>
      <x:c r="J646" s="1"/>
      <x:c r="K646" s="1"/>
      <x:c r="L646" s="1"/>
      <x:c r="M646" s="1"/>
      <x:c r="N646" s="1"/>
      <x:c r="O646" s="1"/>
      <x:c r="P646" s="1"/>
      <x:c r="Q646" s="1"/>
      <x:c r="R646" s="1"/>
      <x:c r="S646" s="1"/>
    </x:row>
    <x:row r="647" ht="26" customHeight="1">
      <x:c r="A647" s="1"/>
      <x:c r="B647" s="1"/>
      <x:c r="C647" s="1"/>
      <x:c r="D647" s="1"/>
      <x:c r="E647" s="1"/>
      <x:c r="F647" s="1"/>
      <x:c r="G647" s="1"/>
      <x:c r="H647" s="1"/>
      <x:c r="I647" s="1"/>
      <x:c r="J647" s="1"/>
      <x:c r="K647" s="1"/>
      <x:c r="L647" s="1"/>
      <x:c r="M647" s="1"/>
      <x:c r="N647" s="1"/>
      <x:c r="O647" s="1"/>
      <x:c r="P647" s="1"/>
      <x:c r="Q647" s="1"/>
      <x:c r="R647" s="1"/>
      <x:c r="S647" s="1"/>
    </x:row>
    <x:row r="648" ht="26" customHeight="1">
      <x:c r="A648" s="1"/>
      <x:c r="B648" s="1"/>
      <x:c r="C648" s="1"/>
      <x:c r="D648" s="1"/>
      <x:c r="E648" s="1"/>
      <x:c r="F648" s="1"/>
      <x:c r="G648" s="1"/>
      <x:c r="H648" s="1"/>
      <x:c r="I648" s="1"/>
      <x:c r="J648" s="1"/>
      <x:c r="K648" s="1"/>
      <x:c r="L648" s="1"/>
      <x:c r="M648" s="1"/>
      <x:c r="N648" s="1"/>
      <x:c r="O648" s="1"/>
      <x:c r="P648" s="1"/>
      <x:c r="Q648" s="1"/>
      <x:c r="R648" s="1"/>
      <x:c r="S648" s="1"/>
    </x:row>
    <x:row r="649" ht="26" customHeight="1">
      <x:c r="A649" s="1"/>
      <x:c r="B649" s="1"/>
      <x:c r="C649" s="1"/>
      <x:c r="D649" s="1"/>
      <x:c r="E649" s="1"/>
      <x:c r="F649" s="1"/>
      <x:c r="G649" s="1"/>
      <x:c r="H649" s="1"/>
      <x:c r="I649" s="1"/>
      <x:c r="J649" s="1"/>
      <x:c r="K649" s="1"/>
      <x:c r="L649" s="1"/>
      <x:c r="M649" s="1"/>
      <x:c r="N649" s="1"/>
      <x:c r="O649" s="1"/>
      <x:c r="P649" s="1"/>
      <x:c r="Q649" s="1"/>
      <x:c r="R649" s="1"/>
      <x:c r="S649" s="1"/>
    </x:row>
    <x:row r="650" ht="26" customHeight="1">
      <x:c r="A650" s="1"/>
      <x:c r="B650" s="1"/>
      <x:c r="C650" s="1"/>
      <x:c r="D650" s="1"/>
      <x:c r="E650" s="1"/>
      <x:c r="F650" s="1"/>
      <x:c r="G650" s="1"/>
      <x:c r="H650" s="1"/>
      <x:c r="I650" s="1"/>
      <x:c r="J650" s="1"/>
      <x:c r="K650" s="1"/>
      <x:c r="L650" s="1"/>
      <x:c r="M650" s="1"/>
      <x:c r="N650" s="1"/>
      <x:c r="O650" s="1"/>
      <x:c r="P650" s="1"/>
      <x:c r="Q650" s="1"/>
      <x:c r="R650" s="1"/>
      <x:c r="S650" s="1"/>
    </x:row>
    <x:row r="651" ht="26" customHeight="1">
      <x:c r="A651" s="1"/>
      <x:c r="B651" s="1"/>
      <x:c r="C651" s="1"/>
      <x:c r="D651" s="1"/>
      <x:c r="E651" s="1"/>
      <x:c r="F651" s="1"/>
      <x:c r="G651" s="1"/>
      <x:c r="H651" s="1"/>
      <x:c r="I651" s="1"/>
      <x:c r="J651" s="1"/>
      <x:c r="K651" s="1"/>
      <x:c r="L651" s="1"/>
      <x:c r="M651" s="1"/>
      <x:c r="N651" s="1"/>
      <x:c r="O651" s="1"/>
      <x:c r="P651" s="1"/>
      <x:c r="Q651" s="1"/>
      <x:c r="R651" s="1"/>
      <x:c r="S651" s="1"/>
    </x:row>
    <x:row r="652" ht="26" customHeight="1">
      <x:c r="A652" s="1"/>
      <x:c r="B652" s="1"/>
      <x:c r="C652" s="1"/>
      <x:c r="D652" s="1"/>
      <x:c r="E652" s="1"/>
      <x:c r="F652" s="1"/>
      <x:c r="G652" s="1"/>
      <x:c r="H652" s="1"/>
      <x:c r="I652" s="1"/>
      <x:c r="J652" s="1"/>
      <x:c r="K652" s="1"/>
      <x:c r="L652" s="1"/>
      <x:c r="M652" s="1"/>
      <x:c r="N652" s="1"/>
      <x:c r="O652" s="1"/>
      <x:c r="P652" s="1"/>
      <x:c r="Q652" s="1"/>
      <x:c r="R652" s="1"/>
      <x:c r="S652" s="1"/>
    </x:row>
    <x:row r="653" ht="26" customHeight="1">
      <x:c r="A653" s="1"/>
      <x:c r="B653" s="1"/>
      <x:c r="C653" s="1"/>
      <x:c r="D653" s="1"/>
      <x:c r="E653" s="1"/>
      <x:c r="F653" s="1"/>
      <x:c r="G653" s="1"/>
      <x:c r="H653" s="1"/>
      <x:c r="I653" s="1"/>
      <x:c r="J653" s="1"/>
      <x:c r="K653" s="1"/>
      <x:c r="L653" s="1"/>
      <x:c r="M653" s="1"/>
      <x:c r="N653" s="1"/>
      <x:c r="O653" s="1"/>
      <x:c r="P653" s="1"/>
      <x:c r="Q653" s="1"/>
      <x:c r="R653" s="1"/>
      <x:c r="S653" s="1"/>
    </x:row>
    <x:row r="654" ht="26" customHeight="1">
      <x:c r="A654" s="1"/>
      <x:c r="B654" s="1"/>
      <x:c r="C654" s="1"/>
      <x:c r="D654" s="1"/>
      <x:c r="E654" s="1"/>
      <x:c r="F654" s="1"/>
      <x:c r="G654" s="1"/>
      <x:c r="H654" s="1"/>
      <x:c r="I654" s="1"/>
      <x:c r="J654" s="1"/>
      <x:c r="K654" s="1"/>
      <x:c r="L654" s="1"/>
      <x:c r="M654" s="1"/>
      <x:c r="N654" s="1"/>
      <x:c r="O654" s="1"/>
      <x:c r="P654" s="1"/>
      <x:c r="Q654" s="1"/>
      <x:c r="R654" s="1"/>
      <x:c r="S654" s="1"/>
    </x:row>
    <x:row r="655" ht="26" customHeight="1">
      <x:c r="A655" s="1"/>
      <x:c r="B655" s="1"/>
      <x:c r="C655" s="1"/>
      <x:c r="D655" s="1"/>
      <x:c r="E655" s="1"/>
      <x:c r="F655" s="1"/>
      <x:c r="G655" s="1"/>
      <x:c r="H655" s="1"/>
      <x:c r="I655" s="1"/>
      <x:c r="J655" s="1"/>
      <x:c r="K655" s="1"/>
      <x:c r="L655" s="1"/>
      <x:c r="M655" s="1"/>
      <x:c r="N655" s="1"/>
      <x:c r="O655" s="1"/>
      <x:c r="P655" s="1"/>
      <x:c r="Q655" s="1"/>
      <x:c r="R655" s="1"/>
      <x:c r="S655" s="1"/>
    </x:row>
    <x:row r="656" ht="26" customHeight="1">
      <x:c r="A656" s="1"/>
      <x:c r="B656" s="1"/>
      <x:c r="C656" s="1"/>
      <x:c r="D656" s="1"/>
      <x:c r="E656" s="1"/>
      <x:c r="F656" s="1"/>
      <x:c r="G656" s="1"/>
      <x:c r="H656" s="1"/>
      <x:c r="I656" s="1"/>
      <x:c r="J656" s="1"/>
      <x:c r="K656" s="1"/>
      <x:c r="L656" s="1"/>
      <x:c r="M656" s="1"/>
      <x:c r="N656" s="1"/>
      <x:c r="O656" s="1"/>
      <x:c r="P656" s="1"/>
      <x:c r="Q656" s="1"/>
      <x:c r="R656" s="1"/>
      <x:c r="S656" s="1"/>
    </x:row>
    <x:row r="657" ht="26" customHeight="1">
      <x:c r="A657" s="1"/>
      <x:c r="B657" s="1"/>
      <x:c r="C657" s="1"/>
      <x:c r="D657" s="1"/>
      <x:c r="E657" s="1"/>
      <x:c r="F657" s="1"/>
      <x:c r="G657" s="1"/>
      <x:c r="H657" s="1"/>
      <x:c r="I657" s="1"/>
      <x:c r="J657" s="1"/>
      <x:c r="K657" s="1"/>
      <x:c r="L657" s="1"/>
      <x:c r="M657" s="1"/>
      <x:c r="N657" s="1"/>
      <x:c r="O657" s="1"/>
      <x:c r="P657" s="1"/>
      <x:c r="Q657" s="1"/>
      <x:c r="R657" s="1"/>
      <x:c r="S657" s="1"/>
    </x:row>
    <x:row r="658" ht="26" customHeight="1">
      <x:c r="A658" s="1"/>
      <x:c r="B658" s="1"/>
      <x:c r="C658" s="1"/>
      <x:c r="D658" s="1"/>
      <x:c r="E658" s="1"/>
      <x:c r="F658" s="1"/>
      <x:c r="G658" s="1"/>
      <x:c r="H658" s="1"/>
      <x:c r="I658" s="1"/>
      <x:c r="J658" s="1"/>
      <x:c r="K658" s="1"/>
      <x:c r="L658" s="1"/>
      <x:c r="M658" s="1"/>
      <x:c r="N658" s="1"/>
      <x:c r="O658" s="1"/>
      <x:c r="P658" s="1"/>
      <x:c r="Q658" s="1"/>
      <x:c r="R658" s="1"/>
      <x:c r="S658" s="1"/>
    </x:row>
    <x:row r="659" ht="26" customHeight="1">
      <x:c r="A659" s="1"/>
      <x:c r="B659" s="1"/>
      <x:c r="C659" s="1"/>
      <x:c r="D659" s="1"/>
      <x:c r="E659" s="1"/>
      <x:c r="F659" s="1"/>
      <x:c r="G659" s="1"/>
      <x:c r="H659" s="1"/>
      <x:c r="I659" s="1"/>
      <x:c r="J659" s="1"/>
      <x:c r="K659" s="1"/>
      <x:c r="L659" s="1"/>
      <x:c r="M659" s="1"/>
      <x:c r="N659" s="1"/>
      <x:c r="O659" s="1"/>
      <x:c r="P659" s="1"/>
      <x:c r="Q659" s="1"/>
      <x:c r="R659" s="1"/>
      <x:c r="S659" s="1"/>
    </x:row>
    <x:row r="660" ht="26" customHeight="1">
      <x:c r="A660" s="1"/>
      <x:c r="B660" s="1"/>
      <x:c r="C660" s="1"/>
      <x:c r="D660" s="1"/>
      <x:c r="E660" s="1"/>
      <x:c r="F660" s="1"/>
      <x:c r="G660" s="1"/>
      <x:c r="H660" s="1"/>
      <x:c r="I660" s="1"/>
      <x:c r="J660" s="1"/>
      <x:c r="K660" s="1"/>
      <x:c r="L660" s="1"/>
      <x:c r="M660" s="1"/>
      <x:c r="N660" s="1"/>
      <x:c r="O660" s="1"/>
      <x:c r="P660" s="1"/>
      <x:c r="Q660" s="1"/>
      <x:c r="R660" s="1"/>
      <x:c r="S660" s="1"/>
    </x:row>
    <x:row r="661" ht="26" customHeight="1">
      <x:c r="A661" s="1"/>
      <x:c r="B661" s="1"/>
      <x:c r="C661" s="1"/>
      <x:c r="D661" s="1"/>
      <x:c r="E661" s="1"/>
      <x:c r="F661" s="1"/>
      <x:c r="G661" s="1"/>
      <x:c r="H661" s="1"/>
      <x:c r="I661" s="1"/>
      <x:c r="J661" s="1"/>
      <x:c r="K661" s="1"/>
      <x:c r="L661" s="1"/>
      <x:c r="M661" s="1"/>
      <x:c r="N661" s="1"/>
      <x:c r="O661" s="1"/>
      <x:c r="P661" s="1"/>
      <x:c r="Q661" s="1"/>
      <x:c r="R661" s="1"/>
      <x:c r="S661" s="1"/>
    </x:row>
    <x:row r="662" ht="26" customHeight="1">
      <x:c r="A662" s="1"/>
      <x:c r="B662" s="1"/>
      <x:c r="C662" s="1"/>
      <x:c r="D662" s="1"/>
      <x:c r="E662" s="1"/>
      <x:c r="F662" s="1"/>
      <x:c r="G662" s="1"/>
      <x:c r="H662" s="1"/>
      <x:c r="I662" s="1"/>
      <x:c r="J662" s="1"/>
      <x:c r="K662" s="1"/>
      <x:c r="L662" s="1"/>
      <x:c r="M662" s="1"/>
      <x:c r="N662" s="1"/>
      <x:c r="O662" s="1"/>
      <x:c r="P662" s="1"/>
      <x:c r="Q662" s="1"/>
      <x:c r="R662" s="1"/>
      <x:c r="S662" s="1"/>
    </x:row>
    <x:row r="663" ht="26" customHeight="1">
      <x:c r="A663" s="1"/>
      <x:c r="B663" s="1"/>
      <x:c r="C663" s="1"/>
      <x:c r="D663" s="1"/>
      <x:c r="E663" s="1"/>
      <x:c r="F663" s="1"/>
      <x:c r="G663" s="1"/>
      <x:c r="H663" s="1"/>
      <x:c r="I663" s="1"/>
      <x:c r="J663" s="1"/>
      <x:c r="K663" s="1"/>
      <x:c r="L663" s="1"/>
      <x:c r="M663" s="1"/>
      <x:c r="N663" s="1"/>
      <x:c r="O663" s="1"/>
      <x:c r="P663" s="1"/>
      <x:c r="Q663" s="1"/>
      <x:c r="R663" s="1"/>
      <x:c r="S663" s="1"/>
    </x:row>
    <x:row r="664" ht="26" customHeight="1">
      <x:c r="A664" s="1"/>
      <x:c r="B664" s="1"/>
      <x:c r="C664" s="1"/>
      <x:c r="D664" s="1"/>
      <x:c r="E664" s="1"/>
      <x:c r="F664" s="1"/>
      <x:c r="G664" s="1"/>
      <x:c r="H664" s="1"/>
      <x:c r="I664" s="1"/>
      <x:c r="J664" s="1"/>
      <x:c r="K664" s="1"/>
      <x:c r="L664" s="1"/>
      <x:c r="M664" s="1"/>
      <x:c r="N664" s="1"/>
      <x:c r="O664" s="1"/>
      <x:c r="P664" s="1"/>
      <x:c r="Q664" s="1"/>
      <x:c r="R664" s="1"/>
      <x:c r="S664" s="1"/>
    </x:row>
    <x:row r="665" ht="26" customHeight="1">
      <x:c r="A665" s="1"/>
      <x:c r="B665" s="1"/>
      <x:c r="C665" s="1"/>
      <x:c r="D665" s="1"/>
      <x:c r="E665" s="1"/>
      <x:c r="F665" s="1"/>
      <x:c r="G665" s="1"/>
      <x:c r="H665" s="1"/>
      <x:c r="I665" s="1"/>
      <x:c r="J665" s="1"/>
      <x:c r="K665" s="1"/>
      <x:c r="L665" s="1"/>
      <x:c r="M665" s="1"/>
      <x:c r="N665" s="1"/>
      <x:c r="O665" s="1"/>
      <x:c r="P665" s="1"/>
      <x:c r="Q665" s="1"/>
      <x:c r="R665" s="1"/>
      <x:c r="S665" s="1"/>
    </x:row>
    <x:row r="666" ht="26" customHeight="1">
      <x:c r="A666" s="1"/>
      <x:c r="B666" s="1"/>
      <x:c r="C666" s="1"/>
      <x:c r="D666" s="1"/>
      <x:c r="E666" s="1"/>
      <x:c r="F666" s="1"/>
      <x:c r="G666" s="1"/>
      <x:c r="H666" s="1"/>
      <x:c r="I666" s="1"/>
      <x:c r="J666" s="1"/>
      <x:c r="K666" s="1"/>
      <x:c r="L666" s="1"/>
      <x:c r="M666" s="1"/>
      <x:c r="N666" s="1"/>
      <x:c r="O666" s="1"/>
      <x:c r="P666" s="1"/>
      <x:c r="Q666" s="1"/>
      <x:c r="R666" s="1"/>
      <x:c r="S666" s="1"/>
    </x:row>
    <x:row r="667" ht="26" customHeight="1">
      <x:c r="A667" s="1"/>
      <x:c r="B667" s="1"/>
      <x:c r="C667" s="1"/>
      <x:c r="D667" s="1"/>
      <x:c r="E667" s="1"/>
      <x:c r="F667" s="1"/>
      <x:c r="G667" s="1"/>
      <x:c r="H667" s="1"/>
      <x:c r="I667" s="1"/>
      <x:c r="J667" s="1"/>
      <x:c r="K667" s="1"/>
      <x:c r="L667" s="1"/>
      <x:c r="M667" s="1"/>
      <x:c r="N667" s="1"/>
      <x:c r="O667" s="1"/>
      <x:c r="P667" s="1"/>
      <x:c r="Q667" s="1"/>
      <x:c r="R667" s="1"/>
      <x:c r="S667" s="1"/>
    </x:row>
    <x:row r="668" ht="26" customHeight="1">
      <x:c r="A668" s="1"/>
      <x:c r="B668" s="1"/>
      <x:c r="C668" s="1"/>
      <x:c r="D668" s="1"/>
      <x:c r="E668" s="1"/>
      <x:c r="F668" s="1"/>
      <x:c r="G668" s="1"/>
      <x:c r="H668" s="1"/>
      <x:c r="I668" s="1"/>
      <x:c r="J668" s="1"/>
      <x:c r="K668" s="1"/>
      <x:c r="L668" s="1"/>
      <x:c r="M668" s="1"/>
      <x:c r="N668" s="1"/>
      <x:c r="O668" s="1"/>
      <x:c r="P668" s="1"/>
      <x:c r="Q668" s="1"/>
      <x:c r="R668" s="1"/>
      <x:c r="S668" s="1"/>
    </x:row>
    <x:row r="669" ht="26" customHeight="1">
      <x:c r="A669" s="1"/>
      <x:c r="B669" s="1"/>
      <x:c r="C669" s="1"/>
      <x:c r="D669" s="1"/>
      <x:c r="E669" s="1"/>
      <x:c r="F669" s="1"/>
      <x:c r="G669" s="1"/>
      <x:c r="H669" s="1"/>
      <x:c r="I669" s="1"/>
      <x:c r="J669" s="1"/>
      <x:c r="K669" s="1"/>
      <x:c r="L669" s="1"/>
      <x:c r="M669" s="1"/>
      <x:c r="N669" s="1"/>
      <x:c r="O669" s="1"/>
      <x:c r="P669" s="1"/>
      <x:c r="Q669" s="1"/>
      <x:c r="R669" s="1"/>
      <x:c r="S669" s="1"/>
    </x:row>
    <x:row r="670" ht="26" customHeight="1">
      <x:c r="A670" s="1"/>
      <x:c r="B670" s="1"/>
      <x:c r="C670" s="1"/>
      <x:c r="D670" s="1"/>
      <x:c r="E670" s="1"/>
      <x:c r="F670" s="1"/>
      <x:c r="G670" s="1"/>
      <x:c r="H670" s="1"/>
      <x:c r="I670" s="1"/>
      <x:c r="J670" s="1"/>
      <x:c r="K670" s="1"/>
      <x:c r="L670" s="1"/>
      <x:c r="M670" s="1"/>
      <x:c r="N670" s="1"/>
      <x:c r="O670" s="1"/>
      <x:c r="P670" s="1"/>
      <x:c r="Q670" s="1"/>
      <x:c r="R670" s="1"/>
      <x:c r="S670" s="1"/>
    </x:row>
    <x:row r="671" ht="26" customHeight="1">
      <x:c r="A671" s="1"/>
      <x:c r="B671" s="1"/>
      <x:c r="C671" s="1"/>
      <x:c r="D671" s="1"/>
      <x:c r="E671" s="1"/>
      <x:c r="F671" s="1"/>
      <x:c r="G671" s="1"/>
      <x:c r="H671" s="1"/>
      <x:c r="I671" s="1"/>
      <x:c r="J671" s="1"/>
      <x:c r="K671" s="1"/>
      <x:c r="L671" s="1"/>
      <x:c r="M671" s="1"/>
      <x:c r="N671" s="1"/>
      <x:c r="O671" s="1"/>
      <x:c r="P671" s="1"/>
      <x:c r="Q671" s="1"/>
      <x:c r="R671" s="1"/>
      <x:c r="S671" s="1"/>
    </x:row>
    <x:row r="672" ht="26" customHeight="1">
      <x:c r="A672" s="1"/>
      <x:c r="B672" s="1"/>
      <x:c r="C672" s="1"/>
      <x:c r="D672" s="1"/>
      <x:c r="E672" s="1"/>
      <x:c r="F672" s="1"/>
      <x:c r="G672" s="1"/>
      <x:c r="H672" s="1"/>
      <x:c r="I672" s="1"/>
      <x:c r="J672" s="1"/>
      <x:c r="K672" s="1"/>
      <x:c r="L672" s="1"/>
      <x:c r="M672" s="1"/>
      <x:c r="N672" s="1"/>
      <x:c r="O672" s="1"/>
      <x:c r="P672" s="1"/>
      <x:c r="Q672" s="1"/>
      <x:c r="R672" s="1"/>
      <x:c r="S672" s="1"/>
    </x:row>
    <x:row r="673" ht="26" customHeight="1">
      <x:c r="A673" s="1"/>
      <x:c r="B673" s="1"/>
      <x:c r="C673" s="1"/>
      <x:c r="D673" s="1"/>
      <x:c r="E673" s="1"/>
      <x:c r="F673" s="1"/>
      <x:c r="G673" s="1"/>
      <x:c r="H673" s="1"/>
      <x:c r="I673" s="1"/>
      <x:c r="J673" s="1"/>
      <x:c r="K673" s="1"/>
      <x:c r="L673" s="1"/>
      <x:c r="M673" s="1"/>
      <x:c r="N673" s="1"/>
      <x:c r="O673" s="1"/>
      <x:c r="P673" s="1"/>
      <x:c r="Q673" s="1"/>
      <x:c r="R673" s="1"/>
      <x:c r="S673" s="1"/>
    </x:row>
    <x:row r="674" ht="26" customHeight="1">
      <x:c r="A674" s="1"/>
      <x:c r="B674" s="1"/>
      <x:c r="C674" s="1"/>
      <x:c r="D674" s="1"/>
      <x:c r="E674" s="1"/>
      <x:c r="F674" s="1"/>
      <x:c r="G674" s="1"/>
      <x:c r="H674" s="1"/>
      <x:c r="I674" s="1"/>
      <x:c r="J674" s="1"/>
      <x:c r="K674" s="1"/>
      <x:c r="L674" s="1"/>
      <x:c r="M674" s="1"/>
      <x:c r="N674" s="1"/>
      <x:c r="O674" s="1"/>
      <x:c r="P674" s="1"/>
      <x:c r="Q674" s="1"/>
      <x:c r="R674" s="1"/>
      <x:c r="S674" s="1"/>
    </x:row>
    <x:row r="675" ht="26" customHeight="1">
      <x:c r="A675" s="1"/>
      <x:c r="B675" s="1"/>
      <x:c r="C675" s="1"/>
      <x:c r="D675" s="1"/>
      <x:c r="E675" s="1"/>
      <x:c r="F675" s="1"/>
      <x:c r="G675" s="1"/>
      <x:c r="H675" s="1"/>
      <x:c r="I675" s="1"/>
      <x:c r="J675" s="1"/>
      <x:c r="K675" s="1"/>
      <x:c r="L675" s="1"/>
      <x:c r="M675" s="1"/>
      <x:c r="N675" s="1"/>
      <x:c r="O675" s="1"/>
      <x:c r="P675" s="1"/>
      <x:c r="Q675" s="1"/>
      <x:c r="R675" s="1"/>
      <x:c r="S675" s="1"/>
    </x:row>
    <x:row r="676" ht="26" customHeight="1">
      <x:c r="A676" s="1"/>
      <x:c r="B676" s="1"/>
      <x:c r="C676" s="1"/>
      <x:c r="D676" s="1"/>
      <x:c r="E676" s="1"/>
      <x:c r="F676" s="1"/>
      <x:c r="G676" s="1"/>
      <x:c r="H676" s="1"/>
      <x:c r="I676" s="1"/>
      <x:c r="J676" s="1"/>
      <x:c r="K676" s="1"/>
      <x:c r="L676" s="1"/>
      <x:c r="M676" s="1"/>
      <x:c r="N676" s="1"/>
      <x:c r="O676" s="1"/>
      <x:c r="P676" s="1"/>
      <x:c r="Q676" s="1"/>
      <x:c r="R676" s="1"/>
      <x:c r="S676" s="1"/>
    </x:row>
    <x:row r="677" ht="26" customHeight="1">
      <x:c r="A677" s="1"/>
      <x:c r="B677" s="1"/>
      <x:c r="C677" s="1"/>
      <x:c r="D677" s="1"/>
      <x:c r="E677" s="1"/>
      <x:c r="F677" s="1"/>
      <x:c r="G677" s="1"/>
      <x:c r="H677" s="1"/>
      <x:c r="I677" s="1"/>
      <x:c r="J677" s="1"/>
      <x:c r="K677" s="1"/>
      <x:c r="L677" s="1"/>
      <x:c r="M677" s="1"/>
      <x:c r="N677" s="1"/>
      <x:c r="O677" s="1"/>
      <x:c r="P677" s="1"/>
      <x:c r="Q677" s="1"/>
      <x:c r="R677" s="1"/>
      <x:c r="S677" s="1"/>
    </x:row>
    <x:row r="678" ht="26" customHeight="1">
      <x:c r="A678" s="1"/>
      <x:c r="B678" s="1"/>
      <x:c r="C678" s="1"/>
      <x:c r="D678" s="1"/>
      <x:c r="E678" s="1"/>
      <x:c r="F678" s="1"/>
      <x:c r="G678" s="1"/>
      <x:c r="H678" s="1"/>
      <x:c r="I678" s="1"/>
      <x:c r="J678" s="1"/>
      <x:c r="K678" s="1"/>
      <x:c r="L678" s="1"/>
      <x:c r="M678" s="1"/>
      <x:c r="N678" s="1"/>
      <x:c r="O678" s="1"/>
      <x:c r="P678" s="1"/>
      <x:c r="Q678" s="1"/>
      <x:c r="R678" s="1"/>
      <x:c r="S678" s="1"/>
    </x:row>
    <x:row r="679" ht="26" customHeight="1">
      <x:c r="A679" s="1"/>
      <x:c r="B679" s="1"/>
      <x:c r="C679" s="1"/>
      <x:c r="D679" s="1"/>
      <x:c r="E679" s="1"/>
      <x:c r="F679" s="1"/>
      <x:c r="G679" s="1"/>
      <x:c r="H679" s="1"/>
      <x:c r="I679" s="1"/>
      <x:c r="J679" s="1"/>
      <x:c r="K679" s="1"/>
      <x:c r="L679" s="1"/>
      <x:c r="M679" s="1"/>
      <x:c r="N679" s="1"/>
      <x:c r="O679" s="1"/>
      <x:c r="P679" s="1"/>
      <x:c r="Q679" s="1"/>
      <x:c r="R679" s="1"/>
      <x:c r="S679" s="1"/>
    </x:row>
    <x:row r="680" ht="26" customHeight="1">
      <x:c r="A680" s="1"/>
      <x:c r="B680" s="1"/>
      <x:c r="C680" s="1"/>
      <x:c r="D680" s="1"/>
      <x:c r="E680" s="1"/>
      <x:c r="F680" s="1"/>
      <x:c r="G680" s="1"/>
      <x:c r="H680" s="1"/>
      <x:c r="I680" s="1"/>
      <x:c r="J680" s="1"/>
      <x:c r="K680" s="1"/>
      <x:c r="L680" s="1"/>
      <x:c r="M680" s="1"/>
      <x:c r="N680" s="1"/>
      <x:c r="O680" s="1"/>
      <x:c r="P680" s="1"/>
      <x:c r="Q680" s="1"/>
      <x:c r="R680" s="1"/>
      <x:c r="S680" s="1"/>
    </x:row>
    <x:row r="681" ht="26" customHeight="1">
      <x:c r="A681" s="1"/>
      <x:c r="B681" s="1"/>
      <x:c r="C681" s="1"/>
      <x:c r="D681" s="1"/>
      <x:c r="E681" s="1"/>
      <x:c r="F681" s="1"/>
      <x:c r="G681" s="1"/>
      <x:c r="H681" s="1"/>
      <x:c r="I681" s="1"/>
      <x:c r="J681" s="1"/>
      <x:c r="K681" s="1"/>
      <x:c r="L681" s="1"/>
      <x:c r="M681" s="1"/>
      <x:c r="N681" s="1"/>
      <x:c r="O681" s="1"/>
      <x:c r="P681" s="1"/>
      <x:c r="Q681" s="1"/>
      <x:c r="R681" s="1"/>
      <x:c r="S681" s="1"/>
    </x:row>
    <x:row r="682" ht="26" customHeight="1">
      <x:c r="A682" s="1"/>
      <x:c r="B682" s="1"/>
      <x:c r="C682" s="1"/>
      <x:c r="D682" s="1"/>
      <x:c r="E682" s="1"/>
      <x:c r="F682" s="1"/>
      <x:c r="G682" s="1"/>
      <x:c r="H682" s="1"/>
      <x:c r="I682" s="1"/>
      <x:c r="J682" s="1"/>
      <x:c r="K682" s="1"/>
      <x:c r="L682" s="1"/>
      <x:c r="M682" s="1"/>
      <x:c r="N682" s="1"/>
      <x:c r="O682" s="1"/>
      <x:c r="P682" s="1"/>
      <x:c r="Q682" s="1"/>
      <x:c r="R682" s="1"/>
      <x:c r="S682" s="1"/>
    </x:row>
    <x:row r="683" ht="26" customHeight="1">
      <x:c r="A683" s="1"/>
      <x:c r="B683" s="1"/>
      <x:c r="C683" s="1"/>
      <x:c r="D683" s="1"/>
      <x:c r="E683" s="1"/>
      <x:c r="F683" s="1"/>
      <x:c r="G683" s="1"/>
      <x:c r="H683" s="1"/>
      <x:c r="I683" s="1"/>
      <x:c r="J683" s="1"/>
      <x:c r="K683" s="1"/>
      <x:c r="L683" s="1"/>
      <x:c r="M683" s="1"/>
      <x:c r="N683" s="1"/>
      <x:c r="O683" s="1"/>
      <x:c r="P683" s="1"/>
      <x:c r="Q683" s="1"/>
      <x:c r="R683" s="1"/>
      <x:c r="S683" s="1"/>
    </x:row>
    <x:row r="684" ht="26" customHeight="1">
      <x:c r="A684" s="1"/>
      <x:c r="B684" s="1"/>
      <x:c r="C684" s="1"/>
      <x:c r="D684" s="1"/>
      <x:c r="E684" s="1"/>
      <x:c r="F684" s="1"/>
      <x:c r="G684" s="1"/>
      <x:c r="H684" s="1"/>
      <x:c r="I684" s="1"/>
      <x:c r="J684" s="1"/>
      <x:c r="K684" s="1"/>
      <x:c r="L684" s="1"/>
      <x:c r="M684" s="1"/>
      <x:c r="N684" s="1"/>
      <x:c r="O684" s="1"/>
      <x:c r="P684" s="1"/>
      <x:c r="Q684" s="1"/>
      <x:c r="R684" s="1"/>
      <x:c r="S684" s="1"/>
    </x:row>
    <x:row r="685" ht="26" customHeight="1">
      <x:c r="A685" s="1"/>
      <x:c r="B685" s="1"/>
      <x:c r="C685" s="1"/>
      <x:c r="D685" s="1"/>
      <x:c r="E685" s="1"/>
      <x:c r="F685" s="1"/>
      <x:c r="G685" s="1"/>
      <x:c r="H685" s="1"/>
      <x:c r="I685" s="1"/>
      <x:c r="J685" s="1"/>
      <x:c r="K685" s="1"/>
      <x:c r="L685" s="1"/>
      <x:c r="M685" s="1"/>
      <x:c r="N685" s="1"/>
      <x:c r="O685" s="1"/>
      <x:c r="P685" s="1"/>
      <x:c r="Q685" s="1"/>
      <x:c r="R685" s="1"/>
      <x:c r="S685" s="1"/>
    </x:row>
    <x:row r="686" ht="26" customHeight="1">
      <x:c r="A686" s="1"/>
      <x:c r="B686" s="1"/>
      <x:c r="C686" s="1"/>
      <x:c r="D686" s="1"/>
      <x:c r="E686" s="1"/>
      <x:c r="F686" s="1"/>
      <x:c r="G686" s="1"/>
      <x:c r="H686" s="1"/>
      <x:c r="I686" s="1"/>
      <x:c r="J686" s="1"/>
      <x:c r="K686" s="1"/>
      <x:c r="L686" s="1"/>
      <x:c r="M686" s="1"/>
      <x:c r="N686" s="1"/>
      <x:c r="O686" s="1"/>
      <x:c r="P686" s="1"/>
      <x:c r="Q686" s="1"/>
      <x:c r="R686" s="1"/>
      <x:c r="S686" s="1"/>
    </x:row>
    <x:row r="687" ht="26" customHeight="1">
      <x:c r="A687" s="1"/>
      <x:c r="B687" s="1"/>
      <x:c r="C687" s="1"/>
      <x:c r="D687" s="1"/>
      <x:c r="E687" s="1"/>
      <x:c r="F687" s="1"/>
      <x:c r="G687" s="1"/>
      <x:c r="H687" s="1"/>
      <x:c r="I687" s="1"/>
      <x:c r="J687" s="1"/>
      <x:c r="K687" s="1"/>
      <x:c r="L687" s="1"/>
      <x:c r="M687" s="1"/>
      <x:c r="N687" s="1"/>
      <x:c r="O687" s="1"/>
      <x:c r="P687" s="1"/>
      <x:c r="Q687" s="1"/>
      <x:c r="R687" s="1"/>
      <x:c r="S687" s="1"/>
    </x:row>
    <x:row r="688" ht="26" customHeight="1">
      <x:c r="A688" s="1"/>
      <x:c r="B688" s="1"/>
      <x:c r="C688" s="1"/>
      <x:c r="D688" s="1"/>
      <x:c r="E688" s="1"/>
      <x:c r="F688" s="1"/>
      <x:c r="G688" s="1"/>
      <x:c r="H688" s="1"/>
      <x:c r="I688" s="1"/>
      <x:c r="J688" s="1"/>
      <x:c r="K688" s="1"/>
      <x:c r="L688" s="1"/>
      <x:c r="M688" s="1"/>
      <x:c r="N688" s="1"/>
      <x:c r="O688" s="1"/>
      <x:c r="P688" s="1"/>
      <x:c r="Q688" s="1"/>
      <x:c r="R688" s="1"/>
      <x:c r="S688" s="1"/>
    </x:row>
    <x:row r="689" ht="26" customHeight="1">
      <x:c r="A689" s="1"/>
      <x:c r="B689" s="1"/>
      <x:c r="C689" s="1"/>
      <x:c r="D689" s="1"/>
      <x:c r="E689" s="1"/>
      <x:c r="F689" s="1"/>
      <x:c r="G689" s="1"/>
      <x:c r="H689" s="1"/>
      <x:c r="I689" s="1"/>
      <x:c r="J689" s="1"/>
      <x:c r="K689" s="1"/>
      <x:c r="L689" s="1"/>
      <x:c r="M689" s="1"/>
      <x:c r="N689" s="1"/>
      <x:c r="O689" s="1"/>
      <x:c r="P689" s="1"/>
      <x:c r="Q689" s="1"/>
      <x:c r="R689" s="1"/>
      <x:c r="S689" s="1"/>
    </x:row>
    <x:row r="690" ht="26" customHeight="1">
      <x:c r="A690" s="1"/>
      <x:c r="B690" s="1"/>
      <x:c r="C690" s="1"/>
      <x:c r="D690" s="1"/>
      <x:c r="E690" s="1"/>
      <x:c r="F690" s="1"/>
      <x:c r="G690" s="1"/>
      <x:c r="H690" s="1"/>
      <x:c r="I690" s="1"/>
      <x:c r="J690" s="1"/>
      <x:c r="K690" s="1"/>
      <x:c r="L690" s="1"/>
      <x:c r="M690" s="1"/>
      <x:c r="N690" s="1"/>
      <x:c r="O690" s="1"/>
      <x:c r="P690" s="1"/>
      <x:c r="Q690" s="1"/>
      <x:c r="R690" s="1"/>
      <x:c r="S690" s="1"/>
    </x:row>
    <x:row r="691" ht="26" customHeight="1">
      <x:c r="A691" s="1"/>
      <x:c r="B691" s="1"/>
      <x:c r="C691" s="1"/>
      <x:c r="D691" s="1"/>
      <x:c r="E691" s="1"/>
      <x:c r="F691" s="1"/>
      <x:c r="G691" s="1"/>
      <x:c r="H691" s="1"/>
      <x:c r="I691" s="1"/>
      <x:c r="J691" s="1"/>
      <x:c r="K691" s="1"/>
      <x:c r="L691" s="1"/>
      <x:c r="M691" s="1"/>
      <x:c r="N691" s="1"/>
      <x:c r="O691" s="1"/>
      <x:c r="P691" s="1"/>
      <x:c r="Q691" s="1"/>
      <x:c r="R691" s="1"/>
      <x:c r="S691" s="1"/>
    </x:row>
    <x:row r="692" ht="26" customHeight="1">
      <x:c r="A692" s="1"/>
      <x:c r="B692" s="1"/>
      <x:c r="C692" s="1"/>
      <x:c r="D692" s="1"/>
      <x:c r="E692" s="1"/>
      <x:c r="F692" s="1"/>
      <x:c r="G692" s="1"/>
      <x:c r="H692" s="1"/>
      <x:c r="I692" s="1"/>
      <x:c r="J692" s="1"/>
      <x:c r="K692" s="1"/>
      <x:c r="L692" s="1"/>
      <x:c r="M692" s="1"/>
      <x:c r="N692" s="1"/>
      <x:c r="O692" s="1"/>
      <x:c r="P692" s="1"/>
      <x:c r="Q692" s="1"/>
      <x:c r="R692" s="1"/>
      <x:c r="S692" s="1"/>
    </x:row>
    <x:row r="693" ht="26" customHeight="1">
      <x:c r="A693" s="1"/>
      <x:c r="B693" s="1"/>
      <x:c r="C693" s="1"/>
      <x:c r="D693" s="1"/>
      <x:c r="E693" s="1"/>
      <x:c r="F693" s="1"/>
      <x:c r="G693" s="1"/>
      <x:c r="H693" s="1"/>
      <x:c r="I693" s="1"/>
      <x:c r="J693" s="1"/>
      <x:c r="K693" s="1"/>
      <x:c r="L693" s="1"/>
      <x:c r="M693" s="1"/>
      <x:c r="N693" s="1"/>
      <x:c r="O693" s="1"/>
      <x:c r="P693" s="1"/>
      <x:c r="Q693" s="1"/>
      <x:c r="R693" s="1"/>
      <x:c r="S693" s="1"/>
    </x:row>
    <x:row r="694" ht="26" customHeight="1">
      <x:c r="A694" s="1"/>
      <x:c r="B694" s="1"/>
      <x:c r="C694" s="1"/>
      <x:c r="D694" s="1"/>
      <x:c r="E694" s="1"/>
      <x:c r="F694" s="1"/>
      <x:c r="G694" s="1"/>
      <x:c r="H694" s="1"/>
      <x:c r="I694" s="1"/>
      <x:c r="J694" s="1"/>
      <x:c r="K694" s="1"/>
      <x:c r="L694" s="1"/>
      <x:c r="M694" s="1"/>
      <x:c r="N694" s="1"/>
      <x:c r="O694" s="1"/>
      <x:c r="P694" s="1"/>
      <x:c r="Q694" s="1"/>
      <x:c r="R694" s="1"/>
      <x:c r="S694" s="1"/>
    </x:row>
    <x:row r="695" ht="26" customHeight="1">
      <x:c r="A695" s="1"/>
      <x:c r="B695" s="1"/>
      <x:c r="C695" s="1"/>
      <x:c r="D695" s="1"/>
      <x:c r="E695" s="1"/>
      <x:c r="F695" s="1"/>
      <x:c r="G695" s="1"/>
      <x:c r="H695" s="1"/>
      <x:c r="I695" s="1"/>
      <x:c r="J695" s="1"/>
      <x:c r="K695" s="1"/>
      <x:c r="L695" s="1"/>
      <x:c r="M695" s="1"/>
      <x:c r="N695" s="1"/>
      <x:c r="O695" s="1"/>
      <x:c r="P695" s="1"/>
      <x:c r="Q695" s="1"/>
      <x:c r="R695" s="1"/>
      <x:c r="S695" s="1"/>
    </x:row>
    <x:row r="696" ht="26" customHeight="1">
      <x:c r="A696" s="1"/>
      <x:c r="B696" s="1"/>
      <x:c r="C696" s="1"/>
      <x:c r="D696" s="1"/>
      <x:c r="E696" s="1"/>
      <x:c r="F696" s="1"/>
      <x:c r="G696" s="1"/>
      <x:c r="H696" s="1"/>
      <x:c r="I696" s="1"/>
      <x:c r="J696" s="1"/>
      <x:c r="K696" s="1"/>
      <x:c r="L696" s="1"/>
      <x:c r="M696" s="1"/>
      <x:c r="N696" s="1"/>
      <x:c r="O696" s="1"/>
      <x:c r="P696" s="1"/>
      <x:c r="Q696" s="1"/>
      <x:c r="R696" s="1"/>
      <x:c r="S696" s="1"/>
    </x:row>
    <x:row r="697" ht="26" customHeight="1">
      <x:c r="A697" s="1"/>
      <x:c r="B697" s="1"/>
      <x:c r="C697" s="1"/>
      <x:c r="D697" s="1"/>
      <x:c r="E697" s="1"/>
      <x:c r="F697" s="1"/>
      <x:c r="G697" s="1"/>
      <x:c r="H697" s="1"/>
      <x:c r="I697" s="1"/>
      <x:c r="J697" s="1"/>
      <x:c r="K697" s="1"/>
      <x:c r="L697" s="1"/>
      <x:c r="M697" s="1"/>
      <x:c r="N697" s="1"/>
      <x:c r="O697" s="1"/>
      <x:c r="P697" s="1"/>
      <x:c r="Q697" s="1"/>
      <x:c r="R697" s="1"/>
      <x:c r="S697" s="1"/>
    </x:row>
    <x:row r="698" ht="26" customHeight="1">
      <x:c r="A698" s="1"/>
      <x:c r="B698" s="1"/>
      <x:c r="C698" s="1"/>
      <x:c r="D698" s="1"/>
      <x:c r="E698" s="1"/>
      <x:c r="F698" s="1"/>
      <x:c r="G698" s="1"/>
      <x:c r="H698" s="1"/>
      <x:c r="I698" s="1"/>
      <x:c r="J698" s="1"/>
      <x:c r="K698" s="1"/>
      <x:c r="L698" s="1"/>
      <x:c r="M698" s="1"/>
      <x:c r="N698" s="1"/>
      <x:c r="O698" s="1"/>
      <x:c r="P698" s="1"/>
      <x:c r="Q698" s="1"/>
      <x:c r="R698" s="1"/>
      <x:c r="S698" s="1"/>
    </x:row>
    <x:row r="699" ht="26" customHeight="1">
      <x:c r="A699" s="1"/>
      <x:c r="B699" s="1"/>
      <x:c r="C699" s="1"/>
      <x:c r="D699" s="1"/>
      <x:c r="E699" s="1"/>
      <x:c r="F699" s="1"/>
      <x:c r="G699" s="1"/>
      <x:c r="H699" s="1"/>
      <x:c r="I699" s="1"/>
      <x:c r="J699" s="1"/>
      <x:c r="K699" s="1"/>
      <x:c r="L699" s="1"/>
      <x:c r="M699" s="1"/>
      <x:c r="N699" s="1"/>
      <x:c r="O699" s="1"/>
      <x:c r="P699" s="1"/>
      <x:c r="Q699" s="1"/>
      <x:c r="R699" s="1"/>
      <x:c r="S699" s="1"/>
    </x:row>
    <x:row r="700" ht="26" customHeight="1">
      <x:c r="A700" s="1"/>
      <x:c r="B700" s="1"/>
      <x:c r="C700" s="1"/>
      <x:c r="D700" s="1"/>
      <x:c r="E700" s="1"/>
      <x:c r="F700" s="1"/>
      <x:c r="G700" s="1"/>
      <x:c r="H700" s="1"/>
      <x:c r="I700" s="1"/>
      <x:c r="J700" s="1"/>
      <x:c r="K700" s="1"/>
      <x:c r="L700" s="1"/>
      <x:c r="M700" s="1"/>
      <x:c r="N700" s="1"/>
      <x:c r="O700" s="1"/>
      <x:c r="P700" s="1"/>
      <x:c r="Q700" s="1"/>
      <x:c r="R700" s="1"/>
      <x:c r="S700" s="1"/>
    </x:row>
    <x:row r="701" ht="26" customHeight="1">
      <x:c r="A701" s="1"/>
      <x:c r="B701" s="1"/>
      <x:c r="C701" s="1"/>
      <x:c r="D701" s="1"/>
      <x:c r="E701" s="1"/>
      <x:c r="F701" s="1"/>
      <x:c r="G701" s="1"/>
      <x:c r="H701" s="1"/>
      <x:c r="I701" s="1"/>
      <x:c r="J701" s="1"/>
      <x:c r="K701" s="1"/>
      <x:c r="L701" s="1"/>
      <x:c r="M701" s="1"/>
      <x:c r="N701" s="1"/>
      <x:c r="O701" s="1"/>
      <x:c r="P701" s="1"/>
      <x:c r="Q701" s="1"/>
      <x:c r="R701" s="1"/>
      <x:c r="S701" s="1"/>
    </x:row>
    <x:row r="702" ht="26" customHeight="1">
      <x:c r="A702" s="1"/>
      <x:c r="B702" s="1"/>
      <x:c r="C702" s="1"/>
      <x:c r="D702" s="1"/>
      <x:c r="E702" s="1"/>
      <x:c r="F702" s="1"/>
      <x:c r="G702" s="1"/>
      <x:c r="H702" s="1"/>
      <x:c r="I702" s="1"/>
      <x:c r="J702" s="1"/>
      <x:c r="K702" s="1"/>
      <x:c r="L702" s="1"/>
      <x:c r="M702" s="1"/>
      <x:c r="N702" s="1"/>
      <x:c r="O702" s="1"/>
      <x:c r="P702" s="1"/>
      <x:c r="Q702" s="1"/>
      <x:c r="R702" s="1"/>
      <x:c r="S702" s="1"/>
    </x:row>
    <x:row r="703" ht="26" customHeight="1">
      <x:c r="A703" s="1"/>
      <x:c r="B703" s="1"/>
      <x:c r="C703" s="1"/>
      <x:c r="D703" s="1"/>
      <x:c r="E703" s="1"/>
      <x:c r="F703" s="1"/>
      <x:c r="G703" s="1"/>
      <x:c r="H703" s="1"/>
      <x:c r="I703" s="1"/>
      <x:c r="J703" s="1"/>
      <x:c r="K703" s="1"/>
      <x:c r="L703" s="1"/>
      <x:c r="M703" s="1"/>
      <x:c r="N703" s="1"/>
      <x:c r="O703" s="1"/>
      <x:c r="P703" s="1"/>
      <x:c r="Q703" s="1"/>
      <x:c r="R703" s="1"/>
      <x:c r="S703" s="1"/>
    </x:row>
    <x:row r="704" ht="26" customHeight="1">
      <x:c r="A704" s="1"/>
      <x:c r="B704" s="1"/>
      <x:c r="C704" s="1"/>
      <x:c r="D704" s="1"/>
      <x:c r="E704" s="1"/>
      <x:c r="F704" s="1"/>
      <x:c r="G704" s="1"/>
      <x:c r="H704" s="1"/>
      <x:c r="I704" s="1"/>
      <x:c r="J704" s="1"/>
      <x:c r="K704" s="1"/>
      <x:c r="L704" s="1"/>
      <x:c r="M704" s="1"/>
      <x:c r="N704" s="1"/>
      <x:c r="O704" s="1"/>
      <x:c r="P704" s="1"/>
      <x:c r="Q704" s="1"/>
      <x:c r="R704" s="1"/>
      <x:c r="S704" s="1"/>
    </x:row>
    <x:row r="705" ht="26" customHeight="1">
      <x:c r="A705" s="1"/>
      <x:c r="B705" s="1"/>
      <x:c r="C705" s="1"/>
      <x:c r="D705" s="1"/>
      <x:c r="E705" s="1"/>
      <x:c r="F705" s="1"/>
      <x:c r="G705" s="1"/>
      <x:c r="H705" s="1"/>
      <x:c r="I705" s="1"/>
      <x:c r="J705" s="1"/>
      <x:c r="K705" s="1"/>
      <x:c r="L705" s="1"/>
      <x:c r="M705" s="1"/>
      <x:c r="N705" s="1"/>
      <x:c r="O705" s="1"/>
      <x:c r="P705" s="1"/>
      <x:c r="Q705" s="1"/>
      <x:c r="R705" s="1"/>
      <x:c r="S705" s="1"/>
    </x:row>
    <x:row r="706" ht="26" customHeight="1">
      <x:c r="A706" s="1"/>
      <x:c r="B706" s="1"/>
      <x:c r="C706" s="1"/>
      <x:c r="D706" s="1"/>
      <x:c r="E706" s="1"/>
      <x:c r="F706" s="1"/>
      <x:c r="G706" s="1"/>
      <x:c r="H706" s="1"/>
      <x:c r="I706" s="1"/>
      <x:c r="J706" s="1"/>
      <x:c r="K706" s="1"/>
      <x:c r="L706" s="1"/>
      <x:c r="M706" s="1"/>
      <x:c r="N706" s="1"/>
      <x:c r="O706" s="1"/>
      <x:c r="P706" s="1"/>
      <x:c r="Q706" s="1"/>
      <x:c r="R706" s="1"/>
      <x:c r="S706" s="1"/>
    </x:row>
    <x:row r="707" ht="26" customHeight="1">
      <x:c r="A707" s="1"/>
      <x:c r="B707" s="1"/>
      <x:c r="C707" s="1"/>
      <x:c r="D707" s="1"/>
      <x:c r="E707" s="1"/>
      <x:c r="F707" s="1"/>
      <x:c r="G707" s="1"/>
      <x:c r="H707" s="1"/>
      <x:c r="I707" s="1"/>
      <x:c r="J707" s="1"/>
      <x:c r="K707" s="1"/>
      <x:c r="L707" s="1"/>
      <x:c r="M707" s="1"/>
      <x:c r="N707" s="1"/>
      <x:c r="O707" s="1"/>
      <x:c r="P707" s="1"/>
      <x:c r="Q707" s="1"/>
      <x:c r="R707" s="1"/>
      <x:c r="S707" s="1"/>
    </x:row>
    <x:row r="708" ht="26" customHeight="1">
      <x:c r="A708" s="1"/>
      <x:c r="B708" s="1"/>
      <x:c r="C708" s="1"/>
      <x:c r="D708" s="1"/>
      <x:c r="E708" s="1"/>
      <x:c r="F708" s="1"/>
      <x:c r="G708" s="1"/>
      <x:c r="H708" s="1"/>
      <x:c r="I708" s="1"/>
      <x:c r="J708" s="1"/>
      <x:c r="K708" s="1"/>
      <x:c r="L708" s="1"/>
      <x:c r="M708" s="1"/>
      <x:c r="N708" s="1"/>
      <x:c r="O708" s="1"/>
      <x:c r="P708" s="1"/>
      <x:c r="Q708" s="1"/>
      <x:c r="R708" s="1"/>
      <x:c r="S708" s="1"/>
    </x:row>
    <x:row r="709" ht="26" customHeight="1">
      <x:c r="A709" s="1"/>
      <x:c r="B709" s="1"/>
      <x:c r="C709" s="1"/>
      <x:c r="D709" s="1"/>
      <x:c r="E709" s="1"/>
      <x:c r="F709" s="1"/>
      <x:c r="G709" s="1"/>
      <x:c r="H709" s="1"/>
      <x:c r="I709" s="1"/>
      <x:c r="J709" s="1"/>
      <x:c r="K709" s="1"/>
      <x:c r="L709" s="1"/>
      <x:c r="M709" s="1"/>
      <x:c r="N709" s="1"/>
      <x:c r="O709" s="1"/>
      <x:c r="P709" s="1"/>
      <x:c r="Q709" s="1"/>
      <x:c r="R709" s="1"/>
      <x:c r="S709" s="1"/>
    </x:row>
    <x:row r="710" ht="26" customHeight="1">
      <x:c r="A710" s="1"/>
      <x:c r="B710" s="1"/>
      <x:c r="C710" s="1"/>
      <x:c r="D710" s="1"/>
      <x:c r="E710" s="1"/>
      <x:c r="F710" s="1"/>
      <x:c r="G710" s="1"/>
      <x:c r="H710" s="1"/>
      <x:c r="I710" s="1"/>
      <x:c r="J710" s="1"/>
      <x:c r="K710" s="1"/>
      <x:c r="L710" s="1"/>
      <x:c r="M710" s="1"/>
      <x:c r="N710" s="1"/>
      <x:c r="O710" s="1"/>
      <x:c r="P710" s="1"/>
      <x:c r="Q710" s="1"/>
      <x:c r="R710" s="1"/>
      <x:c r="S710" s="1"/>
    </x:row>
    <x:row r="711" ht="26" customHeight="1">
      <x:c r="A711" s="1"/>
      <x:c r="B711" s="1"/>
      <x:c r="C711" s="1"/>
      <x:c r="D711" s="1"/>
      <x:c r="E711" s="1"/>
      <x:c r="F711" s="1"/>
      <x:c r="G711" s="1"/>
      <x:c r="H711" s="1"/>
      <x:c r="I711" s="1"/>
      <x:c r="J711" s="1"/>
      <x:c r="K711" s="1"/>
      <x:c r="L711" s="1"/>
      <x:c r="M711" s="1"/>
      <x:c r="N711" s="1"/>
      <x:c r="O711" s="1"/>
      <x:c r="P711" s="1"/>
      <x:c r="Q711" s="1"/>
      <x:c r="R711" s="1"/>
      <x:c r="S711" s="1"/>
    </x:row>
    <x:row r="712" ht="26" customHeight="1">
      <x:c r="A712" s="1"/>
      <x:c r="B712" s="1"/>
      <x:c r="C712" s="1"/>
      <x:c r="D712" s="1"/>
      <x:c r="E712" s="1"/>
      <x:c r="F712" s="1"/>
      <x:c r="G712" s="1"/>
      <x:c r="H712" s="1"/>
      <x:c r="I712" s="1"/>
      <x:c r="J712" s="1"/>
      <x:c r="K712" s="1"/>
      <x:c r="L712" s="1"/>
      <x:c r="M712" s="1"/>
      <x:c r="N712" s="1"/>
      <x:c r="O712" s="1"/>
      <x:c r="P712" s="1"/>
      <x:c r="Q712" s="1"/>
      <x:c r="R712" s="1"/>
      <x:c r="S712" s="1"/>
    </x:row>
    <x:row r="713" ht="26" customHeight="1">
      <x:c r="A713" s="1"/>
      <x:c r="B713" s="1"/>
      <x:c r="C713" s="1"/>
      <x:c r="D713" s="1"/>
      <x:c r="E713" s="1"/>
      <x:c r="F713" s="1"/>
      <x:c r="G713" s="1"/>
      <x:c r="H713" s="1"/>
      <x:c r="I713" s="1"/>
      <x:c r="J713" s="1"/>
      <x:c r="K713" s="1"/>
      <x:c r="L713" s="1"/>
      <x:c r="M713" s="1"/>
      <x:c r="N713" s="1"/>
      <x:c r="O713" s="1"/>
      <x:c r="P713" s="1"/>
      <x:c r="Q713" s="1"/>
      <x:c r="R713" s="1"/>
      <x:c r="S713" s="1"/>
    </x:row>
    <x:row r="714" ht="26" customHeight="1">
      <x:c r="A714" s="1"/>
      <x:c r="B714" s="1"/>
      <x:c r="C714" s="1"/>
      <x:c r="D714" s="1"/>
      <x:c r="E714" s="1"/>
      <x:c r="F714" s="1"/>
      <x:c r="G714" s="1"/>
      <x:c r="H714" s="1"/>
      <x:c r="I714" s="1"/>
      <x:c r="J714" s="1"/>
      <x:c r="K714" s="1"/>
      <x:c r="L714" s="1"/>
      <x:c r="M714" s="1"/>
      <x:c r="N714" s="1"/>
      <x:c r="O714" s="1"/>
      <x:c r="P714" s="1"/>
      <x:c r="Q714" s="1"/>
      <x:c r="R714" s="1"/>
      <x:c r="S714" s="1"/>
    </x:row>
    <x:row r="715" ht="26" customHeight="1">
      <x:c r="A715" s="1"/>
      <x:c r="B715" s="1"/>
      <x:c r="C715" s="1"/>
      <x:c r="D715" s="1"/>
      <x:c r="E715" s="1"/>
      <x:c r="F715" s="1"/>
      <x:c r="G715" s="1"/>
      <x:c r="H715" s="1"/>
      <x:c r="I715" s="1"/>
      <x:c r="J715" s="1"/>
      <x:c r="K715" s="1"/>
      <x:c r="L715" s="1"/>
      <x:c r="M715" s="1"/>
      <x:c r="N715" s="1"/>
      <x:c r="O715" s="1"/>
      <x:c r="P715" s="1"/>
      <x:c r="Q715" s="1"/>
      <x:c r="R715" s="1"/>
      <x:c r="S715" s="1"/>
    </x:row>
    <x:row r="716" ht="26" customHeight="1">
      <x:c r="A716" s="1"/>
      <x:c r="B716" s="1"/>
      <x:c r="C716" s="1"/>
      <x:c r="D716" s="1"/>
      <x:c r="E716" s="1"/>
      <x:c r="F716" s="1"/>
      <x:c r="G716" s="1"/>
      <x:c r="H716" s="1"/>
      <x:c r="I716" s="1"/>
      <x:c r="J716" s="1"/>
      <x:c r="K716" s="1"/>
      <x:c r="L716" s="1"/>
      <x:c r="M716" s="1"/>
      <x:c r="N716" s="1"/>
      <x:c r="O716" s="1"/>
      <x:c r="P716" s="1"/>
      <x:c r="Q716" s="1"/>
      <x:c r="R716" s="1"/>
      <x:c r="S716" s="1"/>
    </x:row>
    <x:row r="717" ht="26" customHeight="1">
      <x:c r="A717" s="1"/>
      <x:c r="B717" s="1"/>
      <x:c r="C717" s="1"/>
      <x:c r="D717" s="1"/>
      <x:c r="E717" s="1"/>
      <x:c r="F717" s="1"/>
      <x:c r="G717" s="1"/>
      <x:c r="H717" s="1"/>
      <x:c r="I717" s="1"/>
      <x:c r="J717" s="1"/>
      <x:c r="K717" s="1"/>
      <x:c r="L717" s="1"/>
      <x:c r="M717" s="1"/>
      <x:c r="N717" s="1"/>
      <x:c r="O717" s="1"/>
      <x:c r="P717" s="1"/>
      <x:c r="Q717" s="1"/>
      <x:c r="R717" s="1"/>
      <x:c r="S717" s="1"/>
    </x:row>
    <x:row r="718" ht="26" customHeight="1">
      <x:c r="A718" s="1"/>
      <x:c r="B718" s="1"/>
      <x:c r="C718" s="1"/>
      <x:c r="D718" s="1"/>
      <x:c r="E718" s="1"/>
      <x:c r="F718" s="1"/>
      <x:c r="G718" s="1"/>
      <x:c r="H718" s="1"/>
      <x:c r="I718" s="1"/>
      <x:c r="J718" s="1"/>
      <x:c r="K718" s="1"/>
      <x:c r="L718" s="1"/>
      <x:c r="M718" s="1"/>
      <x:c r="N718" s="1"/>
      <x:c r="O718" s="1"/>
      <x:c r="P718" s="1"/>
      <x:c r="Q718" s="1"/>
      <x:c r="R718" s="1"/>
      <x:c r="S718" s="1"/>
    </x:row>
    <x:row r="719" ht="26" customHeight="1">
      <x:c r="A719" s="1"/>
      <x:c r="B719" s="1"/>
      <x:c r="C719" s="1"/>
      <x:c r="D719" s="1"/>
      <x:c r="E719" s="1"/>
      <x:c r="F719" s="1"/>
      <x:c r="G719" s="1"/>
      <x:c r="H719" s="1"/>
      <x:c r="I719" s="1"/>
      <x:c r="J719" s="1"/>
      <x:c r="K719" s="1"/>
      <x:c r="L719" s="1"/>
      <x:c r="M719" s="1"/>
      <x:c r="N719" s="1"/>
      <x:c r="O719" s="1"/>
      <x:c r="P719" s="1"/>
      <x:c r="Q719" s="1"/>
      <x:c r="R719" s="1"/>
      <x:c r="S719" s="1"/>
    </x:row>
    <x:row r="720" ht="26" customHeight="1">
      <x:c r="A720" s="1"/>
      <x:c r="B720" s="1"/>
      <x:c r="C720" s="1"/>
      <x:c r="D720" s="1"/>
      <x:c r="E720" s="1"/>
      <x:c r="F720" s="1"/>
      <x:c r="G720" s="1"/>
      <x:c r="H720" s="1"/>
      <x:c r="I720" s="1"/>
      <x:c r="J720" s="1"/>
      <x:c r="K720" s="1"/>
      <x:c r="L720" s="1"/>
      <x:c r="M720" s="1"/>
      <x:c r="N720" s="1"/>
      <x:c r="O720" s="1"/>
      <x:c r="P720" s="1"/>
      <x:c r="Q720" s="1"/>
      <x:c r="R720" s="1"/>
      <x:c r="S720" s="1"/>
    </x:row>
    <x:row r="721" ht="26" customHeight="1">
      <x:c r="A721" s="1"/>
      <x:c r="B721" s="1"/>
      <x:c r="C721" s="1"/>
      <x:c r="D721" s="1"/>
      <x:c r="E721" s="1"/>
      <x:c r="F721" s="1"/>
      <x:c r="G721" s="1"/>
      <x:c r="H721" s="1"/>
      <x:c r="I721" s="1"/>
      <x:c r="J721" s="1"/>
      <x:c r="K721" s="1"/>
      <x:c r="L721" s="1"/>
      <x:c r="M721" s="1"/>
      <x:c r="N721" s="1"/>
      <x:c r="O721" s="1"/>
      <x:c r="P721" s="1"/>
      <x:c r="Q721" s="1"/>
      <x:c r="R721" s="1"/>
      <x:c r="S721" s="1"/>
    </x:row>
    <x:row r="722" ht="26" customHeight="1">
      <x:c r="A722" s="1"/>
      <x:c r="B722" s="1"/>
      <x:c r="C722" s="1"/>
      <x:c r="D722" s="1"/>
      <x:c r="E722" s="1"/>
      <x:c r="F722" s="1"/>
      <x:c r="G722" s="1"/>
      <x:c r="H722" s="1"/>
      <x:c r="I722" s="1"/>
      <x:c r="J722" s="1"/>
      <x:c r="K722" s="1"/>
      <x:c r="L722" s="1"/>
      <x:c r="M722" s="1"/>
      <x:c r="N722" s="1"/>
      <x:c r="O722" s="1"/>
      <x:c r="P722" s="1"/>
      <x:c r="Q722" s="1"/>
      <x:c r="R722" s="1"/>
      <x:c r="S722" s="1"/>
    </x:row>
    <x:row r="723" ht="26" customHeight="1">
      <x:c r="A723" s="1"/>
      <x:c r="B723" s="1"/>
      <x:c r="C723" s="1"/>
      <x:c r="D723" s="1"/>
      <x:c r="E723" s="1"/>
      <x:c r="F723" s="1"/>
      <x:c r="G723" s="1"/>
      <x:c r="H723" s="1"/>
      <x:c r="I723" s="1"/>
      <x:c r="J723" s="1"/>
      <x:c r="K723" s="1"/>
      <x:c r="L723" s="1"/>
      <x:c r="M723" s="1"/>
      <x:c r="N723" s="1"/>
      <x:c r="O723" s="1"/>
      <x:c r="P723" s="1"/>
      <x:c r="Q723" s="1"/>
      <x:c r="R723" s="1"/>
      <x:c r="S723" s="1"/>
    </x:row>
    <x:row r="724" ht="26" customHeight="1">
      <x:c r="A724" s="1"/>
      <x:c r="B724" s="1"/>
      <x:c r="C724" s="1"/>
      <x:c r="D724" s="1"/>
      <x:c r="E724" s="1"/>
      <x:c r="F724" s="1"/>
      <x:c r="G724" s="1"/>
      <x:c r="H724" s="1"/>
      <x:c r="I724" s="1"/>
      <x:c r="J724" s="1"/>
      <x:c r="K724" s="1"/>
      <x:c r="L724" s="1"/>
      <x:c r="M724" s="1"/>
      <x:c r="N724" s="1"/>
      <x:c r="O724" s="1"/>
      <x:c r="P724" s="1"/>
      <x:c r="Q724" s="1"/>
      <x:c r="R724" s="1"/>
      <x:c r="S724" s="1"/>
    </x:row>
    <x:row r="725" ht="26" customHeight="1">
      <x:c r="A725" s="1"/>
      <x:c r="B725" s="1"/>
      <x:c r="C725" s="1"/>
      <x:c r="D725" s="1"/>
      <x:c r="E725" s="1"/>
      <x:c r="F725" s="1"/>
      <x:c r="G725" s="1"/>
      <x:c r="H725" s="1"/>
      <x:c r="I725" s="1"/>
      <x:c r="J725" s="1"/>
      <x:c r="K725" s="1"/>
      <x:c r="L725" s="1"/>
      <x:c r="M725" s="1"/>
      <x:c r="N725" s="1"/>
      <x:c r="O725" s="1"/>
      <x:c r="P725" s="1"/>
      <x:c r="Q725" s="1"/>
      <x:c r="R725" s="1"/>
      <x:c r="S725" s="1"/>
    </x:row>
    <x:row r="726" ht="26" customHeight="1">
      <x:c r="A726" s="1"/>
      <x:c r="B726" s="1"/>
      <x:c r="C726" s="1"/>
      <x:c r="D726" s="1"/>
      <x:c r="E726" s="1"/>
      <x:c r="F726" s="1"/>
      <x:c r="G726" s="1"/>
      <x:c r="H726" s="1"/>
      <x:c r="I726" s="1"/>
      <x:c r="J726" s="1"/>
      <x:c r="K726" s="1"/>
      <x:c r="L726" s="1"/>
      <x:c r="M726" s="1"/>
      <x:c r="N726" s="1"/>
      <x:c r="O726" s="1"/>
      <x:c r="P726" s="1"/>
      <x:c r="Q726" s="1"/>
      <x:c r="R726" s="1"/>
      <x:c r="S726" s="1"/>
    </x:row>
    <x:row r="727" ht="26" customHeight="1">
      <x:c r="A727" s="1"/>
      <x:c r="B727" s="1"/>
      <x:c r="C727" s="1"/>
      <x:c r="D727" s="1"/>
      <x:c r="E727" s="1"/>
      <x:c r="F727" s="1"/>
      <x:c r="G727" s="1"/>
      <x:c r="H727" s="1"/>
      <x:c r="I727" s="1"/>
      <x:c r="J727" s="1"/>
      <x:c r="K727" s="1"/>
      <x:c r="L727" s="1"/>
      <x:c r="M727" s="1"/>
      <x:c r="N727" s="1"/>
      <x:c r="O727" s="1"/>
      <x:c r="P727" s="1"/>
      <x:c r="Q727" s="1"/>
      <x:c r="R727" s="1"/>
      <x:c r="S727" s="1"/>
    </x:row>
    <x:row r="728" ht="26" customHeight="1">
      <x:c r="A728" s="1"/>
      <x:c r="B728" s="1"/>
      <x:c r="C728" s="1"/>
      <x:c r="D728" s="1"/>
      <x:c r="E728" s="1"/>
      <x:c r="F728" s="1"/>
      <x:c r="G728" s="1"/>
      <x:c r="H728" s="1"/>
      <x:c r="I728" s="1"/>
      <x:c r="J728" s="1"/>
      <x:c r="K728" s="1"/>
      <x:c r="L728" s="1"/>
      <x:c r="M728" s="1"/>
      <x:c r="N728" s="1"/>
      <x:c r="O728" s="1"/>
      <x:c r="P728" s="1"/>
      <x:c r="Q728" s="1"/>
      <x:c r="R728" s="1"/>
      <x:c r="S728" s="1"/>
    </x:row>
    <x:row r="729" ht="26" customHeight="1">
      <x:c r="A729" s="1"/>
      <x:c r="B729" s="1"/>
      <x:c r="C729" s="1"/>
      <x:c r="D729" s="1"/>
      <x:c r="E729" s="1"/>
      <x:c r="F729" s="1"/>
      <x:c r="G729" s="1"/>
      <x:c r="H729" s="1"/>
      <x:c r="I729" s="1"/>
      <x:c r="J729" s="1"/>
      <x:c r="K729" s="1"/>
      <x:c r="L729" s="1"/>
      <x:c r="M729" s="1"/>
      <x:c r="N729" s="1"/>
      <x:c r="O729" s="1"/>
      <x:c r="P729" s="1"/>
      <x:c r="Q729" s="1"/>
      <x:c r="R729" s="1"/>
      <x:c r="S729" s="1"/>
    </x:row>
    <x:row r="730" ht="26" customHeight="1">
      <x:c r="A730" s="1"/>
      <x:c r="B730" s="1"/>
      <x:c r="C730" s="1"/>
      <x:c r="D730" s="1"/>
      <x:c r="E730" s="1"/>
      <x:c r="F730" s="1"/>
      <x:c r="G730" s="1"/>
      <x:c r="H730" s="1"/>
      <x:c r="I730" s="1"/>
      <x:c r="J730" s="1"/>
      <x:c r="K730" s="1"/>
      <x:c r="L730" s="1"/>
      <x:c r="M730" s="1"/>
      <x:c r="N730" s="1"/>
      <x:c r="O730" s="1"/>
      <x:c r="P730" s="1"/>
      <x:c r="Q730" s="1"/>
      <x:c r="R730" s="1"/>
      <x:c r="S730" s="1"/>
    </x:row>
    <x:row r="731" ht="26" customHeight="1">
      <x:c r="A731" s="1"/>
      <x:c r="B731" s="1"/>
      <x:c r="C731" s="1"/>
      <x:c r="D731" s="1"/>
      <x:c r="E731" s="1"/>
      <x:c r="F731" s="1"/>
      <x:c r="G731" s="1"/>
      <x:c r="H731" s="1"/>
      <x:c r="I731" s="1"/>
      <x:c r="J731" s="1"/>
      <x:c r="K731" s="1"/>
      <x:c r="L731" s="1"/>
      <x:c r="M731" s="1"/>
      <x:c r="N731" s="1"/>
      <x:c r="O731" s="1"/>
      <x:c r="P731" s="1"/>
      <x:c r="Q731" s="1"/>
      <x:c r="R731" s="1"/>
      <x:c r="S731" s="1"/>
    </x:row>
    <x:row r="732" ht="26" customHeight="1">
      <x:c r="A732" s="1"/>
      <x:c r="B732" s="1"/>
      <x:c r="C732" s="1"/>
      <x:c r="D732" s="1"/>
      <x:c r="E732" s="1"/>
      <x:c r="F732" s="1"/>
      <x:c r="G732" s="1"/>
      <x:c r="H732" s="1"/>
      <x:c r="I732" s="1"/>
      <x:c r="J732" s="1"/>
      <x:c r="K732" s="1"/>
      <x:c r="L732" s="1"/>
      <x:c r="M732" s="1"/>
      <x:c r="N732" s="1"/>
      <x:c r="O732" s="1"/>
      <x:c r="P732" s="1"/>
      <x:c r="Q732" s="1"/>
      <x:c r="R732" s="1"/>
      <x:c r="S732" s="1"/>
    </x:row>
    <x:row r="733" ht="26" customHeight="1">
      <x:c r="A733" s="1"/>
      <x:c r="B733" s="1"/>
      <x:c r="C733" s="1"/>
      <x:c r="D733" s="1"/>
      <x:c r="E733" s="1"/>
      <x:c r="F733" s="1"/>
      <x:c r="G733" s="1"/>
      <x:c r="H733" s="1"/>
      <x:c r="I733" s="1"/>
      <x:c r="J733" s="1"/>
      <x:c r="K733" s="1"/>
      <x:c r="L733" s="1"/>
      <x:c r="M733" s="1"/>
      <x:c r="N733" s="1"/>
      <x:c r="O733" s="1"/>
      <x:c r="P733" s="1"/>
      <x:c r="Q733" s="1"/>
      <x:c r="R733" s="1"/>
      <x:c r="S733" s="1"/>
    </x:row>
    <x:row r="734" ht="26" customHeight="1">
      <x:c r="A734" s="1"/>
      <x:c r="B734" s="1"/>
      <x:c r="C734" s="1"/>
      <x:c r="D734" s="1"/>
      <x:c r="E734" s="1"/>
      <x:c r="F734" s="1"/>
      <x:c r="G734" s="1"/>
      <x:c r="H734" s="1"/>
      <x:c r="I734" s="1"/>
      <x:c r="J734" s="1"/>
      <x:c r="K734" s="1"/>
      <x:c r="L734" s="1"/>
      <x:c r="M734" s="1"/>
      <x:c r="N734" s="1"/>
      <x:c r="O734" s="1"/>
      <x:c r="P734" s="1"/>
      <x:c r="Q734" s="1"/>
      <x:c r="R734" s="1"/>
      <x:c r="S734" s="1"/>
    </x:row>
    <x:row r="735" ht="26" customHeight="1">
      <x:c r="A735" s="1"/>
      <x:c r="B735" s="1"/>
      <x:c r="C735" s="1"/>
      <x:c r="D735" s="1"/>
      <x:c r="E735" s="1"/>
      <x:c r="F735" s="1"/>
      <x:c r="G735" s="1"/>
      <x:c r="H735" s="1"/>
      <x:c r="I735" s="1"/>
      <x:c r="J735" s="1"/>
      <x:c r="K735" s="1"/>
      <x:c r="L735" s="1"/>
      <x:c r="M735" s="1"/>
      <x:c r="N735" s="1"/>
      <x:c r="O735" s="1"/>
      <x:c r="P735" s="1"/>
      <x:c r="Q735" s="1"/>
      <x:c r="R735" s="1"/>
      <x:c r="S735" s="1"/>
    </x:row>
    <x:row r="736" ht="26" customHeight="1">
      <x:c r="A736" s="1"/>
      <x:c r="B736" s="1"/>
      <x:c r="C736" s="1"/>
      <x:c r="D736" s="1"/>
      <x:c r="E736" s="1"/>
      <x:c r="F736" s="1"/>
      <x:c r="G736" s="1"/>
      <x:c r="H736" s="1"/>
      <x:c r="I736" s="1"/>
      <x:c r="J736" s="1"/>
      <x:c r="K736" s="1"/>
      <x:c r="L736" s="1"/>
      <x:c r="M736" s="1"/>
      <x:c r="N736" s="1"/>
      <x:c r="O736" s="1"/>
      <x:c r="P736" s="1"/>
      <x:c r="Q736" s="1"/>
      <x:c r="R736" s="1"/>
      <x:c r="S736" s="1"/>
    </x:row>
    <x:row r="737" ht="26" customHeight="1">
      <x:c r="A737" s="1"/>
      <x:c r="B737" s="1"/>
      <x:c r="C737" s="1"/>
      <x:c r="D737" s="1"/>
      <x:c r="E737" s="1"/>
      <x:c r="F737" s="1"/>
      <x:c r="G737" s="1"/>
      <x:c r="H737" s="1"/>
      <x:c r="I737" s="1"/>
      <x:c r="J737" s="1"/>
      <x:c r="K737" s="1"/>
      <x:c r="L737" s="1"/>
      <x:c r="M737" s="1"/>
      <x:c r="N737" s="1"/>
      <x:c r="O737" s="1"/>
      <x:c r="P737" s="1"/>
      <x:c r="Q737" s="1"/>
      <x:c r="R737" s="1"/>
      <x:c r="S737" s="1"/>
    </x:row>
    <x:row r="738" ht="26" customHeight="1">
      <x:c r="A738" s="1"/>
      <x:c r="B738" s="1"/>
      <x:c r="C738" s="1"/>
      <x:c r="D738" s="1"/>
      <x:c r="E738" s="1"/>
      <x:c r="F738" s="1"/>
      <x:c r="G738" s="1"/>
      <x:c r="H738" s="1"/>
      <x:c r="I738" s="1"/>
      <x:c r="J738" s="1"/>
      <x:c r="K738" s="1"/>
      <x:c r="L738" s="1"/>
      <x:c r="M738" s="1"/>
      <x:c r="N738" s="1"/>
      <x:c r="O738" s="1"/>
      <x:c r="P738" s="1"/>
      <x:c r="Q738" s="1"/>
      <x:c r="R738" s="1"/>
      <x:c r="S738" s="1"/>
    </x:row>
    <x:row r="739" ht="26" customHeight="1">
      <x:c r="A739" s="1"/>
      <x:c r="B739" s="1"/>
      <x:c r="C739" s="1"/>
      <x:c r="D739" s="1"/>
      <x:c r="E739" s="1"/>
      <x:c r="F739" s="1"/>
      <x:c r="G739" s="1"/>
      <x:c r="H739" s="1"/>
      <x:c r="I739" s="1"/>
      <x:c r="J739" s="1"/>
      <x:c r="K739" s="1"/>
      <x:c r="L739" s="1"/>
      <x:c r="M739" s="1"/>
      <x:c r="N739" s="1"/>
      <x:c r="O739" s="1"/>
      <x:c r="P739" s="1"/>
      <x:c r="Q739" s="1"/>
      <x:c r="R739" s="1"/>
      <x:c r="S739" s="1"/>
    </x:row>
    <x:row r="740" ht="26" customHeight="1">
      <x:c r="A740" s="1"/>
      <x:c r="B740" s="1"/>
      <x:c r="C740" s="1"/>
      <x:c r="D740" s="1"/>
      <x:c r="E740" s="1"/>
      <x:c r="F740" s="1"/>
      <x:c r="G740" s="1"/>
      <x:c r="H740" s="1"/>
      <x:c r="I740" s="1"/>
      <x:c r="J740" s="1"/>
      <x:c r="K740" s="1"/>
      <x:c r="L740" s="1"/>
      <x:c r="M740" s="1"/>
      <x:c r="N740" s="1"/>
      <x:c r="O740" s="1"/>
      <x:c r="P740" s="1"/>
      <x:c r="Q740" s="1"/>
      <x:c r="R740" s="1"/>
      <x:c r="S740" s="1"/>
    </x:row>
    <x:row r="741" ht="26" customHeight="1">
      <x:c r="A741" s="1"/>
      <x:c r="B741" s="1"/>
      <x:c r="C741" s="1"/>
      <x:c r="D741" s="1"/>
      <x:c r="E741" s="1"/>
      <x:c r="F741" s="1"/>
      <x:c r="G741" s="1"/>
      <x:c r="H741" s="1"/>
      <x:c r="I741" s="1"/>
      <x:c r="J741" s="1"/>
      <x:c r="K741" s="1"/>
      <x:c r="L741" s="1"/>
      <x:c r="M741" s="1"/>
      <x:c r="N741" s="1"/>
      <x:c r="O741" s="1"/>
      <x:c r="P741" s="1"/>
      <x:c r="Q741" s="1"/>
      <x:c r="R741" s="1"/>
      <x:c r="S741" s="1"/>
    </x:row>
    <x:row r="742" ht="26" customHeight="1">
      <x:c r="A742" s="1"/>
      <x:c r="B742" s="1"/>
      <x:c r="C742" s="1"/>
      <x:c r="D742" s="1"/>
      <x:c r="E742" s="1"/>
      <x:c r="F742" s="1"/>
      <x:c r="G742" s="1"/>
      <x:c r="H742" s="1"/>
      <x:c r="I742" s="1"/>
      <x:c r="J742" s="1"/>
      <x:c r="K742" s="1"/>
      <x:c r="L742" s="1"/>
      <x:c r="M742" s="1"/>
      <x:c r="N742" s="1"/>
      <x:c r="O742" s="1"/>
      <x:c r="P742" s="1"/>
      <x:c r="Q742" s="1"/>
      <x:c r="R742" s="1"/>
      <x:c r="S742" s="1"/>
    </x:row>
    <x:row r="743" ht="26" customHeight="1">
      <x:c r="A743" s="1"/>
      <x:c r="B743" s="1"/>
      <x:c r="C743" s="1"/>
      <x:c r="D743" s="1"/>
      <x:c r="E743" s="1"/>
      <x:c r="F743" s="1"/>
      <x:c r="G743" s="1"/>
      <x:c r="H743" s="1"/>
      <x:c r="I743" s="1"/>
      <x:c r="J743" s="1"/>
      <x:c r="K743" s="1"/>
      <x:c r="L743" s="1"/>
      <x:c r="M743" s="1"/>
      <x:c r="N743" s="1"/>
      <x:c r="O743" s="1"/>
      <x:c r="P743" s="1"/>
      <x:c r="Q743" s="1"/>
      <x:c r="R743" s="1"/>
      <x:c r="S743" s="1"/>
    </x:row>
    <x:row r="744" ht="26" customHeight="1">
      <x:c r="A744" s="1"/>
      <x:c r="B744" s="1"/>
      <x:c r="C744" s="1"/>
      <x:c r="D744" s="1"/>
      <x:c r="E744" s="1"/>
      <x:c r="F744" s="1"/>
      <x:c r="G744" s="1"/>
      <x:c r="H744" s="1"/>
      <x:c r="I744" s="1"/>
      <x:c r="J744" s="1"/>
      <x:c r="K744" s="1"/>
      <x:c r="L744" s="1"/>
      <x:c r="M744" s="1"/>
      <x:c r="N744" s="1"/>
      <x:c r="O744" s="1"/>
      <x:c r="P744" s="1"/>
      <x:c r="Q744" s="1"/>
      <x:c r="R744" s="1"/>
      <x:c r="S744" s="1"/>
    </x:row>
    <x:row r="745" ht="26" customHeight="1">
      <x:c r="A745" s="1"/>
      <x:c r="B745" s="1"/>
      <x:c r="C745" s="1"/>
      <x:c r="D745" s="1"/>
      <x:c r="E745" s="1"/>
      <x:c r="F745" s="1"/>
      <x:c r="G745" s="1"/>
      <x:c r="H745" s="1"/>
      <x:c r="I745" s="1"/>
      <x:c r="J745" s="1"/>
      <x:c r="K745" s="1"/>
      <x:c r="L745" s="1"/>
      <x:c r="M745" s="1"/>
      <x:c r="N745" s="1"/>
      <x:c r="O745" s="1"/>
      <x:c r="P745" s="1"/>
      <x:c r="Q745" s="1"/>
      <x:c r="R745" s="1"/>
      <x:c r="S745" s="1"/>
    </x:row>
    <x:row r="746" ht="26" customHeight="1">
      <x:c r="A746" s="1"/>
      <x:c r="B746" s="1"/>
      <x:c r="C746" s="1"/>
      <x:c r="D746" s="1"/>
      <x:c r="E746" s="1"/>
      <x:c r="F746" s="1"/>
      <x:c r="G746" s="1"/>
      <x:c r="H746" s="1"/>
      <x:c r="I746" s="1"/>
      <x:c r="J746" s="1"/>
      <x:c r="K746" s="1"/>
      <x:c r="L746" s="1"/>
      <x:c r="M746" s="1"/>
      <x:c r="N746" s="1"/>
      <x:c r="O746" s="1"/>
      <x:c r="P746" s="1"/>
      <x:c r="Q746" s="1"/>
      <x:c r="R746" s="1"/>
      <x:c r="S746" s="1"/>
    </x:row>
    <x:row r="747" ht="26" customHeight="1">
      <x:c r="A747" s="1"/>
      <x:c r="B747" s="1"/>
      <x:c r="C747" s="1"/>
      <x:c r="D747" s="1"/>
      <x:c r="E747" s="1"/>
      <x:c r="F747" s="1"/>
      <x:c r="G747" s="1"/>
      <x:c r="H747" s="1"/>
      <x:c r="I747" s="1"/>
      <x:c r="J747" s="1"/>
      <x:c r="K747" s="1"/>
      <x:c r="L747" s="1"/>
      <x:c r="M747" s="1"/>
      <x:c r="N747" s="1"/>
      <x:c r="O747" s="1"/>
      <x:c r="P747" s="1"/>
      <x:c r="Q747" s="1"/>
      <x:c r="R747" s="1"/>
      <x:c r="S747" s="1"/>
    </x:row>
    <x:row r="748" ht="26" customHeight="1">
      <x:c r="A748" s="1"/>
      <x:c r="B748" s="1"/>
      <x:c r="C748" s="1"/>
      <x:c r="D748" s="1"/>
      <x:c r="E748" s="1"/>
      <x:c r="F748" s="1"/>
      <x:c r="G748" s="1"/>
      <x:c r="H748" s="1"/>
      <x:c r="I748" s="1"/>
      <x:c r="J748" s="1"/>
      <x:c r="K748" s="1"/>
      <x:c r="L748" s="1"/>
      <x:c r="M748" s="1"/>
      <x:c r="N748" s="1"/>
      <x:c r="O748" s="1"/>
      <x:c r="P748" s="1"/>
      <x:c r="Q748" s="1"/>
      <x:c r="R748" s="1"/>
      <x:c r="S748" s="1"/>
    </x:row>
    <x:row r="749" ht="26" customHeight="1">
      <x:c r="A749" s="1"/>
      <x:c r="B749" s="1"/>
      <x:c r="C749" s="1"/>
      <x:c r="D749" s="1"/>
      <x:c r="E749" s="1"/>
      <x:c r="F749" s="1"/>
      <x:c r="G749" s="1"/>
      <x:c r="H749" s="1"/>
      <x:c r="I749" s="1"/>
      <x:c r="J749" s="1"/>
      <x:c r="K749" s="1"/>
      <x:c r="L749" s="1"/>
      <x:c r="M749" s="1"/>
      <x:c r="N749" s="1"/>
      <x:c r="O749" s="1"/>
      <x:c r="P749" s="1"/>
      <x:c r="Q749" s="1"/>
      <x:c r="R749" s="1"/>
      <x:c r="S749" s="1"/>
    </x:row>
    <x:row r="750" ht="26" customHeight="1">
      <x:c r="A750" s="1"/>
      <x:c r="B750" s="1"/>
      <x:c r="C750" s="1"/>
      <x:c r="D750" s="1"/>
      <x:c r="E750" s="1"/>
      <x:c r="F750" s="1"/>
      <x:c r="G750" s="1"/>
      <x:c r="H750" s="1"/>
      <x:c r="I750" s="1"/>
      <x:c r="J750" s="1"/>
      <x:c r="K750" s="1"/>
      <x:c r="L750" s="1"/>
      <x:c r="M750" s="1"/>
      <x:c r="N750" s="1"/>
      <x:c r="O750" s="1"/>
      <x:c r="P750" s="1"/>
      <x:c r="Q750" s="1"/>
      <x:c r="R750" s="1"/>
      <x:c r="S750" s="1"/>
    </x:row>
    <x:row r="751" ht="26" customHeight="1">
      <x:c r="A751" s="1"/>
      <x:c r="B751" s="1"/>
      <x:c r="C751" s="1"/>
      <x:c r="D751" s="1"/>
      <x:c r="E751" s="1"/>
      <x:c r="F751" s="1"/>
      <x:c r="G751" s="1"/>
      <x:c r="H751" s="1"/>
      <x:c r="I751" s="1"/>
      <x:c r="J751" s="1"/>
      <x:c r="K751" s="1"/>
      <x:c r="L751" s="1"/>
      <x:c r="M751" s="1"/>
      <x:c r="N751" s="1"/>
      <x:c r="O751" s="1"/>
      <x:c r="P751" s="1"/>
      <x:c r="Q751" s="1"/>
      <x:c r="R751" s="1"/>
      <x:c r="S751" s="1"/>
    </x:row>
    <x:row r="752" ht="26" customHeight="1">
      <x:c r="A752" s="1"/>
      <x:c r="B752" s="1"/>
      <x:c r="C752" s="1"/>
      <x:c r="D752" s="1"/>
      <x:c r="E752" s="1"/>
      <x:c r="F752" s="1"/>
      <x:c r="G752" s="1"/>
      <x:c r="H752" s="1"/>
      <x:c r="I752" s="1"/>
      <x:c r="J752" s="1"/>
      <x:c r="K752" s="1"/>
      <x:c r="L752" s="1"/>
      <x:c r="M752" s="1"/>
      <x:c r="N752" s="1"/>
      <x:c r="O752" s="1"/>
      <x:c r="P752" s="1"/>
      <x:c r="Q752" s="1"/>
      <x:c r="R752" s="1"/>
      <x:c r="S752" s="1"/>
    </x:row>
    <x:row r="753" ht="26" customHeight="1">
      <x:c r="A753" s="1"/>
      <x:c r="B753" s="1"/>
      <x:c r="C753" s="1"/>
      <x:c r="D753" s="1"/>
      <x:c r="E753" s="1"/>
      <x:c r="F753" s="1"/>
      <x:c r="G753" s="1"/>
      <x:c r="H753" s="1"/>
      <x:c r="I753" s="1"/>
      <x:c r="J753" s="1"/>
      <x:c r="K753" s="1"/>
      <x:c r="L753" s="1"/>
      <x:c r="M753" s="1"/>
      <x:c r="N753" s="1"/>
      <x:c r="O753" s="1"/>
      <x:c r="P753" s="1"/>
      <x:c r="Q753" s="1"/>
      <x:c r="R753" s="1"/>
      <x:c r="S753" s="1"/>
    </x:row>
    <x:row r="754" ht="26" customHeight="1">
      <x:c r="A754" s="1"/>
      <x:c r="B754" s="1"/>
      <x:c r="C754" s="1"/>
      <x:c r="D754" s="1"/>
      <x:c r="E754" s="1"/>
      <x:c r="F754" s="1"/>
      <x:c r="G754" s="1"/>
      <x:c r="H754" s="1"/>
      <x:c r="I754" s="1"/>
      <x:c r="J754" s="1"/>
      <x:c r="K754" s="1"/>
      <x:c r="L754" s="1"/>
      <x:c r="M754" s="1"/>
      <x:c r="N754" s="1"/>
      <x:c r="O754" s="1"/>
      <x:c r="P754" s="1"/>
      <x:c r="Q754" s="1"/>
      <x:c r="R754" s="1"/>
      <x:c r="S754" s="1"/>
    </x:row>
    <x:row r="755" ht="26" customHeight="1">
      <x:c r="A755" s="1"/>
      <x:c r="B755" s="1"/>
      <x:c r="C755" s="1"/>
      <x:c r="D755" s="1"/>
      <x:c r="E755" s="1"/>
      <x:c r="F755" s="1"/>
      <x:c r="G755" s="1"/>
      <x:c r="H755" s="1"/>
      <x:c r="I755" s="1"/>
      <x:c r="J755" s="1"/>
      <x:c r="K755" s="1"/>
      <x:c r="L755" s="1"/>
      <x:c r="M755" s="1"/>
      <x:c r="N755" s="1"/>
      <x:c r="O755" s="1"/>
      <x:c r="P755" s="1"/>
      <x:c r="Q755" s="1"/>
      <x:c r="R755" s="1"/>
      <x:c r="S755" s="1"/>
    </x:row>
    <x:row r="756" ht="26" customHeight="1">
      <x:c r="A756" s="1"/>
      <x:c r="B756" s="1"/>
      <x:c r="C756" s="1"/>
      <x:c r="D756" s="1"/>
      <x:c r="E756" s="1"/>
      <x:c r="F756" s="1"/>
      <x:c r="G756" s="1"/>
      <x:c r="H756" s="1"/>
      <x:c r="I756" s="1"/>
      <x:c r="J756" s="1"/>
      <x:c r="K756" s="1"/>
      <x:c r="L756" s="1"/>
      <x:c r="M756" s="1"/>
      <x:c r="N756" s="1"/>
      <x:c r="O756" s="1"/>
      <x:c r="P756" s="1"/>
      <x:c r="Q756" s="1"/>
      <x:c r="R756" s="1"/>
      <x:c r="S756" s="1"/>
    </x:row>
    <x:row r="757" ht="26" customHeight="1">
      <x:c r="A757" s="1"/>
      <x:c r="B757" s="1"/>
      <x:c r="C757" s="1"/>
      <x:c r="D757" s="1"/>
      <x:c r="E757" s="1"/>
      <x:c r="F757" s="1"/>
      <x:c r="G757" s="1"/>
      <x:c r="H757" s="1"/>
      <x:c r="I757" s="1"/>
      <x:c r="J757" s="1"/>
      <x:c r="K757" s="1"/>
      <x:c r="L757" s="1"/>
      <x:c r="M757" s="1"/>
      <x:c r="N757" s="1"/>
      <x:c r="O757" s="1"/>
      <x:c r="P757" s="1"/>
      <x:c r="Q757" s="1"/>
      <x:c r="R757" s="1"/>
      <x:c r="S757" s="1"/>
    </x:row>
    <x:row r="758" ht="26" customHeight="1">
      <x:c r="A758" s="1"/>
      <x:c r="B758" s="1"/>
      <x:c r="C758" s="1"/>
      <x:c r="D758" s="1"/>
      <x:c r="E758" s="1"/>
      <x:c r="F758" s="1"/>
      <x:c r="G758" s="1"/>
      <x:c r="H758" s="1"/>
      <x:c r="I758" s="1"/>
      <x:c r="J758" s="1"/>
      <x:c r="K758" s="1"/>
      <x:c r="L758" s="1"/>
      <x:c r="M758" s="1"/>
      <x:c r="N758" s="1"/>
      <x:c r="O758" s="1"/>
      <x:c r="P758" s="1"/>
      <x:c r="Q758" s="1"/>
      <x:c r="R758" s="1"/>
      <x:c r="S758" s="1"/>
    </x:row>
    <x:row r="759" ht="26" customHeight="1">
      <x:c r="A759" s="1"/>
      <x:c r="B759" s="1"/>
      <x:c r="C759" s="1"/>
      <x:c r="D759" s="1"/>
      <x:c r="E759" s="1"/>
      <x:c r="F759" s="1"/>
      <x:c r="G759" s="1"/>
      <x:c r="H759" s="1"/>
      <x:c r="I759" s="1"/>
      <x:c r="J759" s="1"/>
      <x:c r="K759" s="1"/>
      <x:c r="L759" s="1"/>
      <x:c r="M759" s="1"/>
      <x:c r="N759" s="1"/>
      <x:c r="O759" s="1"/>
      <x:c r="P759" s="1"/>
      <x:c r="Q759" s="1"/>
      <x:c r="R759" s="1"/>
      <x:c r="S759" s="1"/>
    </x:row>
    <x:row r="760" ht="26" customHeight="1">
      <x:c r="A760" s="1"/>
      <x:c r="B760" s="1"/>
      <x:c r="C760" s="1"/>
      <x:c r="D760" s="1"/>
      <x:c r="E760" s="1"/>
      <x:c r="F760" s="1"/>
      <x:c r="G760" s="1"/>
      <x:c r="H760" s="1"/>
      <x:c r="I760" s="1"/>
      <x:c r="J760" s="1"/>
      <x:c r="K760" s="1"/>
      <x:c r="L760" s="1"/>
      <x:c r="M760" s="1"/>
      <x:c r="N760" s="1"/>
      <x:c r="O760" s="1"/>
      <x:c r="P760" s="1"/>
      <x:c r="Q760" s="1"/>
      <x:c r="R760" s="1"/>
      <x:c r="S760" s="1"/>
    </x:row>
    <x:row r="761" ht="26" customHeight="1">
      <x:c r="A761" s="1"/>
      <x:c r="B761" s="1"/>
      <x:c r="C761" s="1"/>
      <x:c r="D761" s="1"/>
      <x:c r="E761" s="1"/>
      <x:c r="F761" s="1"/>
      <x:c r="G761" s="1"/>
      <x:c r="H761" s="1"/>
      <x:c r="I761" s="1"/>
      <x:c r="J761" s="1"/>
      <x:c r="K761" s="1"/>
      <x:c r="L761" s="1"/>
      <x:c r="M761" s="1"/>
      <x:c r="N761" s="1"/>
      <x:c r="O761" s="1"/>
      <x:c r="P761" s="1"/>
      <x:c r="Q761" s="1"/>
      <x:c r="R761" s="1"/>
      <x:c r="S761" s="1"/>
    </x:row>
    <x:row r="762" ht="26" customHeight="1">
      <x:c r="A762" s="1"/>
      <x:c r="B762" s="1"/>
      <x:c r="C762" s="1"/>
      <x:c r="D762" s="1"/>
      <x:c r="E762" s="1"/>
      <x:c r="F762" s="1"/>
      <x:c r="G762" s="1"/>
      <x:c r="H762" s="1"/>
      <x:c r="I762" s="1"/>
      <x:c r="J762" s="1"/>
      <x:c r="K762" s="1"/>
      <x:c r="L762" s="1"/>
      <x:c r="M762" s="1"/>
      <x:c r="N762" s="1"/>
      <x:c r="O762" s="1"/>
      <x:c r="P762" s="1"/>
      <x:c r="Q762" s="1"/>
      <x:c r="R762" s="1"/>
      <x:c r="S762" s="1"/>
    </x:row>
    <x:row r="763" ht="26" customHeight="1">
      <x:c r="A763" s="1"/>
      <x:c r="B763" s="1"/>
      <x:c r="C763" s="1"/>
      <x:c r="D763" s="1"/>
      <x:c r="E763" s="1"/>
      <x:c r="F763" s="1"/>
      <x:c r="G763" s="1"/>
      <x:c r="H763" s="1"/>
      <x:c r="I763" s="1"/>
      <x:c r="J763" s="1"/>
      <x:c r="K763" s="1"/>
      <x:c r="L763" s="1"/>
      <x:c r="M763" s="1"/>
      <x:c r="N763" s="1"/>
      <x:c r="O763" s="1"/>
      <x:c r="P763" s="1"/>
      <x:c r="Q763" s="1"/>
      <x:c r="R763" s="1"/>
      <x:c r="S763" s="1"/>
    </x:row>
    <x:row r="764" ht="26" customHeight="1">
      <x:c r="A764" s="1"/>
      <x:c r="B764" s="1"/>
      <x:c r="C764" s="1"/>
      <x:c r="D764" s="1"/>
      <x:c r="E764" s="1"/>
      <x:c r="F764" s="1"/>
      <x:c r="G764" s="1"/>
      <x:c r="H764" s="1"/>
      <x:c r="I764" s="1"/>
      <x:c r="J764" s="1"/>
      <x:c r="K764" s="1"/>
      <x:c r="L764" s="1"/>
      <x:c r="M764" s="1"/>
      <x:c r="N764" s="1"/>
      <x:c r="O764" s="1"/>
      <x:c r="P764" s="1"/>
      <x:c r="Q764" s="1"/>
      <x:c r="R764" s="1"/>
      <x:c r="S764" s="1"/>
    </x:row>
    <x:row r="765" ht="26" customHeight="1">
      <x:c r="A765" s="1"/>
      <x:c r="B765" s="1"/>
      <x:c r="C765" s="1"/>
      <x:c r="D765" s="1"/>
      <x:c r="E765" s="1"/>
      <x:c r="F765" s="1"/>
      <x:c r="G765" s="1"/>
      <x:c r="H765" s="1"/>
      <x:c r="I765" s="1"/>
      <x:c r="J765" s="1"/>
      <x:c r="K765" s="1"/>
      <x:c r="L765" s="1"/>
      <x:c r="M765" s="1"/>
      <x:c r="N765" s="1"/>
      <x:c r="O765" s="1"/>
      <x:c r="P765" s="1"/>
      <x:c r="Q765" s="1"/>
      <x:c r="R765" s="1"/>
      <x:c r="S765" s="1"/>
    </x:row>
    <x:row r="766" ht="26" customHeight="1">
      <x:c r="A766" s="1"/>
      <x:c r="B766" s="1"/>
      <x:c r="C766" s="1"/>
      <x:c r="D766" s="1"/>
      <x:c r="E766" s="1"/>
      <x:c r="F766" s="1"/>
      <x:c r="G766" s="1"/>
      <x:c r="H766" s="1"/>
      <x:c r="I766" s="1"/>
      <x:c r="J766" s="1"/>
      <x:c r="K766" s="1"/>
      <x:c r="L766" s="1"/>
      <x:c r="M766" s="1"/>
      <x:c r="N766" s="1"/>
      <x:c r="O766" s="1"/>
      <x:c r="P766" s="1"/>
      <x:c r="Q766" s="1"/>
      <x:c r="R766" s="1"/>
      <x:c r="S766" s="1"/>
    </x:row>
    <x:row r="767" ht="26" customHeight="1">
      <x:c r="A767" s="1"/>
      <x:c r="B767" s="1"/>
      <x:c r="C767" s="1"/>
      <x:c r="D767" s="1"/>
      <x:c r="E767" s="1"/>
      <x:c r="F767" s="1"/>
      <x:c r="G767" s="1"/>
      <x:c r="H767" s="1"/>
      <x:c r="I767" s="1"/>
      <x:c r="J767" s="1"/>
      <x:c r="K767" s="1"/>
      <x:c r="L767" s="1"/>
      <x:c r="M767" s="1"/>
      <x:c r="N767" s="1"/>
      <x:c r="O767" s="1"/>
      <x:c r="P767" s="1"/>
      <x:c r="Q767" s="1"/>
      <x:c r="R767" s="1"/>
      <x:c r="S767" s="1"/>
    </x:row>
    <x:row r="768" ht="26" customHeight="1">
      <x:c r="A768" s="1"/>
      <x:c r="B768" s="1"/>
      <x:c r="C768" s="1"/>
      <x:c r="D768" s="1"/>
      <x:c r="E768" s="1"/>
      <x:c r="F768" s="1"/>
      <x:c r="G768" s="1"/>
      <x:c r="H768" s="1"/>
      <x:c r="I768" s="1"/>
      <x:c r="J768" s="1"/>
      <x:c r="K768" s="1"/>
      <x:c r="L768" s="1"/>
      <x:c r="M768" s="1"/>
      <x:c r="N768" s="1"/>
      <x:c r="O768" s="1"/>
      <x:c r="P768" s="1"/>
      <x:c r="Q768" s="1"/>
      <x:c r="R768" s="1"/>
      <x:c r="S768" s="1"/>
    </x:row>
    <x:row r="769" ht="26" customHeight="1">
      <x:c r="A769" s="1"/>
      <x:c r="B769" s="1"/>
      <x:c r="C769" s="1"/>
      <x:c r="D769" s="1"/>
      <x:c r="E769" s="1"/>
      <x:c r="F769" s="1"/>
      <x:c r="G769" s="1"/>
      <x:c r="H769" s="1"/>
      <x:c r="I769" s="1"/>
      <x:c r="J769" s="1"/>
      <x:c r="K769" s="1"/>
      <x:c r="L769" s="1"/>
      <x:c r="M769" s="1"/>
      <x:c r="N769" s="1"/>
      <x:c r="O769" s="1"/>
      <x:c r="P769" s="1"/>
      <x:c r="Q769" s="1"/>
      <x:c r="R769" s="1"/>
      <x:c r="S769" s="1"/>
    </x:row>
    <x:row r="770" ht="26" customHeight="1">
      <x:c r="A770" s="1"/>
      <x:c r="B770" s="1"/>
      <x:c r="C770" s="1"/>
      <x:c r="D770" s="1"/>
      <x:c r="E770" s="1"/>
      <x:c r="F770" s="1"/>
      <x:c r="G770" s="1"/>
      <x:c r="H770" s="1"/>
      <x:c r="I770" s="1"/>
      <x:c r="J770" s="1"/>
      <x:c r="K770" s="1"/>
      <x:c r="L770" s="1"/>
      <x:c r="M770" s="1"/>
      <x:c r="N770" s="1"/>
      <x:c r="O770" s="1"/>
      <x:c r="P770" s="1"/>
      <x:c r="Q770" s="1"/>
      <x:c r="R770" s="1"/>
      <x:c r="S770" s="1"/>
    </x:row>
    <x:row r="771" ht="26" customHeight="1">
      <x:c r="A771" s="1"/>
      <x:c r="B771" s="1"/>
      <x:c r="C771" s="1"/>
      <x:c r="D771" s="1"/>
      <x:c r="E771" s="1"/>
      <x:c r="F771" s="1"/>
      <x:c r="G771" s="1"/>
      <x:c r="H771" s="1"/>
      <x:c r="I771" s="1"/>
      <x:c r="J771" s="1"/>
      <x:c r="K771" s="1"/>
      <x:c r="L771" s="1"/>
      <x:c r="M771" s="1"/>
      <x:c r="N771" s="1"/>
      <x:c r="O771" s="1"/>
      <x:c r="P771" s="1"/>
      <x:c r="Q771" s="1"/>
      <x:c r="R771" s="1"/>
      <x:c r="S771" s="1"/>
    </x:row>
    <x:row r="772" ht="26" customHeight="1">
      <x:c r="A772" s="1"/>
      <x:c r="B772" s="1"/>
      <x:c r="C772" s="1"/>
      <x:c r="D772" s="1"/>
      <x:c r="E772" s="1"/>
      <x:c r="F772" s="1"/>
      <x:c r="G772" s="1"/>
      <x:c r="H772" s="1"/>
      <x:c r="I772" s="1"/>
      <x:c r="J772" s="1"/>
      <x:c r="K772" s="1"/>
      <x:c r="L772" s="1"/>
      <x:c r="M772" s="1"/>
      <x:c r="N772" s="1"/>
      <x:c r="O772" s="1"/>
      <x:c r="P772" s="1"/>
      <x:c r="Q772" s="1"/>
      <x:c r="R772" s="1"/>
      <x:c r="S772" s="1"/>
    </x:row>
    <x:row r="773" ht="26" customHeight="1">
      <x:c r="A773" s="1"/>
      <x:c r="B773" s="1"/>
      <x:c r="C773" s="1"/>
      <x:c r="D773" s="1"/>
      <x:c r="E773" s="1"/>
      <x:c r="F773" s="1"/>
      <x:c r="G773" s="1"/>
      <x:c r="H773" s="1"/>
      <x:c r="I773" s="1"/>
      <x:c r="J773" s="1"/>
      <x:c r="K773" s="1"/>
      <x:c r="L773" s="1"/>
      <x:c r="M773" s="1"/>
      <x:c r="N773" s="1"/>
      <x:c r="O773" s="1"/>
      <x:c r="P773" s="1"/>
      <x:c r="Q773" s="1"/>
      <x:c r="R773" s="1"/>
      <x:c r="S773" s="1"/>
    </x:row>
    <x:row r="774" ht="26" customHeight="1">
      <x:c r="A774" s="1"/>
      <x:c r="B774" s="1"/>
      <x:c r="C774" s="1"/>
      <x:c r="D774" s="1"/>
      <x:c r="E774" s="1"/>
      <x:c r="F774" s="1"/>
      <x:c r="G774" s="1"/>
      <x:c r="H774" s="1"/>
      <x:c r="I774" s="1"/>
      <x:c r="J774" s="1"/>
      <x:c r="K774" s="1"/>
      <x:c r="L774" s="1"/>
      <x:c r="M774" s="1"/>
      <x:c r="N774" s="1"/>
      <x:c r="O774" s="1"/>
      <x:c r="P774" s="1"/>
      <x:c r="Q774" s="1"/>
      <x:c r="R774" s="1"/>
      <x:c r="S774" s="1"/>
    </x:row>
    <x:row r="775" ht="26" customHeight="1">
      <x:c r="A775" s="1"/>
      <x:c r="B775" s="1"/>
      <x:c r="C775" s="1"/>
      <x:c r="D775" s="1"/>
      <x:c r="E775" s="1"/>
      <x:c r="F775" s="1"/>
      <x:c r="G775" s="1"/>
      <x:c r="H775" s="1"/>
      <x:c r="I775" s="1"/>
      <x:c r="J775" s="1"/>
      <x:c r="K775" s="1"/>
      <x:c r="L775" s="1"/>
      <x:c r="M775" s="1"/>
      <x:c r="N775" s="1"/>
      <x:c r="O775" s="1"/>
      <x:c r="P775" s="1"/>
      <x:c r="Q775" s="1"/>
      <x:c r="R775" s="1"/>
      <x:c r="S775" s="1"/>
    </x:row>
    <x:row r="776" ht="26" customHeight="1">
      <x:c r="A776" s="1"/>
      <x:c r="B776" s="1"/>
      <x:c r="C776" s="1"/>
      <x:c r="D776" s="1"/>
      <x:c r="E776" s="1"/>
      <x:c r="F776" s="1"/>
      <x:c r="G776" s="1"/>
      <x:c r="H776" s="1"/>
      <x:c r="I776" s="1"/>
      <x:c r="J776" s="1"/>
      <x:c r="K776" s="1"/>
      <x:c r="L776" s="1"/>
      <x:c r="M776" s="1"/>
      <x:c r="N776" s="1"/>
      <x:c r="O776" s="1"/>
      <x:c r="P776" s="1"/>
      <x:c r="Q776" s="1"/>
      <x:c r="R776" s="1"/>
      <x:c r="S776" s="1"/>
    </x:row>
    <x:row r="777" ht="26" customHeight="1">
      <x:c r="A777" s="1"/>
      <x:c r="B777" s="1"/>
      <x:c r="C777" s="1"/>
      <x:c r="D777" s="1"/>
      <x:c r="E777" s="1"/>
      <x:c r="F777" s="1"/>
      <x:c r="G777" s="1"/>
      <x:c r="H777" s="1"/>
      <x:c r="I777" s="1"/>
      <x:c r="J777" s="1"/>
      <x:c r="K777" s="1"/>
      <x:c r="L777" s="1"/>
      <x:c r="M777" s="1"/>
      <x:c r="N777" s="1"/>
      <x:c r="O777" s="1"/>
      <x:c r="P777" s="1"/>
      <x:c r="Q777" s="1"/>
      <x:c r="R777" s="1"/>
      <x:c r="S777" s="1"/>
    </x:row>
    <x:row r="778" ht="26" customHeight="1">
      <x:c r="A778" s="1"/>
      <x:c r="B778" s="1"/>
      <x:c r="C778" s="1"/>
      <x:c r="D778" s="1"/>
      <x:c r="E778" s="1"/>
      <x:c r="F778" s="1"/>
      <x:c r="G778" s="1"/>
      <x:c r="H778" s="1"/>
      <x:c r="I778" s="1"/>
      <x:c r="J778" s="1"/>
      <x:c r="K778" s="1"/>
      <x:c r="L778" s="1"/>
      <x:c r="M778" s="1"/>
      <x:c r="N778" s="1"/>
      <x:c r="O778" s="1"/>
      <x:c r="P778" s="1"/>
      <x:c r="Q778" s="1"/>
      <x:c r="R778" s="1"/>
      <x:c r="S778" s="1"/>
    </x:row>
    <x:row r="779" ht="26" customHeight="1">
      <x:c r="A779" s="1"/>
      <x:c r="B779" s="1"/>
      <x:c r="C779" s="1"/>
      <x:c r="D779" s="1"/>
      <x:c r="E779" s="1"/>
      <x:c r="F779" s="1"/>
      <x:c r="G779" s="1"/>
      <x:c r="H779" s="1"/>
      <x:c r="I779" s="1"/>
      <x:c r="J779" s="1"/>
      <x:c r="K779" s="1"/>
      <x:c r="L779" s="1"/>
      <x:c r="M779" s="1"/>
      <x:c r="N779" s="1"/>
      <x:c r="O779" s="1"/>
      <x:c r="P779" s="1"/>
      <x:c r="Q779" s="1"/>
      <x:c r="R779" s="1"/>
      <x:c r="S779" s="1"/>
    </x:row>
    <x:row r="780" ht="26" customHeight="1">
      <x:c r="A780" s="1"/>
      <x:c r="B780" s="1"/>
      <x:c r="C780" s="1"/>
      <x:c r="D780" s="1"/>
      <x:c r="E780" s="1"/>
      <x:c r="F780" s="1"/>
      <x:c r="G780" s="1"/>
      <x:c r="H780" s="1"/>
      <x:c r="I780" s="1"/>
      <x:c r="J780" s="1"/>
      <x:c r="K780" s="1"/>
      <x:c r="L780" s="1"/>
      <x:c r="M780" s="1"/>
      <x:c r="N780" s="1"/>
      <x:c r="O780" s="1"/>
      <x:c r="P780" s="1"/>
      <x:c r="Q780" s="1"/>
      <x:c r="R780" s="1"/>
      <x:c r="S780" s="1"/>
    </x:row>
    <x:row r="781" ht="26" customHeight="1">
      <x:c r="A781" s="1"/>
      <x:c r="B781" s="1"/>
      <x:c r="C781" s="1"/>
      <x:c r="D781" s="1"/>
      <x:c r="E781" s="1"/>
      <x:c r="F781" s="1"/>
      <x:c r="G781" s="1"/>
      <x:c r="H781" s="1"/>
      <x:c r="I781" s="1"/>
      <x:c r="J781" s="1"/>
      <x:c r="K781" s="1"/>
      <x:c r="L781" s="1"/>
      <x:c r="M781" s="1"/>
      <x:c r="N781" s="1"/>
      <x:c r="O781" s="1"/>
      <x:c r="P781" s="1"/>
      <x:c r="Q781" s="1"/>
      <x:c r="R781" s="1"/>
      <x:c r="S781" s="1"/>
    </x:row>
    <x:row r="782" ht="26" customHeight="1">
      <x:c r="A782" s="1"/>
      <x:c r="B782" s="1"/>
      <x:c r="C782" s="1"/>
      <x:c r="D782" s="1"/>
      <x:c r="E782" s="1"/>
      <x:c r="F782" s="1"/>
      <x:c r="G782" s="1"/>
      <x:c r="H782" s="1"/>
      <x:c r="I782" s="1"/>
      <x:c r="J782" s="1"/>
      <x:c r="K782" s="1"/>
      <x:c r="L782" s="1"/>
      <x:c r="M782" s="1"/>
      <x:c r="N782" s="1"/>
      <x:c r="O782" s="1"/>
      <x:c r="P782" s="1"/>
      <x:c r="Q782" s="1"/>
      <x:c r="R782" s="1"/>
      <x:c r="S782" s="1"/>
    </x:row>
    <x:row r="783" ht="26" customHeight="1">
      <x:c r="A783" s="1"/>
      <x:c r="B783" s="1"/>
      <x:c r="C783" s="1"/>
      <x:c r="D783" s="1"/>
      <x:c r="E783" s="1"/>
      <x:c r="F783" s="1"/>
      <x:c r="G783" s="1"/>
      <x:c r="H783" s="1"/>
      <x:c r="I783" s="1"/>
      <x:c r="J783" s="1"/>
      <x:c r="K783" s="1"/>
      <x:c r="L783" s="1"/>
      <x:c r="M783" s="1"/>
      <x:c r="N783" s="1"/>
      <x:c r="O783" s="1"/>
      <x:c r="P783" s="1"/>
      <x:c r="Q783" s="1"/>
      <x:c r="R783" s="1"/>
      <x:c r="S783" s="1"/>
    </x:row>
    <x:row r="784" ht="26" customHeight="1">
      <x:c r="A784" s="1"/>
      <x:c r="B784" s="1"/>
      <x:c r="C784" s="1"/>
      <x:c r="D784" s="1"/>
      <x:c r="E784" s="1"/>
      <x:c r="F784" s="1"/>
      <x:c r="G784" s="1"/>
      <x:c r="H784" s="1"/>
      <x:c r="I784" s="1"/>
      <x:c r="J784" s="1"/>
      <x:c r="K784" s="1"/>
      <x:c r="L784" s="1"/>
      <x:c r="M784" s="1"/>
      <x:c r="N784" s="1"/>
      <x:c r="O784" s="1"/>
      <x:c r="P784" s="1"/>
      <x:c r="Q784" s="1"/>
      <x:c r="R784" s="1"/>
      <x:c r="S784" s="1"/>
    </x:row>
    <x:row r="785" ht="26" customHeight="1">
      <x:c r="A785" s="1"/>
      <x:c r="B785" s="1"/>
      <x:c r="C785" s="1"/>
      <x:c r="D785" s="1"/>
      <x:c r="E785" s="1"/>
      <x:c r="F785" s="1"/>
      <x:c r="G785" s="1"/>
      <x:c r="H785" s="1"/>
      <x:c r="I785" s="1"/>
      <x:c r="J785" s="1"/>
      <x:c r="K785" s="1"/>
      <x:c r="L785" s="1"/>
      <x:c r="M785" s="1"/>
      <x:c r="N785" s="1"/>
      <x:c r="O785" s="1"/>
      <x:c r="P785" s="1"/>
      <x:c r="Q785" s="1"/>
      <x:c r="R785" s="1"/>
      <x:c r="S785" s="1"/>
    </x:row>
    <x:row r="786" ht="26" customHeight="1">
      <x:c r="A786" s="1"/>
      <x:c r="B786" s="1"/>
      <x:c r="C786" s="1"/>
      <x:c r="D786" s="1"/>
      <x:c r="E786" s="1"/>
      <x:c r="F786" s="1"/>
      <x:c r="G786" s="1"/>
      <x:c r="H786" s="1"/>
      <x:c r="I786" s="1"/>
      <x:c r="J786" s="1"/>
      <x:c r="K786" s="1"/>
      <x:c r="L786" s="1"/>
      <x:c r="M786" s="1"/>
      <x:c r="N786" s="1"/>
      <x:c r="O786" s="1"/>
      <x:c r="P786" s="1"/>
      <x:c r="Q786" s="1"/>
      <x:c r="R786" s="1"/>
      <x:c r="S786" s="1"/>
    </x:row>
    <x:row r="787" ht="26" customHeight="1">
      <x:c r="A787" s="1"/>
      <x:c r="B787" s="1"/>
      <x:c r="C787" s="1"/>
      <x:c r="D787" s="1"/>
      <x:c r="E787" s="1"/>
      <x:c r="F787" s="1"/>
      <x:c r="G787" s="1"/>
      <x:c r="H787" s="1"/>
      <x:c r="I787" s="1"/>
      <x:c r="J787" s="1"/>
      <x:c r="K787" s="1"/>
      <x:c r="L787" s="1"/>
      <x:c r="M787" s="1"/>
      <x:c r="N787" s="1"/>
      <x:c r="O787" s="1"/>
      <x:c r="P787" s="1"/>
      <x:c r="Q787" s="1"/>
      <x:c r="R787" s="1"/>
      <x:c r="S787" s="1"/>
    </x:row>
    <x:row r="788" ht="26" customHeight="1">
      <x:c r="A788" s="1"/>
      <x:c r="B788" s="1"/>
      <x:c r="C788" s="1"/>
      <x:c r="D788" s="1"/>
      <x:c r="E788" s="1"/>
      <x:c r="F788" s="1"/>
      <x:c r="G788" s="1"/>
      <x:c r="H788" s="1"/>
      <x:c r="I788" s="1"/>
      <x:c r="J788" s="1"/>
      <x:c r="K788" s="1"/>
      <x:c r="L788" s="1"/>
      <x:c r="M788" s="1"/>
      <x:c r="N788" s="1"/>
      <x:c r="O788" s="1"/>
      <x:c r="P788" s="1"/>
      <x:c r="Q788" s="1"/>
      <x:c r="R788" s="1"/>
      <x:c r="S788" s="1"/>
    </x:row>
    <x:row r="789" ht="26" customHeight="1">
      <x:c r="A789" s="1"/>
      <x:c r="B789" s="1"/>
      <x:c r="C789" s="1"/>
      <x:c r="D789" s="1"/>
      <x:c r="E789" s="1"/>
      <x:c r="F789" s="1"/>
      <x:c r="G789" s="1"/>
      <x:c r="H789" s="1"/>
      <x:c r="I789" s="1"/>
      <x:c r="J789" s="1"/>
      <x:c r="K789" s="1"/>
      <x:c r="L789" s="1"/>
      <x:c r="M789" s="1"/>
      <x:c r="N789" s="1"/>
      <x:c r="O789" s="1"/>
      <x:c r="P789" s="1"/>
      <x:c r="Q789" s="1"/>
      <x:c r="R789" s="1"/>
      <x:c r="S789" s="1"/>
    </x:row>
    <x:row r="790" ht="26" customHeight="1">
      <x:c r="A790" s="1"/>
      <x:c r="B790" s="1"/>
      <x:c r="C790" s="1"/>
      <x:c r="D790" s="1"/>
      <x:c r="E790" s="1"/>
      <x:c r="F790" s="1"/>
      <x:c r="G790" s="1"/>
      <x:c r="H790" s="1"/>
      <x:c r="I790" s="1"/>
      <x:c r="J790" s="1"/>
      <x:c r="K790" s="1"/>
      <x:c r="L790" s="1"/>
      <x:c r="M790" s="1"/>
      <x:c r="N790" s="1"/>
      <x:c r="O790" s="1"/>
      <x:c r="P790" s="1"/>
      <x:c r="Q790" s="1"/>
      <x:c r="R790" s="1"/>
      <x:c r="S790" s="1"/>
    </x:row>
    <x:row r="791" ht="26" customHeight="1">
      <x:c r="A791" s="1"/>
      <x:c r="B791" s="1"/>
      <x:c r="C791" s="1"/>
      <x:c r="D791" s="1"/>
      <x:c r="E791" s="1"/>
      <x:c r="F791" s="1"/>
      <x:c r="G791" s="1"/>
      <x:c r="H791" s="1"/>
      <x:c r="I791" s="1"/>
      <x:c r="J791" s="1"/>
      <x:c r="K791" s="1"/>
      <x:c r="L791" s="1"/>
      <x:c r="M791" s="1"/>
      <x:c r="N791" s="1"/>
      <x:c r="O791" s="1"/>
      <x:c r="P791" s="1"/>
      <x:c r="Q791" s="1"/>
      <x:c r="R791" s="1"/>
      <x:c r="S791" s="1"/>
    </x:row>
    <x:row r="792" ht="26" customHeight="1">
      <x:c r="A792" s="1"/>
      <x:c r="B792" s="1"/>
      <x:c r="C792" s="1"/>
      <x:c r="D792" s="1"/>
      <x:c r="E792" s="1"/>
      <x:c r="F792" s="1"/>
      <x:c r="G792" s="1"/>
      <x:c r="H792" s="1"/>
      <x:c r="I792" s="1"/>
      <x:c r="J792" s="1"/>
      <x:c r="K792" s="1"/>
      <x:c r="L792" s="1"/>
      <x:c r="M792" s="1"/>
      <x:c r="N792" s="1"/>
      <x:c r="O792" s="1"/>
      <x:c r="P792" s="1"/>
      <x:c r="Q792" s="1"/>
      <x:c r="R792" s="1"/>
      <x:c r="S792" s="1"/>
    </x:row>
    <x:row r="793" ht="26" customHeight="1">
      <x:c r="A793" s="1"/>
      <x:c r="B793" s="1"/>
      <x:c r="C793" s="1"/>
      <x:c r="D793" s="1"/>
      <x:c r="E793" s="1"/>
      <x:c r="F793" s="1"/>
      <x:c r="G793" s="1"/>
      <x:c r="H793" s="1"/>
      <x:c r="I793" s="1"/>
      <x:c r="J793" s="1"/>
      <x:c r="K793" s="1"/>
      <x:c r="L793" s="1"/>
      <x:c r="M793" s="1"/>
      <x:c r="N793" s="1"/>
      <x:c r="O793" s="1"/>
      <x:c r="P793" s="1"/>
      <x:c r="Q793" s="1"/>
      <x:c r="R793" s="1"/>
      <x:c r="S793" s="1"/>
    </x:row>
    <x:row r="794" ht="26" customHeight="1">
      <x:c r="A794" s="1"/>
      <x:c r="B794" s="1"/>
      <x:c r="C794" s="1"/>
      <x:c r="D794" s="1"/>
      <x:c r="E794" s="1"/>
      <x:c r="F794" s="1"/>
      <x:c r="G794" s="1"/>
      <x:c r="H794" s="1"/>
      <x:c r="I794" s="1"/>
      <x:c r="J794" s="1"/>
      <x:c r="K794" s="1"/>
      <x:c r="L794" s="1"/>
      <x:c r="M794" s="1"/>
      <x:c r="N794" s="1"/>
      <x:c r="O794" s="1"/>
      <x:c r="P794" s="1"/>
      <x:c r="Q794" s="1"/>
      <x:c r="R794" s="1"/>
      <x:c r="S794" s="1"/>
    </x:row>
    <x:row r="795" ht="26" customHeight="1">
      <x:c r="A795" s="1"/>
      <x:c r="B795" s="1"/>
      <x:c r="C795" s="1"/>
      <x:c r="D795" s="1"/>
      <x:c r="E795" s="1"/>
      <x:c r="F795" s="1"/>
      <x:c r="G795" s="1"/>
      <x:c r="H795" s="1"/>
      <x:c r="I795" s="1"/>
      <x:c r="J795" s="1"/>
      <x:c r="K795" s="1"/>
      <x:c r="L795" s="1"/>
      <x:c r="M795" s="1"/>
      <x:c r="N795" s="1"/>
      <x:c r="O795" s="1"/>
      <x:c r="P795" s="1"/>
      <x:c r="Q795" s="1"/>
      <x:c r="R795" s="1"/>
      <x:c r="S795" s="1"/>
    </x:row>
    <x:row r="796" ht="26" customHeight="1">
      <x:c r="A796" s="1"/>
      <x:c r="B796" s="1"/>
      <x:c r="C796" s="1"/>
      <x:c r="D796" s="1"/>
      <x:c r="E796" s="1"/>
      <x:c r="F796" s="1"/>
      <x:c r="G796" s="1"/>
      <x:c r="H796" s="1"/>
      <x:c r="I796" s="1"/>
      <x:c r="J796" s="1"/>
      <x:c r="K796" s="1"/>
      <x:c r="L796" s="1"/>
      <x:c r="M796" s="1"/>
      <x:c r="N796" s="1"/>
      <x:c r="O796" s="1"/>
      <x:c r="P796" s="1"/>
      <x:c r="Q796" s="1"/>
      <x:c r="R796" s="1"/>
      <x:c r="S796" s="1"/>
    </x:row>
    <x:row r="797" ht="26" customHeight="1">
      <x:c r="A797" s="1"/>
      <x:c r="B797" s="1"/>
      <x:c r="C797" s="1"/>
      <x:c r="D797" s="1"/>
      <x:c r="E797" s="1"/>
      <x:c r="F797" s="1"/>
      <x:c r="G797" s="1"/>
      <x:c r="H797" s="1"/>
      <x:c r="I797" s="1"/>
      <x:c r="J797" s="1"/>
      <x:c r="K797" s="1"/>
      <x:c r="L797" s="1"/>
      <x:c r="M797" s="1"/>
      <x:c r="N797" s="1"/>
      <x:c r="O797" s="1"/>
      <x:c r="P797" s="1"/>
      <x:c r="Q797" s="1"/>
      <x:c r="R797" s="1"/>
      <x:c r="S797" s="1"/>
    </x:row>
    <x:row r="798" ht="26" customHeight="1">
      <x:c r="A798" s="1"/>
      <x:c r="B798" s="1"/>
      <x:c r="C798" s="1"/>
      <x:c r="D798" s="1"/>
      <x:c r="E798" s="1"/>
      <x:c r="F798" s="1"/>
      <x:c r="G798" s="1"/>
      <x:c r="H798" s="1"/>
      <x:c r="I798" s="1"/>
      <x:c r="J798" s="1"/>
      <x:c r="K798" s="1"/>
      <x:c r="L798" s="1"/>
      <x:c r="M798" s="1"/>
      <x:c r="N798" s="1"/>
      <x:c r="O798" s="1"/>
      <x:c r="P798" s="1"/>
      <x:c r="Q798" s="1"/>
      <x:c r="R798" s="1"/>
      <x:c r="S798" s="1"/>
    </x:row>
    <x:row r="799" ht="26" customHeight="1">
      <x:c r="A799" s="1"/>
      <x:c r="B799" s="1"/>
      <x:c r="C799" s="1"/>
      <x:c r="D799" s="1"/>
      <x:c r="E799" s="1"/>
      <x:c r="F799" s="1"/>
      <x:c r="G799" s="1"/>
      <x:c r="H799" s="1"/>
      <x:c r="I799" s="1"/>
      <x:c r="J799" s="1"/>
      <x:c r="K799" s="1"/>
      <x:c r="L799" s="1"/>
      <x:c r="M799" s="1"/>
      <x:c r="N799" s="1"/>
      <x:c r="O799" s="1"/>
      <x:c r="P799" s="1"/>
      <x:c r="Q799" s="1"/>
      <x:c r="R799" s="1"/>
      <x:c r="S799" s="1"/>
    </x:row>
    <x:row r="800" ht="26" customHeight="1">
      <x:c r="A800" s="1"/>
      <x:c r="B800" s="1"/>
      <x:c r="C800" s="1"/>
      <x:c r="D800" s="1"/>
      <x:c r="E800" s="1"/>
      <x:c r="F800" s="1"/>
      <x:c r="G800" s="1"/>
      <x:c r="H800" s="1"/>
      <x:c r="I800" s="1"/>
      <x:c r="J800" s="1"/>
      <x:c r="K800" s="1"/>
      <x:c r="L800" s="1"/>
      <x:c r="M800" s="1"/>
      <x:c r="N800" s="1"/>
      <x:c r="O800" s="1"/>
      <x:c r="P800" s="1"/>
      <x:c r="Q800" s="1"/>
      <x:c r="R800" s="1"/>
      <x:c r="S800" s="1"/>
    </x:row>
    <x:row r="801" ht="26" customHeight="1">
      <x:c r="A801" s="1"/>
      <x:c r="B801" s="1"/>
      <x:c r="C801" s="1"/>
      <x:c r="D801" s="1"/>
      <x:c r="E801" s="1"/>
      <x:c r="F801" s="1"/>
      <x:c r="G801" s="1"/>
      <x:c r="H801" s="1"/>
      <x:c r="I801" s="1"/>
      <x:c r="J801" s="1"/>
      <x:c r="K801" s="1"/>
      <x:c r="L801" s="1"/>
      <x:c r="M801" s="1"/>
      <x:c r="N801" s="1"/>
      <x:c r="O801" s="1"/>
      <x:c r="P801" s="1"/>
      <x:c r="Q801" s="1"/>
      <x:c r="R801" s="1"/>
      <x:c r="S801" s="1"/>
    </x:row>
    <x:row r="802" ht="26" customHeight="1">
      <x:c r="A802" s="1"/>
      <x:c r="B802" s="1"/>
      <x:c r="C802" s="1"/>
      <x:c r="D802" s="1"/>
      <x:c r="E802" s="1"/>
      <x:c r="F802" s="1"/>
      <x:c r="G802" s="1"/>
      <x:c r="H802" s="1"/>
      <x:c r="I802" s="1"/>
      <x:c r="J802" s="1"/>
      <x:c r="K802" s="1"/>
      <x:c r="L802" s="1"/>
      <x:c r="M802" s="1"/>
      <x:c r="N802" s="1"/>
      <x:c r="O802" s="1"/>
      <x:c r="P802" s="1"/>
      <x:c r="Q802" s="1"/>
      <x:c r="R802" s="1"/>
      <x:c r="S802" s="1"/>
    </x:row>
    <x:row r="803" ht="26" customHeight="1">
      <x:c r="A803" s="1"/>
      <x:c r="B803" s="1"/>
      <x:c r="C803" s="1"/>
      <x:c r="D803" s="1"/>
      <x:c r="E803" s="1"/>
      <x:c r="F803" s="1"/>
      <x:c r="G803" s="1"/>
      <x:c r="H803" s="1"/>
      <x:c r="I803" s="1"/>
      <x:c r="J803" s="1"/>
      <x:c r="K803" s="1"/>
      <x:c r="L803" s="1"/>
      <x:c r="M803" s="1"/>
      <x:c r="N803" s="1"/>
      <x:c r="O803" s="1"/>
      <x:c r="P803" s="1"/>
      <x:c r="Q803" s="1"/>
      <x:c r="R803" s="1"/>
      <x:c r="S803" s="1"/>
    </x:row>
    <x:row r="804" ht="26" customHeight="1">
      <x:c r="A804" s="1"/>
      <x:c r="B804" s="1"/>
      <x:c r="C804" s="1"/>
      <x:c r="D804" s="1"/>
      <x:c r="E804" s="1"/>
      <x:c r="F804" s="1"/>
      <x:c r="G804" s="1"/>
      <x:c r="H804" s="1"/>
      <x:c r="I804" s="1"/>
      <x:c r="J804" s="1"/>
      <x:c r="K804" s="1"/>
      <x:c r="L804" s="1"/>
      <x:c r="M804" s="1"/>
      <x:c r="N804" s="1"/>
      <x:c r="O804" s="1"/>
      <x:c r="P804" s="1"/>
      <x:c r="Q804" s="1"/>
      <x:c r="R804" s="1"/>
      <x:c r="S804" s="1"/>
    </x:row>
    <x:row r="805" ht="26" customHeight="1">
      <x:c r="A805" s="1"/>
      <x:c r="B805" s="1"/>
      <x:c r="C805" s="1"/>
      <x:c r="D805" s="1"/>
      <x:c r="E805" s="1"/>
      <x:c r="F805" s="1"/>
      <x:c r="G805" s="1"/>
      <x:c r="H805" s="1"/>
      <x:c r="I805" s="1"/>
      <x:c r="J805" s="1"/>
      <x:c r="K805" s="1"/>
      <x:c r="L805" s="1"/>
      <x:c r="M805" s="1"/>
      <x:c r="N805" s="1"/>
      <x:c r="O805" s="1"/>
      <x:c r="P805" s="1"/>
      <x:c r="Q805" s="1"/>
      <x:c r="R805" s="1"/>
      <x:c r="S805" s="1"/>
    </x:row>
    <x:row r="806" ht="26" customHeight="1">
      <x:c r="A806" s="1"/>
      <x:c r="B806" s="1"/>
      <x:c r="C806" s="1"/>
      <x:c r="D806" s="1"/>
      <x:c r="E806" s="1"/>
      <x:c r="F806" s="1"/>
      <x:c r="G806" s="1"/>
      <x:c r="H806" s="1"/>
      <x:c r="I806" s="1"/>
      <x:c r="J806" s="1"/>
      <x:c r="K806" s="1"/>
      <x:c r="L806" s="1"/>
      <x:c r="M806" s="1"/>
      <x:c r="N806" s="1"/>
      <x:c r="O806" s="1"/>
      <x:c r="P806" s="1"/>
      <x:c r="Q806" s="1"/>
      <x:c r="R806" s="1"/>
      <x:c r="S806" s="1"/>
    </x:row>
    <x:row r="807" ht="26" customHeight="1">
      <x:c r="A807" s="1"/>
      <x:c r="B807" s="1"/>
      <x:c r="C807" s="1"/>
      <x:c r="D807" s="1"/>
      <x:c r="E807" s="1"/>
      <x:c r="F807" s="1"/>
      <x:c r="G807" s="1"/>
      <x:c r="H807" s="1"/>
      <x:c r="I807" s="1"/>
      <x:c r="J807" s="1"/>
      <x:c r="K807" s="1"/>
      <x:c r="L807" s="1"/>
      <x:c r="M807" s="1"/>
      <x:c r="N807" s="1"/>
      <x:c r="O807" s="1"/>
      <x:c r="P807" s="1"/>
      <x:c r="Q807" s="1"/>
      <x:c r="R807" s="1"/>
      <x:c r="S807" s="1"/>
    </x:row>
    <x:row r="808" ht="26" customHeight="1">
      <x:c r="A808" s="1"/>
      <x:c r="B808" s="1"/>
      <x:c r="C808" s="1"/>
      <x:c r="D808" s="1"/>
      <x:c r="E808" s="1"/>
      <x:c r="F808" s="1"/>
      <x:c r="G808" s="1"/>
      <x:c r="H808" s="1"/>
      <x:c r="I808" s="1"/>
      <x:c r="J808" s="1"/>
      <x:c r="K808" s="1"/>
      <x:c r="L808" s="1"/>
      <x:c r="M808" s="1"/>
      <x:c r="N808" s="1"/>
      <x:c r="O808" s="1"/>
      <x:c r="P808" s="1"/>
      <x:c r="Q808" s="1"/>
      <x:c r="R808" s="1"/>
      <x:c r="S808" s="1"/>
    </x:row>
    <x:row r="809" ht="26" customHeight="1">
      <x:c r="A809" s="1"/>
      <x:c r="B809" s="1"/>
      <x:c r="C809" s="1"/>
      <x:c r="D809" s="1"/>
      <x:c r="E809" s="1"/>
      <x:c r="F809" s="1"/>
      <x:c r="G809" s="1"/>
      <x:c r="H809" s="1"/>
      <x:c r="I809" s="1"/>
      <x:c r="J809" s="1"/>
      <x:c r="K809" s="1"/>
      <x:c r="L809" s="1"/>
      <x:c r="M809" s="1"/>
      <x:c r="N809" s="1"/>
      <x:c r="O809" s="1"/>
      <x:c r="P809" s="1"/>
      <x:c r="Q809" s="1"/>
      <x:c r="R809" s="1"/>
      <x:c r="S809" s="1"/>
    </x:row>
    <x:row r="810" ht="26" customHeight="1">
      <x:c r="A810" s="1"/>
      <x:c r="B810" s="1"/>
      <x:c r="C810" s="1"/>
      <x:c r="D810" s="1"/>
      <x:c r="E810" s="1"/>
      <x:c r="F810" s="1"/>
      <x:c r="G810" s="1"/>
      <x:c r="H810" s="1"/>
      <x:c r="I810" s="1"/>
      <x:c r="J810" s="1"/>
      <x:c r="K810" s="1"/>
      <x:c r="L810" s="1"/>
      <x:c r="M810" s="1"/>
      <x:c r="N810" s="1"/>
      <x:c r="O810" s="1"/>
      <x:c r="P810" s="1"/>
      <x:c r="Q810" s="1"/>
      <x:c r="R810" s="1"/>
      <x:c r="S810" s="1"/>
    </x:row>
    <x:row r="811" ht="26" customHeight="1">
      <x:c r="A811" s="1"/>
      <x:c r="B811" s="1"/>
      <x:c r="C811" s="1"/>
      <x:c r="D811" s="1"/>
      <x:c r="E811" s="1"/>
      <x:c r="F811" s="1"/>
      <x:c r="G811" s="1"/>
      <x:c r="H811" s="1"/>
      <x:c r="I811" s="1"/>
      <x:c r="J811" s="1"/>
      <x:c r="K811" s="1"/>
      <x:c r="L811" s="1"/>
      <x:c r="M811" s="1"/>
      <x:c r="N811" s="1"/>
      <x:c r="O811" s="1"/>
      <x:c r="P811" s="1"/>
      <x:c r="Q811" s="1"/>
      <x:c r="R811" s="1"/>
      <x:c r="S811" s="1"/>
    </x:row>
    <x:row r="812" ht="26" customHeight="1">
      <x:c r="A812" s="1"/>
      <x:c r="B812" s="1"/>
      <x:c r="C812" s="1"/>
      <x:c r="D812" s="1"/>
      <x:c r="E812" s="1"/>
      <x:c r="F812" s="1"/>
      <x:c r="G812" s="1"/>
      <x:c r="H812" s="1"/>
      <x:c r="I812" s="1"/>
      <x:c r="J812" s="1"/>
      <x:c r="K812" s="1"/>
      <x:c r="L812" s="1"/>
      <x:c r="M812" s="1"/>
      <x:c r="N812" s="1"/>
      <x:c r="O812" s="1"/>
      <x:c r="P812" s="1"/>
      <x:c r="Q812" s="1"/>
      <x:c r="R812" s="1"/>
      <x:c r="S812" s="1"/>
    </x:row>
    <x:row r="813" ht="26" customHeight="1">
      <x:c r="A813" s="1"/>
      <x:c r="B813" s="1"/>
      <x:c r="C813" s="1"/>
      <x:c r="D813" s="1"/>
      <x:c r="E813" s="1"/>
      <x:c r="F813" s="1"/>
      <x:c r="G813" s="1"/>
      <x:c r="H813" s="1"/>
      <x:c r="I813" s="1"/>
      <x:c r="J813" s="1"/>
      <x:c r="K813" s="1"/>
      <x:c r="L813" s="1"/>
      <x:c r="M813" s="1"/>
      <x:c r="N813" s="1"/>
      <x:c r="O813" s="1"/>
      <x:c r="P813" s="1"/>
      <x:c r="Q813" s="1"/>
      <x:c r="R813" s="1"/>
      <x:c r="S813" s="1"/>
    </x:row>
    <x:row r="814" ht="26" customHeight="1">
      <x:c r="A814" s="1"/>
      <x:c r="B814" s="1"/>
      <x:c r="C814" s="1"/>
      <x:c r="D814" s="1"/>
      <x:c r="E814" s="1"/>
      <x:c r="F814" s="1"/>
      <x:c r="G814" s="1"/>
      <x:c r="H814" s="1"/>
      <x:c r="I814" s="1"/>
      <x:c r="J814" s="1"/>
      <x:c r="K814" s="1"/>
      <x:c r="L814" s="1"/>
      <x:c r="M814" s="1"/>
      <x:c r="N814" s="1"/>
      <x:c r="O814" s="1"/>
      <x:c r="P814" s="1"/>
      <x:c r="Q814" s="1"/>
      <x:c r="R814" s="1"/>
      <x:c r="S814" s="1"/>
    </x:row>
    <x:row r="815" ht="26" customHeight="1">
      <x:c r="A815" s="1"/>
      <x:c r="B815" s="1"/>
      <x:c r="C815" s="1"/>
      <x:c r="D815" s="1"/>
      <x:c r="E815" s="1"/>
      <x:c r="F815" s="1"/>
      <x:c r="G815" s="1"/>
      <x:c r="H815" s="1"/>
      <x:c r="I815" s="1"/>
      <x:c r="J815" s="1"/>
      <x:c r="K815" s="1"/>
      <x:c r="L815" s="1"/>
      <x:c r="M815" s="1"/>
      <x:c r="N815" s="1"/>
      <x:c r="O815" s="1"/>
      <x:c r="P815" s="1"/>
      <x:c r="Q815" s="1"/>
      <x:c r="R815" s="1"/>
      <x:c r="S815" s="1"/>
    </x:row>
    <x:row r="816" ht="26" customHeight="1">
      <x:c r="A816" s="1"/>
      <x:c r="B816" s="1"/>
      <x:c r="C816" s="1"/>
      <x:c r="D816" s="1"/>
      <x:c r="E816" s="1"/>
      <x:c r="F816" s="1"/>
      <x:c r="G816" s="1"/>
      <x:c r="H816" s="1"/>
      <x:c r="I816" s="1"/>
      <x:c r="J816" s="1"/>
      <x:c r="K816" s="1"/>
      <x:c r="L816" s="1"/>
      <x:c r="M816" s="1"/>
      <x:c r="N816" s="1"/>
      <x:c r="O816" s="1"/>
      <x:c r="P816" s="1"/>
      <x:c r="Q816" s="1"/>
      <x:c r="R816" s="1"/>
      <x:c r="S816" s="1"/>
    </x:row>
    <x:row r="817" ht="26" customHeight="1">
      <x:c r="A817" s="1"/>
      <x:c r="B817" s="1"/>
      <x:c r="C817" s="1"/>
      <x:c r="D817" s="1"/>
      <x:c r="E817" s="1"/>
      <x:c r="F817" s="1"/>
      <x:c r="G817" s="1"/>
      <x:c r="H817" s="1"/>
      <x:c r="I817" s="1"/>
      <x:c r="J817" s="1"/>
      <x:c r="K817" s="1"/>
      <x:c r="L817" s="1"/>
      <x:c r="M817" s="1"/>
      <x:c r="N817" s="1"/>
      <x:c r="O817" s="1"/>
      <x:c r="P817" s="1"/>
      <x:c r="Q817" s="1"/>
      <x:c r="R817" s="1"/>
      <x:c r="S817" s="1"/>
    </x:row>
    <x:row r="818" ht="26" customHeight="1">
      <x:c r="A818" s="1"/>
      <x:c r="B818" s="1"/>
      <x:c r="C818" s="1"/>
      <x:c r="D818" s="1"/>
      <x:c r="E818" s="1"/>
      <x:c r="F818" s="1"/>
      <x:c r="G818" s="1"/>
      <x:c r="H818" s="1"/>
      <x:c r="I818" s="1"/>
      <x:c r="J818" s="1"/>
      <x:c r="K818" s="1"/>
      <x:c r="L818" s="1"/>
      <x:c r="M818" s="1"/>
      <x:c r="N818" s="1"/>
      <x:c r="O818" s="1"/>
      <x:c r="P818" s="1"/>
      <x:c r="Q818" s="1"/>
      <x:c r="R818" s="1"/>
      <x:c r="S818" s="1"/>
    </x:row>
    <x:row r="819" ht="26" customHeight="1">
      <x:c r="A819" s="1"/>
      <x:c r="B819" s="1"/>
      <x:c r="C819" s="1"/>
      <x:c r="D819" s="1"/>
      <x:c r="E819" s="1"/>
      <x:c r="F819" s="1"/>
      <x:c r="G819" s="1"/>
      <x:c r="H819" s="1"/>
      <x:c r="I819" s="1"/>
      <x:c r="J819" s="1"/>
      <x:c r="K819" s="1"/>
      <x:c r="L819" s="1"/>
      <x:c r="M819" s="1"/>
      <x:c r="N819" s="1"/>
      <x:c r="O819" s="1"/>
      <x:c r="P819" s="1"/>
      <x:c r="Q819" s="1"/>
      <x:c r="R819" s="1"/>
      <x:c r="S819" s="1"/>
    </x:row>
    <x:row r="820" ht="26" customHeight="1">
      <x:c r="A820" s="1"/>
      <x:c r="B820" s="1"/>
      <x:c r="C820" s="1"/>
      <x:c r="D820" s="1"/>
      <x:c r="E820" s="1"/>
      <x:c r="F820" s="1"/>
      <x:c r="G820" s="1"/>
      <x:c r="H820" s="1"/>
      <x:c r="I820" s="1"/>
      <x:c r="J820" s="1"/>
      <x:c r="K820" s="1"/>
      <x:c r="L820" s="1"/>
      <x:c r="M820" s="1"/>
      <x:c r="N820" s="1"/>
      <x:c r="O820" s="1"/>
      <x:c r="P820" s="1"/>
      <x:c r="Q820" s="1"/>
      <x:c r="R820" s="1"/>
      <x:c r="S820" s="1"/>
    </x:row>
    <x:row r="821" ht="26" customHeight="1">
      <x:c r="A821" s="1"/>
      <x:c r="B821" s="1"/>
      <x:c r="C821" s="1"/>
      <x:c r="D821" s="1"/>
      <x:c r="E821" s="1"/>
      <x:c r="F821" s="1"/>
      <x:c r="G821" s="1"/>
      <x:c r="H821" s="1"/>
      <x:c r="I821" s="1"/>
      <x:c r="J821" s="1"/>
      <x:c r="K821" s="1"/>
      <x:c r="L821" s="1"/>
      <x:c r="M821" s="1"/>
      <x:c r="N821" s="1"/>
      <x:c r="O821" s="1"/>
      <x:c r="P821" s="1"/>
      <x:c r="Q821" s="1"/>
      <x:c r="R821" s="1"/>
      <x:c r="S821" s="1"/>
    </x:row>
    <x:row r="822" ht="26" customHeight="1">
      <x:c r="A822" s="1"/>
      <x:c r="B822" s="1"/>
      <x:c r="C822" s="1"/>
      <x:c r="D822" s="1"/>
      <x:c r="E822" s="1"/>
      <x:c r="F822" s="1"/>
      <x:c r="G822" s="1"/>
      <x:c r="H822" s="1"/>
      <x:c r="I822" s="1"/>
      <x:c r="J822" s="1"/>
      <x:c r="K822" s="1"/>
      <x:c r="L822" s="1"/>
      <x:c r="M822" s="1"/>
      <x:c r="N822" s="1"/>
      <x:c r="O822" s="1"/>
      <x:c r="P822" s="1"/>
      <x:c r="Q822" s="1"/>
      <x:c r="R822" s="1"/>
      <x:c r="S822" s="1"/>
    </x:row>
    <x:row r="823" ht="26" customHeight="1">
      <x:c r="A823" s="1"/>
      <x:c r="B823" s="1"/>
      <x:c r="C823" s="1"/>
      <x:c r="D823" s="1"/>
      <x:c r="E823" s="1"/>
      <x:c r="F823" s="1"/>
      <x:c r="G823" s="1"/>
      <x:c r="H823" s="1"/>
      <x:c r="I823" s="1"/>
      <x:c r="J823" s="1"/>
      <x:c r="K823" s="1"/>
      <x:c r="L823" s="1"/>
      <x:c r="M823" s="1"/>
      <x:c r="N823" s="1"/>
      <x:c r="O823" s="1"/>
      <x:c r="P823" s="1"/>
      <x:c r="Q823" s="1"/>
      <x:c r="R823" s="1"/>
      <x:c r="S823" s="1"/>
    </x:row>
    <x:row r="824" ht="26" customHeight="1">
      <x:c r="A824" s="1"/>
      <x:c r="B824" s="1"/>
      <x:c r="C824" s="1"/>
      <x:c r="D824" s="1"/>
      <x:c r="E824" s="1"/>
      <x:c r="F824" s="1"/>
      <x:c r="G824" s="1"/>
      <x:c r="H824" s="1"/>
      <x:c r="I824" s="1"/>
      <x:c r="J824" s="1"/>
      <x:c r="K824" s="1"/>
      <x:c r="L824" s="1"/>
      <x:c r="M824" s="1"/>
      <x:c r="N824" s="1"/>
      <x:c r="O824" s="1"/>
      <x:c r="P824" s="1"/>
      <x:c r="Q824" s="1"/>
      <x:c r="R824" s="1"/>
      <x:c r="S824" s="1"/>
    </x:row>
    <x:row r="825" ht="26" customHeight="1">
      <x:c r="A825" s="1"/>
      <x:c r="B825" s="1"/>
      <x:c r="C825" s="1"/>
      <x:c r="D825" s="1"/>
      <x:c r="E825" s="1"/>
      <x:c r="F825" s="1"/>
      <x:c r="G825" s="1"/>
      <x:c r="H825" s="1"/>
      <x:c r="I825" s="1"/>
      <x:c r="J825" s="1"/>
      <x:c r="K825" s="1"/>
      <x:c r="L825" s="1"/>
      <x:c r="M825" s="1"/>
      <x:c r="N825" s="1"/>
      <x:c r="O825" s="1"/>
      <x:c r="P825" s="1"/>
      <x:c r="Q825" s="1"/>
      <x:c r="R825" s="1"/>
      <x:c r="S825" s="1"/>
    </x:row>
    <x:row r="826" ht="26" customHeight="1">
      <x:c r="A826" s="1"/>
      <x:c r="B826" s="1"/>
      <x:c r="C826" s="1"/>
      <x:c r="D826" s="1"/>
      <x:c r="E826" s="1"/>
      <x:c r="F826" s="1"/>
      <x:c r="G826" s="1"/>
      <x:c r="H826" s="1"/>
      <x:c r="I826" s="1"/>
      <x:c r="J826" s="1"/>
      <x:c r="K826" s="1"/>
      <x:c r="L826" s="1"/>
      <x:c r="M826" s="1"/>
      <x:c r="N826" s="1"/>
      <x:c r="O826" s="1"/>
      <x:c r="P826" s="1"/>
      <x:c r="Q826" s="1"/>
      <x:c r="R826" s="1"/>
      <x:c r="S826" s="1"/>
    </x:row>
    <x:row r="827" ht="26" customHeight="1">
      <x:c r="A827" s="1"/>
      <x:c r="B827" s="1"/>
      <x:c r="C827" s="1"/>
      <x:c r="D827" s="1"/>
      <x:c r="E827" s="1"/>
      <x:c r="F827" s="1"/>
      <x:c r="G827" s="1"/>
      <x:c r="H827" s="1"/>
      <x:c r="I827" s="1"/>
      <x:c r="J827" s="1"/>
      <x:c r="K827" s="1"/>
      <x:c r="L827" s="1"/>
      <x:c r="M827" s="1"/>
      <x:c r="N827" s="1"/>
      <x:c r="O827" s="1"/>
      <x:c r="P827" s="1"/>
      <x:c r="Q827" s="1"/>
      <x:c r="R827" s="1"/>
      <x:c r="S827" s="1"/>
    </x:row>
    <x:row r="828" ht="26" customHeight="1">
      <x:c r="A828" s="1"/>
      <x:c r="B828" s="1"/>
      <x:c r="C828" s="1"/>
      <x:c r="D828" s="1"/>
      <x:c r="E828" s="1"/>
      <x:c r="F828" s="1"/>
      <x:c r="G828" s="1"/>
      <x:c r="H828" s="1"/>
      <x:c r="I828" s="1"/>
      <x:c r="J828" s="1"/>
      <x:c r="K828" s="1"/>
      <x:c r="L828" s="1"/>
      <x:c r="M828" s="1"/>
      <x:c r="N828" s="1"/>
      <x:c r="O828" s="1"/>
      <x:c r="P828" s="1"/>
      <x:c r="Q828" s="1"/>
      <x:c r="R828" s="1"/>
      <x:c r="S828" s="1"/>
    </x:row>
    <x:row r="829" ht="26" customHeight="1">
      <x:c r="A829" s="1"/>
      <x:c r="B829" s="1"/>
      <x:c r="C829" s="1"/>
      <x:c r="D829" s="1"/>
      <x:c r="E829" s="1"/>
      <x:c r="F829" s="1"/>
      <x:c r="G829" s="1"/>
      <x:c r="H829" s="1"/>
      <x:c r="I829" s="1"/>
      <x:c r="J829" s="1"/>
      <x:c r="K829" s="1"/>
      <x:c r="L829" s="1"/>
      <x:c r="M829" s="1"/>
      <x:c r="N829" s="1"/>
      <x:c r="O829" s="1"/>
      <x:c r="P829" s="1"/>
      <x:c r="Q829" s="1"/>
      <x:c r="R829" s="1"/>
      <x:c r="S829" s="1"/>
    </x:row>
    <x:row r="830" ht="26" customHeight="1">
      <x:c r="A830" s="1"/>
      <x:c r="B830" s="1"/>
      <x:c r="C830" s="1"/>
      <x:c r="D830" s="1"/>
      <x:c r="E830" s="1"/>
      <x:c r="F830" s="1"/>
      <x:c r="G830" s="1"/>
      <x:c r="H830" s="1"/>
      <x:c r="I830" s="1"/>
      <x:c r="J830" s="1"/>
      <x:c r="K830" s="1"/>
      <x:c r="L830" s="1"/>
      <x:c r="M830" s="1"/>
      <x:c r="N830" s="1"/>
      <x:c r="O830" s="1"/>
      <x:c r="P830" s="1"/>
      <x:c r="Q830" s="1"/>
      <x:c r="R830" s="1"/>
      <x:c r="S830" s="1"/>
    </x:row>
    <x:row r="831" ht="26" customHeight="1">
      <x:c r="A831" s="1"/>
      <x:c r="B831" s="1"/>
      <x:c r="C831" s="1"/>
      <x:c r="D831" s="1"/>
      <x:c r="E831" s="1"/>
      <x:c r="F831" s="1"/>
      <x:c r="G831" s="1"/>
      <x:c r="H831" s="1"/>
      <x:c r="I831" s="1"/>
      <x:c r="J831" s="1"/>
      <x:c r="K831" s="1"/>
      <x:c r="L831" s="1"/>
      <x:c r="M831" s="1"/>
      <x:c r="N831" s="1"/>
      <x:c r="O831" s="1"/>
      <x:c r="P831" s="1"/>
      <x:c r="Q831" s="1"/>
      <x:c r="R831" s="1"/>
      <x:c r="S831" s="1"/>
    </x:row>
    <x:row r="832" ht="26" customHeight="1">
      <x:c r="A832" s="1"/>
      <x:c r="B832" s="1"/>
      <x:c r="C832" s="1"/>
      <x:c r="D832" s="1"/>
      <x:c r="E832" s="1"/>
      <x:c r="F832" s="1"/>
      <x:c r="G832" s="1"/>
      <x:c r="H832" s="1"/>
      <x:c r="I832" s="1"/>
      <x:c r="J832" s="1"/>
      <x:c r="K832" s="1"/>
      <x:c r="L832" s="1"/>
      <x:c r="M832" s="1"/>
      <x:c r="N832" s="1"/>
      <x:c r="O832" s="1"/>
      <x:c r="P832" s="1"/>
      <x:c r="Q832" s="1"/>
      <x:c r="R832" s="1"/>
      <x:c r="S832" s="1"/>
    </x:row>
    <x:row r="833" ht="26" customHeight="1">
      <x:c r="A833" s="1"/>
      <x:c r="B833" s="1"/>
      <x:c r="C833" s="1"/>
      <x:c r="D833" s="1"/>
      <x:c r="E833" s="1"/>
      <x:c r="F833" s="1"/>
      <x:c r="G833" s="1"/>
      <x:c r="H833" s="1"/>
      <x:c r="I833" s="1"/>
      <x:c r="J833" s="1"/>
      <x:c r="K833" s="1"/>
      <x:c r="L833" s="1"/>
      <x:c r="M833" s="1"/>
      <x:c r="N833" s="1"/>
      <x:c r="O833" s="1"/>
      <x:c r="P833" s="1"/>
      <x:c r="Q833" s="1"/>
      <x:c r="R833" s="1"/>
      <x:c r="S833" s="1"/>
    </x:row>
    <x:row r="834" ht="26" customHeight="1">
      <x:c r="A834" s="1"/>
      <x:c r="B834" s="1"/>
      <x:c r="C834" s="1"/>
      <x:c r="D834" s="1"/>
      <x:c r="E834" s="1"/>
      <x:c r="F834" s="1"/>
      <x:c r="G834" s="1"/>
      <x:c r="H834" s="1"/>
      <x:c r="I834" s="1"/>
      <x:c r="J834" s="1"/>
      <x:c r="K834" s="1"/>
      <x:c r="L834" s="1"/>
      <x:c r="M834" s="1"/>
      <x:c r="N834" s="1"/>
      <x:c r="O834" s="1"/>
      <x:c r="P834" s="1"/>
      <x:c r="Q834" s="1"/>
      <x:c r="R834" s="1"/>
      <x:c r="S834" s="1"/>
    </x:row>
    <x:row r="835" ht="26" customHeight="1">
      <x:c r="A835" s="1"/>
      <x:c r="B835" s="1"/>
      <x:c r="C835" s="1"/>
      <x:c r="D835" s="1"/>
      <x:c r="E835" s="1"/>
      <x:c r="F835" s="1"/>
      <x:c r="G835" s="1"/>
      <x:c r="H835" s="1"/>
      <x:c r="I835" s="1"/>
      <x:c r="J835" s="1"/>
      <x:c r="K835" s="1"/>
      <x:c r="L835" s="1"/>
      <x:c r="M835" s="1"/>
      <x:c r="N835" s="1"/>
      <x:c r="O835" s="1"/>
      <x:c r="P835" s="1"/>
      <x:c r="Q835" s="1"/>
      <x:c r="R835" s="1"/>
      <x:c r="S835" s="1"/>
    </x:row>
    <x:row r="836" ht="26" customHeight="1">
      <x:c r="A836" s="1"/>
      <x:c r="B836" s="1"/>
      <x:c r="C836" s="1"/>
      <x:c r="D836" s="1"/>
      <x:c r="E836" s="1"/>
      <x:c r="F836" s="1"/>
      <x:c r="G836" s="1"/>
      <x:c r="H836" s="1"/>
      <x:c r="I836" s="1"/>
      <x:c r="J836" s="1"/>
      <x:c r="K836" s="1"/>
      <x:c r="L836" s="1"/>
      <x:c r="M836" s="1"/>
      <x:c r="N836" s="1"/>
      <x:c r="O836" s="1"/>
      <x:c r="P836" s="1"/>
      <x:c r="Q836" s="1"/>
      <x:c r="R836" s="1"/>
      <x:c r="S836" s="1"/>
    </x:row>
    <x:row r="837" ht="26" customHeight="1">
      <x:c r="A837" s="1"/>
      <x:c r="B837" s="1"/>
      <x:c r="C837" s="1"/>
      <x:c r="D837" s="1"/>
      <x:c r="E837" s="1"/>
      <x:c r="F837" s="1"/>
      <x:c r="G837" s="1"/>
      <x:c r="H837" s="1"/>
      <x:c r="I837" s="1"/>
      <x:c r="J837" s="1"/>
      <x:c r="K837" s="1"/>
      <x:c r="L837" s="1"/>
      <x:c r="M837" s="1"/>
      <x:c r="N837" s="1"/>
      <x:c r="O837" s="1"/>
      <x:c r="P837" s="1"/>
      <x:c r="Q837" s="1"/>
      <x:c r="R837" s="1"/>
      <x:c r="S837" s="1"/>
    </x:row>
    <x:row r="838" ht="26" customHeight="1">
      <x:c r="A838" s="1"/>
      <x:c r="B838" s="1"/>
      <x:c r="C838" s="1"/>
      <x:c r="D838" s="1"/>
      <x:c r="E838" s="1"/>
      <x:c r="F838" s="1"/>
      <x:c r="G838" s="1"/>
      <x:c r="H838" s="1"/>
      <x:c r="I838" s="1"/>
      <x:c r="J838" s="1"/>
      <x:c r="K838" s="1"/>
      <x:c r="L838" s="1"/>
      <x:c r="M838" s="1"/>
      <x:c r="N838" s="1"/>
      <x:c r="O838" s="1"/>
      <x:c r="P838" s="1"/>
      <x:c r="Q838" s="1"/>
      <x:c r="R838" s="1"/>
      <x:c r="S838" s="1"/>
    </x:row>
    <x:row r="839" ht="26" customHeight="1">
      <x:c r="A839" s="1"/>
      <x:c r="B839" s="1"/>
      <x:c r="C839" s="1"/>
      <x:c r="D839" s="1"/>
      <x:c r="E839" s="1"/>
      <x:c r="F839" s="1"/>
      <x:c r="G839" s="1"/>
      <x:c r="H839" s="1"/>
      <x:c r="I839" s="1"/>
      <x:c r="J839" s="1"/>
      <x:c r="K839" s="1"/>
      <x:c r="L839" s="1"/>
      <x:c r="M839" s="1"/>
      <x:c r="N839" s="1"/>
      <x:c r="O839" s="1"/>
      <x:c r="P839" s="1"/>
      <x:c r="Q839" s="1"/>
      <x:c r="R839" s="1"/>
      <x:c r="S839" s="1"/>
    </x:row>
    <x:row r="840" ht="26" customHeight="1">
      <x:c r="A840" s="1"/>
      <x:c r="B840" s="1"/>
      <x:c r="C840" s="1"/>
      <x:c r="D840" s="1"/>
      <x:c r="E840" s="1"/>
      <x:c r="F840" s="1"/>
      <x:c r="G840" s="1"/>
      <x:c r="H840" s="1"/>
      <x:c r="I840" s="1"/>
      <x:c r="J840" s="1"/>
      <x:c r="K840" s="1"/>
      <x:c r="L840" s="1"/>
      <x:c r="M840" s="1"/>
      <x:c r="N840" s="1"/>
      <x:c r="O840" s="1"/>
      <x:c r="P840" s="1"/>
      <x:c r="Q840" s="1"/>
      <x:c r="R840" s="1"/>
      <x:c r="S840" s="1"/>
    </x:row>
    <x:row r="841" ht="26" customHeight="1">
      <x:c r="A841" s="1"/>
      <x:c r="B841" s="1"/>
      <x:c r="C841" s="1"/>
      <x:c r="D841" s="1"/>
      <x:c r="E841" s="1"/>
      <x:c r="F841" s="1"/>
      <x:c r="G841" s="1"/>
      <x:c r="H841" s="1"/>
      <x:c r="I841" s="1"/>
      <x:c r="J841" s="1"/>
      <x:c r="K841" s="1"/>
      <x:c r="L841" s="1"/>
      <x:c r="M841" s="1"/>
      <x:c r="N841" s="1"/>
      <x:c r="O841" s="1"/>
      <x:c r="P841" s="1"/>
      <x:c r="Q841" s="1"/>
      <x:c r="R841" s="1"/>
      <x:c r="S841" s="1"/>
    </x:row>
    <x:row r="842" ht="26" customHeight="1">
      <x:c r="A842" s="1"/>
      <x:c r="B842" s="1"/>
      <x:c r="C842" s="1"/>
      <x:c r="D842" s="1"/>
      <x:c r="E842" s="1"/>
      <x:c r="F842" s="1"/>
      <x:c r="G842" s="1"/>
      <x:c r="H842" s="1"/>
      <x:c r="I842" s="1"/>
      <x:c r="J842" s="1"/>
      <x:c r="K842" s="1"/>
      <x:c r="L842" s="1"/>
      <x:c r="M842" s="1"/>
      <x:c r="N842" s="1"/>
      <x:c r="O842" s="1"/>
      <x:c r="P842" s="1"/>
      <x:c r="Q842" s="1"/>
      <x:c r="R842" s="1"/>
      <x:c r="S842" s="1"/>
    </x:row>
    <x:row r="843" ht="26" customHeight="1">
      <x:c r="A843" s="1"/>
      <x:c r="B843" s="1"/>
      <x:c r="C843" s="1"/>
      <x:c r="D843" s="1"/>
      <x:c r="E843" s="1"/>
      <x:c r="F843" s="1"/>
      <x:c r="G843" s="1"/>
      <x:c r="H843" s="1"/>
      <x:c r="I843" s="1"/>
      <x:c r="J843" s="1"/>
      <x:c r="K843" s="1"/>
      <x:c r="L843" s="1"/>
      <x:c r="M843" s="1"/>
      <x:c r="N843" s="1"/>
      <x:c r="O843" s="1"/>
      <x:c r="P843" s="1"/>
      <x:c r="Q843" s="1"/>
      <x:c r="R843" s="1"/>
      <x:c r="S843" s="1"/>
    </x:row>
    <x:row r="844" ht="26" customHeight="1">
      <x:c r="A844" s="1"/>
      <x:c r="B844" s="1"/>
      <x:c r="C844" s="1"/>
      <x:c r="D844" s="1"/>
      <x:c r="E844" s="1"/>
      <x:c r="F844" s="1"/>
      <x:c r="G844" s="1"/>
      <x:c r="H844" s="1"/>
      <x:c r="I844" s="1"/>
      <x:c r="J844" s="1"/>
      <x:c r="K844" s="1"/>
      <x:c r="L844" s="1"/>
      <x:c r="M844" s="1"/>
      <x:c r="N844" s="1"/>
      <x:c r="O844" s="1"/>
      <x:c r="P844" s="1"/>
      <x:c r="Q844" s="1"/>
      <x:c r="R844" s="1"/>
      <x:c r="S844" s="1"/>
    </x:row>
    <x:row r="845" ht="26" customHeight="1">
      <x:c r="A845" s="1"/>
      <x:c r="B845" s="1"/>
      <x:c r="C845" s="1"/>
      <x:c r="D845" s="1"/>
      <x:c r="E845" s="1"/>
      <x:c r="F845" s="1"/>
      <x:c r="G845" s="1"/>
      <x:c r="H845" s="1"/>
      <x:c r="I845" s="1"/>
      <x:c r="J845" s="1"/>
      <x:c r="K845" s="1"/>
      <x:c r="L845" s="1"/>
      <x:c r="M845" s="1"/>
      <x:c r="N845" s="1"/>
      <x:c r="O845" s="1"/>
      <x:c r="P845" s="1"/>
      <x:c r="Q845" s="1"/>
      <x:c r="R845" s="1"/>
      <x:c r="S845" s="1"/>
    </x:row>
    <x:row r="846" ht="26" customHeight="1">
      <x:c r="A846" s="1"/>
      <x:c r="B846" s="1"/>
      <x:c r="C846" s="1"/>
      <x:c r="D846" s="1"/>
      <x:c r="E846" s="1"/>
      <x:c r="F846" s="1"/>
      <x:c r="G846" s="1"/>
      <x:c r="H846" s="1"/>
      <x:c r="I846" s="1"/>
      <x:c r="J846" s="1"/>
      <x:c r="K846" s="1"/>
      <x:c r="L846" s="1"/>
      <x:c r="M846" s="1"/>
      <x:c r="N846" s="1"/>
      <x:c r="O846" s="1"/>
      <x:c r="P846" s="1"/>
      <x:c r="Q846" s="1"/>
      <x:c r="R846" s="1"/>
      <x:c r="S846" s="1"/>
    </x:row>
    <x:row r="847" ht="26" customHeight="1">
      <x:c r="A847" s="1"/>
      <x:c r="B847" s="1"/>
      <x:c r="C847" s="1"/>
      <x:c r="D847" s="1"/>
      <x:c r="E847" s="1"/>
      <x:c r="F847" s="1"/>
      <x:c r="G847" s="1"/>
      <x:c r="H847" s="1"/>
      <x:c r="I847" s="1"/>
      <x:c r="J847" s="1"/>
      <x:c r="K847" s="1"/>
      <x:c r="L847" s="1"/>
      <x:c r="M847" s="1"/>
      <x:c r="N847" s="1"/>
      <x:c r="O847" s="1"/>
      <x:c r="P847" s="1"/>
      <x:c r="Q847" s="1"/>
      <x:c r="R847" s="1"/>
      <x:c r="S847" s="1"/>
    </x:row>
    <x:row r="848" ht="26" customHeight="1">
      <x:c r="A848" s="1"/>
      <x:c r="B848" s="1"/>
      <x:c r="C848" s="1"/>
      <x:c r="D848" s="1"/>
      <x:c r="E848" s="1"/>
      <x:c r="F848" s="1"/>
      <x:c r="G848" s="1"/>
      <x:c r="H848" s="1"/>
      <x:c r="I848" s="1"/>
      <x:c r="J848" s="1"/>
      <x:c r="K848" s="1"/>
      <x:c r="L848" s="1"/>
      <x:c r="M848" s="1"/>
      <x:c r="N848" s="1"/>
      <x:c r="O848" s="1"/>
      <x:c r="P848" s="1"/>
      <x:c r="Q848" s="1"/>
      <x:c r="R848" s="1"/>
      <x:c r="S848" s="1"/>
    </x:row>
    <x:row r="849" ht="26" customHeight="1">
      <x:c r="A849" s="1"/>
      <x:c r="B849" s="1"/>
      <x:c r="C849" s="1"/>
      <x:c r="D849" s="1"/>
      <x:c r="E849" s="1"/>
      <x:c r="F849" s="1"/>
      <x:c r="G849" s="1"/>
      <x:c r="H849" s="1"/>
      <x:c r="I849" s="1"/>
      <x:c r="J849" s="1"/>
      <x:c r="K849" s="1"/>
      <x:c r="L849" s="1"/>
      <x:c r="M849" s="1"/>
      <x:c r="N849" s="1"/>
      <x:c r="O849" s="1"/>
      <x:c r="P849" s="1"/>
      <x:c r="Q849" s="1"/>
      <x:c r="R849" s="1"/>
      <x:c r="S849" s="1"/>
    </x:row>
    <x:row r="850" ht="26" customHeight="1">
      <x:c r="A850" s="1"/>
      <x:c r="B850" s="1"/>
      <x:c r="C850" s="1"/>
      <x:c r="D850" s="1"/>
      <x:c r="E850" s="1"/>
      <x:c r="F850" s="1"/>
      <x:c r="G850" s="1"/>
      <x:c r="H850" s="1"/>
      <x:c r="I850" s="1"/>
      <x:c r="J850" s="1"/>
      <x:c r="K850" s="1"/>
      <x:c r="L850" s="1"/>
      <x:c r="M850" s="1"/>
      <x:c r="N850" s="1"/>
      <x:c r="O850" s="1"/>
      <x:c r="P850" s="1"/>
      <x:c r="Q850" s="1"/>
      <x:c r="R850" s="1"/>
      <x:c r="S850" s="1"/>
    </x:row>
    <x:row r="851" ht="26" customHeight="1">
      <x:c r="A851" s="1"/>
      <x:c r="B851" s="1"/>
      <x:c r="C851" s="1"/>
      <x:c r="D851" s="1"/>
      <x:c r="E851" s="1"/>
      <x:c r="F851" s="1"/>
      <x:c r="G851" s="1"/>
      <x:c r="H851" s="1"/>
      <x:c r="I851" s="1"/>
      <x:c r="J851" s="1"/>
      <x:c r="K851" s="1"/>
      <x:c r="L851" s="1"/>
      <x:c r="M851" s="1"/>
      <x:c r="N851" s="1"/>
      <x:c r="O851" s="1"/>
      <x:c r="P851" s="1"/>
      <x:c r="Q851" s="1"/>
      <x:c r="R851" s="1"/>
      <x:c r="S851" s="1"/>
    </x:row>
    <x:row r="852" ht="26" customHeight="1">
      <x:c r="A852" s="1"/>
      <x:c r="B852" s="1"/>
      <x:c r="C852" s="1"/>
      <x:c r="D852" s="1"/>
      <x:c r="E852" s="1"/>
      <x:c r="F852" s="1"/>
      <x:c r="G852" s="1"/>
      <x:c r="H852" s="1"/>
      <x:c r="I852" s="1"/>
      <x:c r="J852" s="1"/>
      <x:c r="K852" s="1"/>
      <x:c r="L852" s="1"/>
      <x:c r="M852" s="1"/>
      <x:c r="N852" s="1"/>
      <x:c r="O852" s="1"/>
      <x:c r="P852" s="1"/>
      <x:c r="Q852" s="1"/>
      <x:c r="R852" s="1"/>
      <x:c r="S852" s="1"/>
    </x:row>
    <x:row r="853" ht="26" customHeight="1">
      <x:c r="A853" s="1"/>
      <x:c r="B853" s="1"/>
      <x:c r="C853" s="1"/>
      <x:c r="D853" s="1"/>
      <x:c r="E853" s="1"/>
      <x:c r="F853" s="1"/>
      <x:c r="G853" s="1"/>
      <x:c r="H853" s="1"/>
      <x:c r="I853" s="1"/>
      <x:c r="J853" s="1"/>
      <x:c r="K853" s="1"/>
      <x:c r="L853" s="1"/>
      <x:c r="M853" s="1"/>
      <x:c r="N853" s="1"/>
      <x:c r="O853" s="1"/>
      <x:c r="P853" s="1"/>
      <x:c r="Q853" s="1"/>
      <x:c r="R853" s="1"/>
      <x:c r="S853" s="1"/>
    </x:row>
    <x:row r="854" ht="26" customHeight="1">
      <x:c r="A854" s="1"/>
      <x:c r="B854" s="1"/>
      <x:c r="C854" s="1"/>
      <x:c r="D854" s="1"/>
      <x:c r="E854" s="1"/>
      <x:c r="F854" s="1"/>
      <x:c r="G854" s="1"/>
      <x:c r="H854" s="1"/>
      <x:c r="I854" s="1"/>
      <x:c r="J854" s="1"/>
      <x:c r="K854" s="1"/>
      <x:c r="L854" s="1"/>
      <x:c r="M854" s="1"/>
      <x:c r="N854" s="1"/>
      <x:c r="O854" s="1"/>
      <x:c r="P854" s="1"/>
      <x:c r="Q854" s="1"/>
      <x:c r="R854" s="1"/>
      <x:c r="S854" s="1"/>
    </x:row>
    <x:row r="855" ht="26" customHeight="1">
      <x:c r="A855" s="1"/>
      <x:c r="B855" s="1"/>
      <x:c r="C855" s="1"/>
      <x:c r="D855" s="1"/>
      <x:c r="E855" s="1"/>
      <x:c r="F855" s="1"/>
      <x:c r="G855" s="1"/>
      <x:c r="H855" s="1"/>
      <x:c r="I855" s="1"/>
      <x:c r="J855" s="1"/>
      <x:c r="K855" s="1"/>
      <x:c r="L855" s="1"/>
      <x:c r="M855" s="1"/>
      <x:c r="N855" s="1"/>
      <x:c r="O855" s="1"/>
      <x:c r="P855" s="1"/>
      <x:c r="Q855" s="1"/>
      <x:c r="R855" s="1"/>
      <x:c r="S855" s="1"/>
    </x:row>
    <x:row r="856" ht="26" customHeight="1">
      <x:c r="A856" s="1"/>
      <x:c r="B856" s="1"/>
      <x:c r="C856" s="1"/>
      <x:c r="D856" s="1"/>
      <x:c r="E856" s="1"/>
      <x:c r="F856" s="1"/>
      <x:c r="G856" s="1"/>
      <x:c r="H856" s="1"/>
      <x:c r="I856" s="1"/>
      <x:c r="J856" s="1"/>
      <x:c r="K856" s="1"/>
      <x:c r="L856" s="1"/>
      <x:c r="M856" s="1"/>
      <x:c r="N856" s="1"/>
      <x:c r="O856" s="1"/>
      <x:c r="P856" s="1"/>
      <x:c r="Q856" s="1"/>
      <x:c r="R856" s="1"/>
      <x:c r="S856" s="1"/>
    </x:row>
    <x:row r="857" ht="26" customHeight="1">
      <x:c r="A857" s="1"/>
      <x:c r="B857" s="1"/>
      <x:c r="C857" s="1"/>
      <x:c r="D857" s="1"/>
      <x:c r="E857" s="1"/>
      <x:c r="F857" s="1"/>
      <x:c r="G857" s="1"/>
      <x:c r="H857" s="1"/>
      <x:c r="I857" s="1"/>
      <x:c r="J857" s="1"/>
      <x:c r="K857" s="1"/>
      <x:c r="L857" s="1"/>
      <x:c r="M857" s="1"/>
      <x:c r="N857" s="1"/>
      <x:c r="O857" s="1"/>
      <x:c r="P857" s="1"/>
      <x:c r="Q857" s="1"/>
      <x:c r="R857" s="1"/>
      <x:c r="S857" s="1"/>
    </x:row>
    <x:row r="858" ht="26" customHeight="1">
      <x:c r="A858" s="1"/>
      <x:c r="B858" s="1"/>
      <x:c r="C858" s="1"/>
      <x:c r="D858" s="1"/>
      <x:c r="E858" s="1"/>
      <x:c r="F858" s="1"/>
      <x:c r="G858" s="1"/>
      <x:c r="H858" s="1"/>
      <x:c r="I858" s="1"/>
      <x:c r="J858" s="1"/>
      <x:c r="K858" s="1"/>
      <x:c r="L858" s="1"/>
      <x:c r="M858" s="1"/>
      <x:c r="N858" s="1"/>
      <x:c r="O858" s="1"/>
      <x:c r="P858" s="1"/>
      <x:c r="Q858" s="1"/>
      <x:c r="R858" s="1"/>
      <x:c r="S858" s="1"/>
    </x:row>
    <x:row r="859" ht="26" customHeight="1">
      <x:c r="A859" s="1"/>
      <x:c r="B859" s="1"/>
      <x:c r="C859" s="1"/>
      <x:c r="D859" s="1"/>
      <x:c r="E859" s="1"/>
      <x:c r="F859" s="1"/>
      <x:c r="G859" s="1"/>
      <x:c r="H859" s="1"/>
      <x:c r="I859" s="1"/>
      <x:c r="J859" s="1"/>
      <x:c r="K859" s="1"/>
      <x:c r="L859" s="1"/>
      <x:c r="M859" s="1"/>
      <x:c r="N859" s="1"/>
      <x:c r="O859" s="1"/>
      <x:c r="P859" s="1"/>
      <x:c r="Q859" s="1"/>
      <x:c r="R859" s="1"/>
      <x:c r="S859" s="1"/>
    </x:row>
    <x:row r="860" ht="26" customHeight="1">
      <x:c r="A860" s="1"/>
      <x:c r="B860" s="1"/>
      <x:c r="C860" s="1"/>
      <x:c r="D860" s="1"/>
      <x:c r="E860" s="1"/>
      <x:c r="F860" s="1"/>
      <x:c r="G860" s="1"/>
      <x:c r="H860" s="1"/>
      <x:c r="I860" s="1"/>
      <x:c r="J860" s="1"/>
      <x:c r="K860" s="1"/>
      <x:c r="L860" s="1"/>
      <x:c r="M860" s="1"/>
      <x:c r="N860" s="1"/>
      <x:c r="O860" s="1"/>
      <x:c r="P860" s="1"/>
      <x:c r="Q860" s="1"/>
      <x:c r="R860" s="1"/>
      <x:c r="S860" s="1"/>
    </x:row>
    <x:row r="861" ht="26" customHeight="1">
      <x:c r="A861" s="1"/>
      <x:c r="B861" s="1"/>
      <x:c r="C861" s="1"/>
      <x:c r="D861" s="1"/>
      <x:c r="E861" s="1"/>
      <x:c r="F861" s="1"/>
      <x:c r="G861" s="1"/>
      <x:c r="H861" s="1"/>
      <x:c r="I861" s="1"/>
      <x:c r="J861" s="1"/>
      <x:c r="K861" s="1"/>
      <x:c r="L861" s="1"/>
      <x:c r="M861" s="1"/>
      <x:c r="N861" s="1"/>
      <x:c r="O861" s="1"/>
      <x:c r="P861" s="1"/>
      <x:c r="Q861" s="1"/>
      <x:c r="R861" s="1"/>
      <x:c r="S861" s="1"/>
    </x:row>
    <x:row r="862" ht="26" customHeight="1">
      <x:c r="A862" s="1"/>
      <x:c r="B862" s="1"/>
      <x:c r="C862" s="1"/>
      <x:c r="D862" s="1"/>
      <x:c r="E862" s="1"/>
      <x:c r="F862" s="1"/>
      <x:c r="G862" s="1"/>
      <x:c r="H862" s="1"/>
      <x:c r="I862" s="1"/>
      <x:c r="J862" s="1"/>
      <x:c r="K862" s="1"/>
      <x:c r="L862" s="1"/>
      <x:c r="M862" s="1"/>
      <x:c r="N862" s="1"/>
      <x:c r="O862" s="1"/>
      <x:c r="P862" s="1"/>
      <x:c r="Q862" s="1"/>
      <x:c r="R862" s="1"/>
      <x:c r="S862" s="1"/>
    </x:row>
    <x:row r="863" ht="26" customHeight="1">
      <x:c r="A863" s="1"/>
      <x:c r="B863" s="1"/>
      <x:c r="C863" s="1"/>
      <x:c r="D863" s="1"/>
      <x:c r="E863" s="1"/>
      <x:c r="F863" s="1"/>
      <x:c r="G863" s="1"/>
      <x:c r="H863" s="1"/>
      <x:c r="I863" s="1"/>
      <x:c r="J863" s="1"/>
      <x:c r="K863" s="1"/>
      <x:c r="L863" s="1"/>
      <x:c r="M863" s="1"/>
      <x:c r="N863" s="1"/>
      <x:c r="O863" s="1"/>
      <x:c r="P863" s="1"/>
      <x:c r="Q863" s="1"/>
      <x:c r="R863" s="1"/>
      <x:c r="S863" s="1"/>
    </x:row>
    <x:row r="864" ht="26" customHeight="1">
      <x:c r="A864" s="1"/>
      <x:c r="B864" s="1"/>
      <x:c r="C864" s="1"/>
      <x:c r="D864" s="1"/>
      <x:c r="E864" s="1"/>
      <x:c r="F864" s="1"/>
      <x:c r="G864" s="1"/>
      <x:c r="H864" s="1"/>
      <x:c r="I864" s="1"/>
      <x:c r="J864" s="1"/>
      <x:c r="K864" s="1"/>
      <x:c r="L864" s="1"/>
      <x:c r="M864" s="1"/>
      <x:c r="N864" s="1"/>
      <x:c r="O864" s="1"/>
      <x:c r="P864" s="1"/>
      <x:c r="Q864" s="1"/>
      <x:c r="R864" s="1"/>
      <x:c r="S864" s="1"/>
    </x:row>
    <x:row r="865" ht="26" customHeight="1">
      <x:c r="A865" s="1"/>
      <x:c r="B865" s="1"/>
      <x:c r="C865" s="1"/>
      <x:c r="D865" s="1"/>
      <x:c r="E865" s="1"/>
      <x:c r="F865" s="1"/>
      <x:c r="G865" s="1"/>
      <x:c r="H865" s="1"/>
      <x:c r="I865" s="1"/>
      <x:c r="J865" s="1"/>
      <x:c r="K865" s="1"/>
      <x:c r="L865" s="1"/>
      <x:c r="M865" s="1"/>
      <x:c r="N865" s="1"/>
      <x:c r="O865" s="1"/>
      <x:c r="P865" s="1"/>
      <x:c r="Q865" s="1"/>
      <x:c r="R865" s="1"/>
      <x:c r="S865" s="1"/>
    </x:row>
    <x:row r="866" ht="26" customHeight="1">
      <x:c r="A866" s="1"/>
      <x:c r="B866" s="1"/>
      <x:c r="C866" s="1"/>
      <x:c r="D866" s="1"/>
      <x:c r="E866" s="1"/>
      <x:c r="F866" s="1"/>
      <x:c r="G866" s="1"/>
      <x:c r="H866" s="1"/>
      <x:c r="I866" s="1"/>
      <x:c r="J866" s="1"/>
      <x:c r="K866" s="1"/>
      <x:c r="L866" s="1"/>
      <x:c r="M866" s="1"/>
      <x:c r="N866" s="1"/>
      <x:c r="O866" s="1"/>
      <x:c r="P866" s="1"/>
      <x:c r="Q866" s="1"/>
      <x:c r="R866" s="1"/>
      <x:c r="S866" s="1"/>
    </x:row>
    <x:row r="867" ht="26" customHeight="1">
      <x:c r="A867" s="1"/>
      <x:c r="B867" s="1"/>
      <x:c r="C867" s="1"/>
      <x:c r="D867" s="1"/>
      <x:c r="E867" s="1"/>
      <x:c r="F867" s="1"/>
      <x:c r="G867" s="1"/>
      <x:c r="H867" s="1"/>
      <x:c r="I867" s="1"/>
      <x:c r="J867" s="1"/>
      <x:c r="K867" s="1"/>
      <x:c r="L867" s="1"/>
      <x:c r="M867" s="1"/>
      <x:c r="N867" s="1"/>
      <x:c r="O867" s="1"/>
      <x:c r="P867" s="1"/>
      <x:c r="Q867" s="1"/>
      <x:c r="R867" s="1"/>
      <x:c r="S867" s="1"/>
    </x:row>
    <x:row r="868" ht="26" customHeight="1">
      <x:c r="A868" s="1"/>
      <x:c r="B868" s="1"/>
      <x:c r="C868" s="1"/>
      <x:c r="D868" s="1"/>
      <x:c r="E868" s="1"/>
      <x:c r="F868" s="1"/>
      <x:c r="G868" s="1"/>
      <x:c r="H868" s="1"/>
      <x:c r="I868" s="1"/>
      <x:c r="J868" s="1"/>
      <x:c r="K868" s="1"/>
      <x:c r="L868" s="1"/>
      <x:c r="M868" s="1"/>
      <x:c r="N868" s="1"/>
      <x:c r="O868" s="1"/>
      <x:c r="P868" s="1"/>
      <x:c r="Q868" s="1"/>
      <x:c r="R868" s="1"/>
      <x:c r="S868" s="1"/>
    </x:row>
    <x:row r="869" ht="26" customHeight="1">
      <x:c r="A869" s="1"/>
      <x:c r="B869" s="1"/>
      <x:c r="C869" s="1"/>
      <x:c r="D869" s="1"/>
      <x:c r="E869" s="1"/>
      <x:c r="F869" s="1"/>
      <x:c r="G869" s="1"/>
      <x:c r="H869" s="1"/>
      <x:c r="I869" s="1"/>
      <x:c r="J869" s="1"/>
      <x:c r="K869" s="1"/>
      <x:c r="L869" s="1"/>
      <x:c r="M869" s="1"/>
      <x:c r="N869" s="1"/>
      <x:c r="O869" s="1"/>
      <x:c r="P869" s="1"/>
      <x:c r="Q869" s="1"/>
      <x:c r="R869" s="1"/>
      <x:c r="S869" s="1"/>
    </x:row>
    <x:row r="870" ht="26" customHeight="1">
      <x:c r="A870" s="1"/>
      <x:c r="B870" s="1"/>
      <x:c r="C870" s="1"/>
      <x:c r="D870" s="1"/>
      <x:c r="E870" s="1"/>
      <x:c r="F870" s="1"/>
      <x:c r="G870" s="1"/>
      <x:c r="H870" s="1"/>
      <x:c r="I870" s="1"/>
      <x:c r="J870" s="1"/>
      <x:c r="K870" s="1"/>
      <x:c r="L870" s="1"/>
      <x:c r="M870" s="1"/>
      <x:c r="N870" s="1"/>
      <x:c r="O870" s="1"/>
      <x:c r="P870" s="1"/>
      <x:c r="Q870" s="1"/>
      <x:c r="R870" s="1"/>
      <x:c r="S870" s="1"/>
    </x:row>
    <x:row r="871" ht="26" customHeight="1">
      <x:c r="A871" s="1"/>
      <x:c r="B871" s="1"/>
      <x:c r="C871" s="1"/>
      <x:c r="D871" s="1"/>
      <x:c r="E871" s="1"/>
      <x:c r="F871" s="1"/>
      <x:c r="G871" s="1"/>
      <x:c r="H871" s="1"/>
      <x:c r="I871" s="1"/>
      <x:c r="J871" s="1"/>
      <x:c r="K871" s="1"/>
      <x:c r="L871" s="1"/>
      <x:c r="M871" s="1"/>
      <x:c r="N871" s="1"/>
      <x:c r="O871" s="1"/>
      <x:c r="P871" s="1"/>
      <x:c r="Q871" s="1"/>
      <x:c r="R871" s="1"/>
      <x:c r="S871" s="1"/>
    </x:row>
    <x:row r="872" ht="26" customHeight="1">
      <x:c r="A872" s="1"/>
      <x:c r="B872" s="1"/>
      <x:c r="C872" s="1"/>
      <x:c r="D872" s="1"/>
      <x:c r="E872" s="1"/>
      <x:c r="F872" s="1"/>
      <x:c r="G872" s="1"/>
      <x:c r="H872" s="1"/>
      <x:c r="I872" s="1"/>
      <x:c r="J872" s="1"/>
      <x:c r="K872" s="1"/>
      <x:c r="L872" s="1"/>
      <x:c r="M872" s="1"/>
      <x:c r="N872" s="1"/>
      <x:c r="O872" s="1"/>
      <x:c r="P872" s="1"/>
      <x:c r="Q872" s="1"/>
      <x:c r="R872" s="1"/>
      <x:c r="S872" s="1"/>
    </x:row>
    <x:row r="873" ht="26" customHeight="1">
      <x:c r="A873" s="1"/>
      <x:c r="B873" s="1"/>
      <x:c r="C873" s="1"/>
      <x:c r="D873" s="1"/>
      <x:c r="E873" s="1"/>
      <x:c r="F873" s="1"/>
      <x:c r="G873" s="1"/>
      <x:c r="H873" s="1"/>
      <x:c r="I873" s="1"/>
      <x:c r="J873" s="1"/>
      <x:c r="K873" s="1"/>
      <x:c r="L873" s="1"/>
      <x:c r="M873" s="1"/>
      <x:c r="N873" s="1"/>
      <x:c r="O873" s="1"/>
      <x:c r="P873" s="1"/>
      <x:c r="Q873" s="1"/>
      <x:c r="R873" s="1"/>
      <x:c r="S873" s="1"/>
    </x:row>
    <x:row r="874" ht="26" customHeight="1">
      <x:c r="A874" s="1"/>
      <x:c r="B874" s="1"/>
      <x:c r="C874" s="1"/>
      <x:c r="D874" s="1"/>
      <x:c r="E874" s="1"/>
      <x:c r="F874" s="1"/>
      <x:c r="G874" s="1"/>
      <x:c r="H874" s="1"/>
      <x:c r="I874" s="1"/>
      <x:c r="J874" s="1"/>
      <x:c r="K874" s="1"/>
      <x:c r="L874" s="1"/>
      <x:c r="M874" s="1"/>
      <x:c r="N874" s="1"/>
      <x:c r="O874" s="1"/>
      <x:c r="P874" s="1"/>
      <x:c r="Q874" s="1"/>
      <x:c r="R874" s="1"/>
      <x:c r="S874" s="1"/>
    </x:row>
    <x:row r="875" ht="26" customHeight="1">
      <x:c r="A875" s="1"/>
      <x:c r="B875" s="1"/>
      <x:c r="C875" s="1"/>
      <x:c r="D875" s="1"/>
      <x:c r="E875" s="1"/>
      <x:c r="F875" s="1"/>
      <x:c r="G875" s="1"/>
      <x:c r="H875" s="1"/>
      <x:c r="I875" s="1"/>
      <x:c r="J875" s="1"/>
      <x:c r="K875" s="1"/>
      <x:c r="L875" s="1"/>
      <x:c r="M875" s="1"/>
      <x:c r="N875" s="1"/>
      <x:c r="O875" s="1"/>
      <x:c r="P875" s="1"/>
      <x:c r="Q875" s="1"/>
      <x:c r="R875" s="1"/>
      <x:c r="S875" s="1"/>
    </x:row>
    <x:row r="876" ht="26" customHeight="1">
      <x:c r="A876" s="1"/>
      <x:c r="B876" s="1"/>
      <x:c r="C876" s="1"/>
      <x:c r="D876" s="1"/>
      <x:c r="E876" s="1"/>
      <x:c r="F876" s="1"/>
      <x:c r="G876" s="1"/>
      <x:c r="H876" s="1"/>
      <x:c r="I876" s="1"/>
      <x:c r="J876" s="1"/>
      <x:c r="K876" s="1"/>
      <x:c r="L876" s="1"/>
      <x:c r="M876" s="1"/>
      <x:c r="N876" s="1"/>
      <x:c r="O876" s="1"/>
      <x:c r="P876" s="1"/>
      <x:c r="Q876" s="1"/>
      <x:c r="R876" s="1"/>
      <x:c r="S876" s="1"/>
    </x:row>
    <x:row r="877" ht="26" customHeight="1">
      <x:c r="A877" s="1"/>
      <x:c r="B877" s="1"/>
      <x:c r="C877" s="1"/>
      <x:c r="D877" s="1"/>
      <x:c r="E877" s="1"/>
      <x:c r="F877" s="1"/>
      <x:c r="G877" s="1"/>
      <x:c r="H877" s="1"/>
      <x:c r="I877" s="1"/>
      <x:c r="J877" s="1"/>
      <x:c r="K877" s="1"/>
      <x:c r="L877" s="1"/>
      <x:c r="M877" s="1"/>
      <x:c r="N877" s="1"/>
      <x:c r="O877" s="1"/>
      <x:c r="P877" s="1"/>
      <x:c r="Q877" s="1"/>
      <x:c r="R877" s="1"/>
      <x:c r="S877" s="1"/>
    </x:row>
    <x:row r="878" ht="26" customHeight="1">
      <x:c r="A878" s="1"/>
      <x:c r="B878" s="1"/>
      <x:c r="C878" s="1"/>
      <x:c r="D878" s="1"/>
      <x:c r="E878" s="1"/>
      <x:c r="F878" s="1"/>
      <x:c r="G878" s="1"/>
      <x:c r="H878" s="1"/>
      <x:c r="I878" s="1"/>
      <x:c r="J878" s="1"/>
      <x:c r="K878" s="1"/>
      <x:c r="L878" s="1"/>
      <x:c r="M878" s="1"/>
      <x:c r="N878" s="1"/>
      <x:c r="O878" s="1"/>
      <x:c r="P878" s="1"/>
      <x:c r="Q878" s="1"/>
      <x:c r="R878" s="1"/>
      <x:c r="S878" s="1"/>
    </x:row>
    <x:row r="879" ht="26" customHeight="1">
      <x:c r="A879" s="1"/>
      <x:c r="B879" s="1"/>
      <x:c r="C879" s="1"/>
      <x:c r="D879" s="1"/>
      <x:c r="E879" s="1"/>
      <x:c r="F879" s="1"/>
      <x:c r="G879" s="1"/>
      <x:c r="H879" s="1"/>
      <x:c r="I879" s="1"/>
      <x:c r="J879" s="1"/>
      <x:c r="K879" s="1"/>
      <x:c r="L879" s="1"/>
      <x:c r="M879" s="1"/>
      <x:c r="N879" s="1"/>
      <x:c r="O879" s="1"/>
      <x:c r="P879" s="1"/>
      <x:c r="Q879" s="1"/>
      <x:c r="R879" s="1"/>
      <x:c r="S879" s="1"/>
    </x:row>
    <x:row r="880" ht="26" customHeight="1">
      <x:c r="A880" s="1"/>
      <x:c r="B880" s="1"/>
      <x:c r="C880" s="1"/>
      <x:c r="D880" s="1"/>
      <x:c r="E880" s="1"/>
      <x:c r="F880" s="1"/>
      <x:c r="G880" s="1"/>
      <x:c r="H880" s="1"/>
      <x:c r="I880" s="1"/>
      <x:c r="J880" s="1"/>
      <x:c r="K880" s="1"/>
      <x:c r="L880" s="1"/>
      <x:c r="M880" s="1"/>
      <x:c r="N880" s="1"/>
      <x:c r="O880" s="1"/>
      <x:c r="P880" s="1"/>
      <x:c r="Q880" s="1"/>
      <x:c r="R880" s="1"/>
      <x:c r="S880" s="1"/>
    </x:row>
    <x:row r="881" ht="26" customHeight="1">
      <x:c r="A881" s="1"/>
      <x:c r="B881" s="1"/>
      <x:c r="C881" s="1"/>
      <x:c r="D881" s="1"/>
      <x:c r="E881" s="1"/>
      <x:c r="F881" s="1"/>
      <x:c r="G881" s="1"/>
      <x:c r="H881" s="1"/>
      <x:c r="I881" s="1"/>
      <x:c r="J881" s="1"/>
      <x:c r="K881" s="1"/>
      <x:c r="L881" s="1"/>
      <x:c r="M881" s="1"/>
      <x:c r="N881" s="1"/>
      <x:c r="O881" s="1"/>
      <x:c r="P881" s="1"/>
      <x:c r="Q881" s="1"/>
      <x:c r="R881" s="1"/>
      <x:c r="S881" s="1"/>
    </x:row>
    <x:row r="882" ht="26" customHeight="1">
      <x:c r="A882" s="1"/>
      <x:c r="B882" s="1"/>
      <x:c r="C882" s="1"/>
      <x:c r="D882" s="1"/>
      <x:c r="E882" s="1"/>
      <x:c r="F882" s="1"/>
      <x:c r="G882" s="1"/>
      <x:c r="H882" s="1"/>
      <x:c r="I882" s="1"/>
      <x:c r="J882" s="1"/>
      <x:c r="K882" s="1"/>
      <x:c r="L882" s="1"/>
      <x:c r="M882" s="1"/>
      <x:c r="N882" s="1"/>
      <x:c r="O882" s="1"/>
      <x:c r="P882" s="1"/>
      <x:c r="Q882" s="1"/>
      <x:c r="R882" s="1"/>
      <x:c r="S882" s="1"/>
    </x:row>
    <x:row r="883" ht="26" customHeight="1">
      <x:c r="A883" s="1"/>
      <x:c r="B883" s="1"/>
      <x:c r="C883" s="1"/>
      <x:c r="D883" s="1"/>
      <x:c r="E883" s="1"/>
      <x:c r="F883" s="1"/>
      <x:c r="G883" s="1"/>
      <x:c r="H883" s="1"/>
      <x:c r="I883" s="1"/>
      <x:c r="J883" s="1"/>
      <x:c r="K883" s="1"/>
      <x:c r="L883" s="1"/>
      <x:c r="M883" s="1"/>
      <x:c r="N883" s="1"/>
      <x:c r="O883" s="1"/>
      <x:c r="P883" s="1"/>
      <x:c r="Q883" s="1"/>
      <x:c r="R883" s="1"/>
      <x:c r="S883" s="1"/>
    </x:row>
    <x:row r="884" ht="26" customHeight="1">
      <x:c r="A884" s="1"/>
      <x:c r="B884" s="1"/>
      <x:c r="C884" s="1"/>
      <x:c r="D884" s="1"/>
      <x:c r="E884" s="1"/>
      <x:c r="F884" s="1"/>
      <x:c r="G884" s="1"/>
      <x:c r="H884" s="1"/>
      <x:c r="I884" s="1"/>
      <x:c r="J884" s="1"/>
      <x:c r="K884" s="1"/>
      <x:c r="L884" s="1"/>
      <x:c r="M884" s="1"/>
      <x:c r="N884" s="1"/>
      <x:c r="O884" s="1"/>
      <x:c r="P884" s="1"/>
      <x:c r="Q884" s="1"/>
      <x:c r="R884" s="1"/>
      <x:c r="S884" s="1"/>
    </x:row>
    <x:row r="885" ht="26" customHeight="1">
      <x:c r="A885" s="1"/>
      <x:c r="B885" s="1"/>
      <x:c r="C885" s="1"/>
      <x:c r="D885" s="1"/>
      <x:c r="E885" s="1"/>
      <x:c r="F885" s="1"/>
      <x:c r="G885" s="1"/>
      <x:c r="H885" s="1"/>
      <x:c r="I885" s="1"/>
      <x:c r="J885" s="1"/>
      <x:c r="K885" s="1"/>
      <x:c r="L885" s="1"/>
      <x:c r="M885" s="1"/>
      <x:c r="N885" s="1"/>
      <x:c r="O885" s="1"/>
      <x:c r="P885" s="1"/>
      <x:c r="Q885" s="1"/>
      <x:c r="R885" s="1"/>
      <x:c r="S885" s="1"/>
    </x:row>
    <x:row r="886" ht="26" customHeight="1">
      <x:c r="A886" s="1"/>
      <x:c r="B886" s="1"/>
      <x:c r="C886" s="1"/>
      <x:c r="D886" s="1"/>
      <x:c r="E886" s="1"/>
      <x:c r="F886" s="1"/>
      <x:c r="G886" s="1"/>
      <x:c r="H886" s="1"/>
      <x:c r="I886" s="1"/>
      <x:c r="J886" s="1"/>
      <x:c r="K886" s="1"/>
      <x:c r="L886" s="1"/>
      <x:c r="M886" s="1"/>
      <x:c r="N886" s="1"/>
      <x:c r="O886" s="1"/>
      <x:c r="P886" s="1"/>
      <x:c r="Q886" s="1"/>
      <x:c r="R886" s="1"/>
      <x:c r="S886" s="1"/>
    </x:row>
    <x:row r="887" ht="26" customHeight="1">
      <x:c r="A887" s="1"/>
      <x:c r="B887" s="1"/>
      <x:c r="C887" s="1"/>
      <x:c r="D887" s="1"/>
      <x:c r="E887" s="1"/>
      <x:c r="F887" s="1"/>
      <x:c r="G887" s="1"/>
      <x:c r="H887" s="1"/>
      <x:c r="I887" s="1"/>
      <x:c r="J887" s="1"/>
      <x:c r="K887" s="1"/>
      <x:c r="L887" s="1"/>
      <x:c r="M887" s="1"/>
      <x:c r="N887" s="1"/>
      <x:c r="O887" s="1"/>
      <x:c r="P887" s="1"/>
      <x:c r="Q887" s="1"/>
      <x:c r="R887" s="1"/>
      <x:c r="S887" s="1"/>
    </x:row>
    <x:row r="888" ht="26" customHeight="1">
      <x:c r="A888" s="1"/>
      <x:c r="B888" s="1"/>
      <x:c r="C888" s="1"/>
      <x:c r="D888" s="1"/>
      <x:c r="E888" s="1"/>
      <x:c r="F888" s="1"/>
      <x:c r="G888" s="1"/>
      <x:c r="H888" s="1"/>
      <x:c r="I888" s="1"/>
      <x:c r="J888" s="1"/>
      <x:c r="K888" s="1"/>
      <x:c r="L888" s="1"/>
      <x:c r="M888" s="1"/>
      <x:c r="N888" s="1"/>
      <x:c r="O888" s="1"/>
      <x:c r="P888" s="1"/>
      <x:c r="Q888" s="1"/>
      <x:c r="R888" s="1"/>
      <x:c r="S888" s="1"/>
    </x:row>
    <x:row r="889" ht="26" customHeight="1">
      <x:c r="A889" s="1"/>
      <x:c r="B889" s="1"/>
      <x:c r="C889" s="1"/>
      <x:c r="D889" s="1"/>
      <x:c r="E889" s="1"/>
      <x:c r="F889" s="1"/>
      <x:c r="G889" s="1"/>
      <x:c r="H889" s="1"/>
      <x:c r="I889" s="1"/>
      <x:c r="J889" s="1"/>
      <x:c r="K889" s="1"/>
      <x:c r="L889" s="1"/>
      <x:c r="M889" s="1"/>
      <x:c r="N889" s="1"/>
      <x:c r="O889" s="1"/>
      <x:c r="P889" s="1"/>
      <x:c r="Q889" s="1"/>
      <x:c r="R889" s="1"/>
      <x:c r="S889" s="1"/>
    </x:row>
    <x:row r="890" ht="26" customHeight="1">
      <x:c r="A890" s="1"/>
      <x:c r="B890" s="1"/>
      <x:c r="C890" s="1"/>
      <x:c r="D890" s="1"/>
      <x:c r="E890" s="1"/>
      <x:c r="F890" s="1"/>
      <x:c r="G890" s="1"/>
      <x:c r="H890" s="1"/>
      <x:c r="I890" s="1"/>
      <x:c r="J890" s="1"/>
      <x:c r="K890" s="1"/>
      <x:c r="L890" s="1"/>
      <x:c r="M890" s="1"/>
      <x:c r="N890" s="1"/>
      <x:c r="O890" s="1"/>
      <x:c r="P890" s="1"/>
      <x:c r="Q890" s="1"/>
      <x:c r="R890" s="1"/>
      <x:c r="S890" s="1"/>
    </x:row>
    <x:row r="891" ht="26" customHeight="1">
      <x:c r="A891" s="1"/>
      <x:c r="B891" s="1"/>
      <x:c r="C891" s="1"/>
      <x:c r="D891" s="1"/>
      <x:c r="E891" s="1"/>
      <x:c r="F891" s="1"/>
      <x:c r="G891" s="1"/>
      <x:c r="H891" s="1"/>
      <x:c r="I891" s="1"/>
      <x:c r="J891" s="1"/>
      <x:c r="K891" s="1"/>
      <x:c r="L891" s="1"/>
      <x:c r="M891" s="1"/>
      <x:c r="N891" s="1"/>
      <x:c r="O891" s="1"/>
      <x:c r="P891" s="1"/>
      <x:c r="Q891" s="1"/>
      <x:c r="R891" s="1"/>
      <x:c r="S891" s="1"/>
    </x:row>
    <x:row r="892" ht="26" customHeight="1">
      <x:c r="A892" s="1"/>
      <x:c r="B892" s="1"/>
      <x:c r="C892" s="1"/>
      <x:c r="D892" s="1"/>
      <x:c r="E892" s="1"/>
      <x:c r="F892" s="1"/>
      <x:c r="G892" s="1"/>
      <x:c r="H892" s="1"/>
      <x:c r="I892" s="1"/>
      <x:c r="J892" s="1"/>
      <x:c r="K892" s="1"/>
      <x:c r="L892" s="1"/>
      <x:c r="M892" s="1"/>
      <x:c r="N892" s="1"/>
      <x:c r="O892" s="1"/>
      <x:c r="P892" s="1"/>
      <x:c r="Q892" s="1"/>
      <x:c r="R892" s="1"/>
      <x:c r="S892" s="1"/>
    </x:row>
    <x:row r="893" ht="26" customHeight="1">
      <x:c r="A893" s="1"/>
      <x:c r="B893" s="1"/>
      <x:c r="C893" s="1"/>
      <x:c r="D893" s="1"/>
      <x:c r="E893" s="1"/>
      <x:c r="F893" s="1"/>
      <x:c r="G893" s="1"/>
      <x:c r="H893" s="1"/>
      <x:c r="I893" s="1"/>
      <x:c r="J893" s="1"/>
      <x:c r="K893" s="1"/>
      <x:c r="L893" s="1"/>
      <x:c r="M893" s="1"/>
      <x:c r="N893" s="1"/>
      <x:c r="O893" s="1"/>
      <x:c r="P893" s="1"/>
      <x:c r="Q893" s="1"/>
      <x:c r="R893" s="1"/>
      <x:c r="S893" s="1"/>
    </x:row>
    <x:row r="894" ht="26" customHeight="1">
      <x:c r="A894" s="1"/>
      <x:c r="B894" s="1"/>
      <x:c r="C894" s="1"/>
      <x:c r="D894" s="1"/>
      <x:c r="E894" s="1"/>
      <x:c r="F894" s="1"/>
      <x:c r="G894" s="1"/>
      <x:c r="H894" s="1"/>
      <x:c r="I894" s="1"/>
      <x:c r="J894" s="1"/>
      <x:c r="K894" s="1"/>
      <x:c r="L894" s="1"/>
      <x:c r="M894" s="1"/>
      <x:c r="N894" s="1"/>
      <x:c r="O894" s="1"/>
      <x:c r="P894" s="1"/>
      <x:c r="Q894" s="1"/>
      <x:c r="R894" s="1"/>
      <x:c r="S894" s="1"/>
    </x:row>
    <x:row r="895" ht="26" customHeight="1">
      <x:c r="A895" s="1"/>
      <x:c r="B895" s="1"/>
      <x:c r="C895" s="1"/>
      <x:c r="D895" s="1"/>
      <x:c r="E895" s="1"/>
      <x:c r="F895" s="1"/>
      <x:c r="G895" s="1"/>
      <x:c r="H895" s="1"/>
      <x:c r="I895" s="1"/>
      <x:c r="J895" s="1"/>
      <x:c r="K895" s="1"/>
      <x:c r="L895" s="1"/>
      <x:c r="M895" s="1"/>
      <x:c r="N895" s="1"/>
      <x:c r="O895" s="1"/>
      <x:c r="P895" s="1"/>
      <x:c r="Q895" s="1"/>
      <x:c r="R895" s="1"/>
      <x:c r="S895" s="1"/>
    </x:row>
    <x:row r="896" ht="26" customHeight="1">
      <x:c r="A896" s="1"/>
      <x:c r="B896" s="1"/>
      <x:c r="C896" s="1"/>
      <x:c r="D896" s="1"/>
      <x:c r="E896" s="1"/>
      <x:c r="F896" s="1"/>
      <x:c r="G896" s="1"/>
      <x:c r="H896" s="1"/>
      <x:c r="I896" s="1"/>
      <x:c r="J896" s="1"/>
      <x:c r="K896" s="1"/>
      <x:c r="L896" s="1"/>
      <x:c r="M896" s="1"/>
      <x:c r="N896" s="1"/>
      <x:c r="O896" s="1"/>
      <x:c r="P896" s="1"/>
      <x:c r="Q896" s="1"/>
      <x:c r="R896" s="1"/>
      <x:c r="S896" s="1"/>
    </x:row>
    <x:row r="897" ht="26" customHeight="1">
      <x:c r="A897" s="1"/>
      <x:c r="B897" s="1"/>
      <x:c r="C897" s="1"/>
      <x:c r="D897" s="1"/>
      <x:c r="E897" s="1"/>
      <x:c r="F897" s="1"/>
      <x:c r="G897" s="1"/>
      <x:c r="H897" s="1"/>
      <x:c r="I897" s="1"/>
      <x:c r="J897" s="1"/>
      <x:c r="K897" s="1"/>
      <x:c r="L897" s="1"/>
      <x:c r="M897" s="1"/>
      <x:c r="N897" s="1"/>
      <x:c r="O897" s="1"/>
      <x:c r="P897" s="1"/>
      <x:c r="Q897" s="1"/>
      <x:c r="R897" s="1"/>
      <x:c r="S897" s="1"/>
    </x:row>
    <x:row r="898" ht="26" customHeight="1">
      <x:c r="A898" s="1"/>
      <x:c r="B898" s="1"/>
      <x:c r="C898" s="1"/>
      <x:c r="D898" s="1"/>
      <x:c r="E898" s="1"/>
      <x:c r="F898" s="1"/>
      <x:c r="G898" s="1"/>
      <x:c r="H898" s="1"/>
      <x:c r="I898" s="1"/>
      <x:c r="J898" s="1"/>
      <x:c r="K898" s="1"/>
      <x:c r="L898" s="1"/>
      <x:c r="M898" s="1"/>
      <x:c r="N898" s="1"/>
      <x:c r="O898" s="1"/>
      <x:c r="P898" s="1"/>
      <x:c r="Q898" s="1"/>
      <x:c r="R898" s="1"/>
      <x:c r="S898" s="1"/>
    </x:row>
    <x:row r="899" ht="26" customHeight="1">
      <x:c r="A899" s="1"/>
      <x:c r="B899" s="1"/>
      <x:c r="C899" s="1"/>
      <x:c r="D899" s="1"/>
      <x:c r="E899" s="1"/>
      <x:c r="F899" s="1"/>
      <x:c r="G899" s="1"/>
      <x:c r="H899" s="1"/>
      <x:c r="I899" s="1"/>
      <x:c r="J899" s="1"/>
      <x:c r="K899" s="1"/>
      <x:c r="L899" s="1"/>
      <x:c r="M899" s="1"/>
      <x:c r="N899" s="1"/>
      <x:c r="O899" s="1"/>
      <x:c r="P899" s="1"/>
      <x:c r="Q899" s="1"/>
      <x:c r="R899" s="1"/>
      <x:c r="S899" s="1"/>
    </x:row>
    <x:row r="900" ht="26" customHeight="1">
      <x:c r="A900" s="1"/>
      <x:c r="B900" s="1"/>
      <x:c r="C900" s="1"/>
      <x:c r="D900" s="1"/>
      <x:c r="E900" s="1"/>
      <x:c r="F900" s="1"/>
      <x:c r="G900" s="1"/>
      <x:c r="H900" s="1"/>
      <x:c r="I900" s="1"/>
      <x:c r="J900" s="1"/>
      <x:c r="K900" s="1"/>
      <x:c r="L900" s="1"/>
      <x:c r="M900" s="1"/>
      <x:c r="N900" s="1"/>
      <x:c r="O900" s="1"/>
      <x:c r="P900" s="1"/>
      <x:c r="Q900" s="1"/>
      <x:c r="R900" s="1"/>
      <x:c r="S900" s="1"/>
    </x:row>
    <x:row r="901" ht="26" customHeight="1">
      <x:c r="A901" s="1"/>
      <x:c r="B901" s="1"/>
      <x:c r="C901" s="1"/>
      <x:c r="D901" s="1"/>
      <x:c r="E901" s="1"/>
      <x:c r="F901" s="1"/>
      <x:c r="G901" s="1"/>
      <x:c r="H901" s="1"/>
      <x:c r="I901" s="1"/>
      <x:c r="J901" s="1"/>
      <x:c r="K901" s="1"/>
      <x:c r="L901" s="1"/>
      <x:c r="M901" s="1"/>
      <x:c r="N901" s="1"/>
      <x:c r="O901" s="1"/>
      <x:c r="P901" s="1"/>
      <x:c r="Q901" s="1"/>
      <x:c r="R901" s="1"/>
      <x:c r="S901" s="1"/>
    </x:row>
    <x:row r="902" ht="26" customHeight="1">
      <x:c r="A902" s="1"/>
      <x:c r="B902" s="1"/>
      <x:c r="C902" s="1"/>
      <x:c r="D902" s="1"/>
      <x:c r="E902" s="1"/>
      <x:c r="F902" s="1"/>
      <x:c r="G902" s="1"/>
      <x:c r="H902" s="1"/>
      <x:c r="I902" s="1"/>
      <x:c r="J902" s="1"/>
      <x:c r="K902" s="1"/>
      <x:c r="L902" s="1"/>
      <x:c r="M902" s="1"/>
      <x:c r="N902" s="1"/>
      <x:c r="O902" s="1"/>
      <x:c r="P902" s="1"/>
      <x:c r="Q902" s="1"/>
      <x:c r="R902" s="1"/>
      <x:c r="S902" s="1"/>
    </x:row>
    <x:row r="903" ht="26" customHeight="1">
      <x:c r="A903" s="1"/>
      <x:c r="B903" s="1"/>
      <x:c r="C903" s="1"/>
      <x:c r="D903" s="1"/>
      <x:c r="E903" s="1"/>
      <x:c r="F903" s="1"/>
      <x:c r="G903" s="1"/>
      <x:c r="H903" s="1"/>
      <x:c r="I903" s="1"/>
      <x:c r="J903" s="1"/>
      <x:c r="K903" s="1"/>
      <x:c r="L903" s="1"/>
      <x:c r="M903" s="1"/>
      <x:c r="N903" s="1"/>
      <x:c r="O903" s="1"/>
      <x:c r="P903" s="1"/>
      <x:c r="Q903" s="1"/>
      <x:c r="R903" s="1"/>
      <x:c r="S903" s="1"/>
    </x:row>
    <x:row r="904" ht="26" customHeight="1">
      <x:c r="A904" s="1"/>
      <x:c r="B904" s="1"/>
      <x:c r="C904" s="1"/>
      <x:c r="D904" s="1"/>
      <x:c r="E904" s="1"/>
      <x:c r="F904" s="1"/>
      <x:c r="G904" s="1"/>
      <x:c r="H904" s="1"/>
      <x:c r="I904" s="1"/>
      <x:c r="J904" s="1"/>
      <x:c r="K904" s="1"/>
      <x:c r="L904" s="1"/>
      <x:c r="M904" s="1"/>
      <x:c r="N904" s="1"/>
      <x:c r="O904" s="1"/>
      <x:c r="P904" s="1"/>
      <x:c r="Q904" s="1"/>
      <x:c r="R904" s="1"/>
      <x:c r="S904" s="1"/>
    </x:row>
    <x:row r="905" ht="26" customHeight="1">
      <x:c r="A905" s="1"/>
      <x:c r="B905" s="1"/>
      <x:c r="C905" s="1"/>
      <x:c r="D905" s="1"/>
      <x:c r="E905" s="1"/>
      <x:c r="F905" s="1"/>
      <x:c r="G905" s="1"/>
      <x:c r="H905" s="1"/>
      <x:c r="I905" s="1"/>
      <x:c r="J905" s="1"/>
      <x:c r="K905" s="1"/>
      <x:c r="L905" s="1"/>
      <x:c r="M905" s="1"/>
      <x:c r="N905" s="1"/>
      <x:c r="O905" s="1"/>
      <x:c r="P905" s="1"/>
      <x:c r="Q905" s="1"/>
      <x:c r="R905" s="1"/>
      <x:c r="S905" s="1"/>
    </x:row>
    <x:row r="906" ht="26" customHeight="1">
      <x:c r="A906" s="1"/>
      <x:c r="B906" s="1"/>
      <x:c r="C906" s="1"/>
      <x:c r="D906" s="1"/>
      <x:c r="E906" s="1"/>
      <x:c r="F906" s="1"/>
      <x:c r="G906" s="1"/>
      <x:c r="H906" s="1"/>
      <x:c r="I906" s="1"/>
      <x:c r="J906" s="1"/>
      <x:c r="K906" s="1"/>
      <x:c r="L906" s="1"/>
      <x:c r="M906" s="1"/>
      <x:c r="N906" s="1"/>
      <x:c r="O906" s="1"/>
      <x:c r="P906" s="1"/>
      <x:c r="Q906" s="1"/>
      <x:c r="R906" s="1"/>
      <x:c r="S906" s="1"/>
    </x:row>
    <x:row r="907" ht="26" customHeight="1">
      <x:c r="A907" s="1"/>
      <x:c r="B907" s="1"/>
      <x:c r="C907" s="1"/>
      <x:c r="D907" s="1"/>
      <x:c r="E907" s="1"/>
      <x:c r="F907" s="1"/>
      <x:c r="G907" s="1"/>
      <x:c r="H907" s="1"/>
      <x:c r="I907" s="1"/>
      <x:c r="J907" s="1"/>
      <x:c r="K907" s="1"/>
      <x:c r="L907" s="1"/>
      <x:c r="M907" s="1"/>
      <x:c r="N907" s="1"/>
      <x:c r="O907" s="1"/>
      <x:c r="P907" s="1"/>
      <x:c r="Q907" s="1"/>
      <x:c r="R907" s="1"/>
      <x:c r="S907" s="1"/>
    </x:row>
    <x:row r="908" ht="26" customHeight="1">
      <x:c r="A908" s="1"/>
      <x:c r="B908" s="1"/>
      <x:c r="C908" s="1"/>
      <x:c r="D908" s="1"/>
      <x:c r="E908" s="1"/>
      <x:c r="F908" s="1"/>
      <x:c r="G908" s="1"/>
      <x:c r="H908" s="1"/>
      <x:c r="I908" s="1"/>
      <x:c r="J908" s="1"/>
      <x:c r="K908" s="1"/>
      <x:c r="L908" s="1"/>
      <x:c r="M908" s="1"/>
      <x:c r="N908" s="1"/>
      <x:c r="O908" s="1"/>
      <x:c r="P908" s="1"/>
      <x:c r="Q908" s="1"/>
      <x:c r="R908" s="1"/>
      <x:c r="S908" s="1"/>
    </x:row>
    <x:row r="909" ht="26" customHeight="1">
      <x:c r="A909" s="1"/>
      <x:c r="B909" s="1"/>
      <x:c r="C909" s="1"/>
      <x:c r="D909" s="1"/>
      <x:c r="E909" s="1"/>
      <x:c r="F909" s="1"/>
      <x:c r="G909" s="1"/>
      <x:c r="H909" s="1"/>
      <x:c r="I909" s="1"/>
      <x:c r="J909" s="1"/>
      <x:c r="K909" s="1"/>
      <x:c r="L909" s="1"/>
      <x:c r="M909" s="1"/>
      <x:c r="N909" s="1"/>
      <x:c r="O909" s="1"/>
      <x:c r="P909" s="1"/>
      <x:c r="Q909" s="1"/>
      <x:c r="R909" s="1"/>
      <x:c r="S909" s="1"/>
    </x:row>
    <x:row r="910" ht="26" customHeight="1">
      <x:c r="A910" s="1"/>
      <x:c r="B910" s="1"/>
      <x:c r="C910" s="1"/>
      <x:c r="D910" s="1"/>
      <x:c r="E910" s="1"/>
      <x:c r="F910" s="1"/>
      <x:c r="G910" s="1"/>
      <x:c r="H910" s="1"/>
      <x:c r="I910" s="1"/>
      <x:c r="J910" s="1"/>
      <x:c r="K910" s="1"/>
      <x:c r="L910" s="1"/>
      <x:c r="M910" s="1"/>
      <x:c r="N910" s="1"/>
      <x:c r="O910" s="1"/>
      <x:c r="P910" s="1"/>
      <x:c r="Q910" s="1"/>
      <x:c r="R910" s="1"/>
      <x:c r="S910" s="1"/>
    </x:row>
    <x:row r="911" ht="26" customHeight="1">
      <x:c r="A911" s="1"/>
      <x:c r="B911" s="1"/>
      <x:c r="C911" s="1"/>
      <x:c r="D911" s="1"/>
      <x:c r="E911" s="1"/>
      <x:c r="F911" s="1"/>
      <x:c r="G911" s="1"/>
      <x:c r="H911" s="1"/>
      <x:c r="I911" s="1"/>
      <x:c r="J911" s="1"/>
      <x:c r="K911" s="1"/>
      <x:c r="L911" s="1"/>
      <x:c r="M911" s="1"/>
      <x:c r="N911" s="1"/>
      <x:c r="O911" s="1"/>
      <x:c r="P911" s="1"/>
      <x:c r="Q911" s="1"/>
      <x:c r="R911" s="1"/>
      <x:c r="S911" s="1"/>
    </x:row>
    <x:row r="912" ht="26" customHeight="1">
      <x:c r="A912" s="1"/>
      <x:c r="B912" s="1"/>
      <x:c r="C912" s="1"/>
      <x:c r="D912" s="1"/>
      <x:c r="E912" s="1"/>
      <x:c r="F912" s="1"/>
      <x:c r="G912" s="1"/>
      <x:c r="H912" s="1"/>
      <x:c r="I912" s="1"/>
      <x:c r="J912" s="1"/>
      <x:c r="K912" s="1"/>
      <x:c r="L912" s="1"/>
      <x:c r="M912" s="1"/>
      <x:c r="N912" s="1"/>
      <x:c r="O912" s="1"/>
      <x:c r="P912" s="1"/>
      <x:c r="Q912" s="1"/>
      <x:c r="R912" s="1"/>
      <x:c r="S912" s="1"/>
    </x:row>
    <x:row r="913" ht="26" customHeight="1">
      <x:c r="A913" s="1"/>
      <x:c r="B913" s="1"/>
      <x:c r="C913" s="1"/>
      <x:c r="D913" s="1"/>
      <x:c r="E913" s="1"/>
      <x:c r="F913" s="1"/>
      <x:c r="G913" s="1"/>
      <x:c r="H913" s="1"/>
      <x:c r="I913" s="1"/>
      <x:c r="J913" s="1"/>
      <x:c r="K913" s="1"/>
      <x:c r="L913" s="1"/>
      <x:c r="M913" s="1"/>
      <x:c r="N913" s="1"/>
      <x:c r="O913" s="1"/>
      <x:c r="P913" s="1"/>
      <x:c r="Q913" s="1"/>
      <x:c r="R913" s="1"/>
      <x:c r="S913" s="1"/>
    </x:row>
    <x:row r="914" ht="26" customHeight="1">
      <x:c r="A914" s="1"/>
      <x:c r="B914" s="1"/>
      <x:c r="C914" s="1"/>
      <x:c r="D914" s="1"/>
      <x:c r="E914" s="1"/>
      <x:c r="F914" s="1"/>
      <x:c r="G914" s="1"/>
      <x:c r="H914" s="1"/>
      <x:c r="I914" s="1"/>
      <x:c r="J914" s="1"/>
      <x:c r="K914" s="1"/>
      <x:c r="L914" s="1"/>
      <x:c r="M914" s="1"/>
      <x:c r="N914" s="1"/>
      <x:c r="O914" s="1"/>
      <x:c r="P914" s="1"/>
      <x:c r="Q914" s="1"/>
      <x:c r="R914" s="1"/>
      <x:c r="S914" s="1"/>
    </x:row>
    <x:row r="915" ht="26" customHeight="1">
      <x:c r="A915" s="1"/>
      <x:c r="B915" s="1"/>
      <x:c r="C915" s="1"/>
      <x:c r="D915" s="1"/>
      <x:c r="E915" s="1"/>
      <x:c r="F915" s="1"/>
      <x:c r="G915" s="1"/>
      <x:c r="H915" s="1"/>
      <x:c r="I915" s="1"/>
      <x:c r="J915" s="1"/>
      <x:c r="K915" s="1"/>
      <x:c r="L915" s="1"/>
      <x:c r="M915" s="1"/>
      <x:c r="N915" s="1"/>
      <x:c r="O915" s="1"/>
      <x:c r="P915" s="1"/>
      <x:c r="Q915" s="1"/>
      <x:c r="R915" s="1"/>
      <x:c r="S915" s="1"/>
    </x:row>
    <x:row r="916" ht="26" customHeight="1">
      <x:c r="A916" s="1"/>
      <x:c r="B916" s="1"/>
      <x:c r="C916" s="1"/>
      <x:c r="D916" s="1"/>
      <x:c r="E916" s="1"/>
      <x:c r="F916" s="1"/>
      <x:c r="G916" s="1"/>
      <x:c r="H916" s="1"/>
      <x:c r="I916" s="1"/>
      <x:c r="J916" s="1"/>
      <x:c r="K916" s="1"/>
      <x:c r="L916" s="1"/>
      <x:c r="M916" s="1"/>
      <x:c r="N916" s="1"/>
      <x:c r="O916" s="1"/>
      <x:c r="P916" s="1"/>
      <x:c r="Q916" s="1"/>
      <x:c r="R916" s="1"/>
      <x:c r="S916" s="1"/>
    </x:row>
    <x:row r="917" ht="26" customHeight="1">
      <x:c r="A917" s="1"/>
      <x:c r="B917" s="1"/>
      <x:c r="C917" s="1"/>
      <x:c r="D917" s="1"/>
      <x:c r="E917" s="1"/>
      <x:c r="F917" s="1"/>
      <x:c r="G917" s="1"/>
      <x:c r="H917" s="1"/>
      <x:c r="I917" s="1"/>
      <x:c r="J917" s="1"/>
      <x:c r="K917" s="1"/>
      <x:c r="L917" s="1"/>
      <x:c r="M917" s="1"/>
      <x:c r="N917" s="1"/>
      <x:c r="O917" s="1"/>
      <x:c r="P917" s="1"/>
      <x:c r="Q917" s="1"/>
      <x:c r="R917" s="1"/>
      <x:c r="S917" s="1"/>
    </x:row>
    <x:row r="918" ht="26" customHeight="1">
      <x:c r="A918" s="1"/>
      <x:c r="B918" s="1"/>
      <x:c r="C918" s="1"/>
      <x:c r="D918" s="1"/>
      <x:c r="E918" s="1"/>
      <x:c r="F918" s="1"/>
      <x:c r="G918" s="1"/>
      <x:c r="H918" s="1"/>
      <x:c r="I918" s="1"/>
      <x:c r="J918" s="1"/>
      <x:c r="K918" s="1"/>
      <x:c r="L918" s="1"/>
      <x:c r="M918" s="1"/>
      <x:c r="N918" s="1"/>
      <x:c r="O918" s="1"/>
      <x:c r="P918" s="1"/>
      <x:c r="Q918" s="1"/>
      <x:c r="R918" s="1"/>
      <x:c r="S918" s="1"/>
    </x:row>
    <x:row r="919" ht="26" customHeight="1">
      <x:c r="A919" s="1"/>
      <x:c r="B919" s="1"/>
      <x:c r="C919" s="1"/>
      <x:c r="D919" s="1"/>
      <x:c r="E919" s="1"/>
      <x:c r="F919" s="1"/>
      <x:c r="G919" s="1"/>
      <x:c r="H919" s="1"/>
      <x:c r="I919" s="1"/>
      <x:c r="J919" s="1"/>
      <x:c r="K919" s="1"/>
      <x:c r="L919" s="1"/>
      <x:c r="M919" s="1"/>
      <x:c r="N919" s="1"/>
      <x:c r="O919" s="1"/>
      <x:c r="P919" s="1"/>
      <x:c r="Q919" s="1"/>
      <x:c r="R919" s="1"/>
      <x:c r="S919" s="1"/>
    </x:row>
    <x:row r="920" ht="26" customHeight="1">
      <x:c r="A920" s="1"/>
      <x:c r="B920" s="1"/>
      <x:c r="C920" s="1"/>
      <x:c r="D920" s="1"/>
      <x:c r="E920" s="1"/>
      <x:c r="F920" s="1"/>
      <x:c r="G920" s="1"/>
      <x:c r="H920" s="1"/>
      <x:c r="I920" s="1"/>
      <x:c r="J920" s="1"/>
      <x:c r="K920" s="1"/>
      <x:c r="L920" s="1"/>
      <x:c r="M920" s="1"/>
      <x:c r="N920" s="1"/>
      <x:c r="O920" s="1"/>
      <x:c r="P920" s="1"/>
      <x:c r="Q920" s="1"/>
      <x:c r="R920" s="1"/>
      <x:c r="S920" s="1"/>
    </x:row>
    <x:row r="921" ht="26" customHeight="1">
      <x:c r="A921" s="1"/>
      <x:c r="B921" s="1"/>
      <x:c r="C921" s="1"/>
      <x:c r="D921" s="1"/>
      <x:c r="E921" s="1"/>
      <x:c r="F921" s="1"/>
      <x:c r="G921" s="1"/>
      <x:c r="H921" s="1"/>
      <x:c r="I921" s="1"/>
      <x:c r="J921" s="1"/>
      <x:c r="K921" s="1"/>
      <x:c r="L921" s="1"/>
      <x:c r="M921" s="1"/>
      <x:c r="N921" s="1"/>
      <x:c r="O921" s="1"/>
      <x:c r="P921" s="1"/>
      <x:c r="Q921" s="1"/>
      <x:c r="R921" s="1"/>
      <x:c r="S921" s="1"/>
    </x:row>
    <x:row r="922" ht="26" customHeight="1">
      <x:c r="A922" s="1"/>
      <x:c r="B922" s="1"/>
      <x:c r="C922" s="1"/>
      <x:c r="D922" s="1"/>
      <x:c r="E922" s="1"/>
      <x:c r="F922" s="1"/>
      <x:c r="G922" s="1"/>
      <x:c r="H922" s="1"/>
      <x:c r="I922" s="1"/>
      <x:c r="J922" s="1"/>
      <x:c r="K922" s="1"/>
      <x:c r="L922" s="1"/>
      <x:c r="M922" s="1"/>
      <x:c r="N922" s="1"/>
      <x:c r="O922" s="1"/>
      <x:c r="P922" s="1"/>
      <x:c r="Q922" s="1"/>
      <x:c r="R922" s="1"/>
      <x:c r="S922" s="1"/>
    </x:row>
    <x:row r="923" ht="26" customHeight="1">
      <x:c r="A923" s="1"/>
      <x:c r="B923" s="1"/>
      <x:c r="C923" s="1"/>
      <x:c r="D923" s="1"/>
      <x:c r="E923" s="1"/>
      <x:c r="F923" s="1"/>
      <x:c r="G923" s="1"/>
      <x:c r="H923" s="1"/>
      <x:c r="I923" s="1"/>
      <x:c r="J923" s="1"/>
      <x:c r="K923" s="1"/>
      <x:c r="L923" s="1"/>
      <x:c r="M923" s="1"/>
      <x:c r="N923" s="1"/>
      <x:c r="O923" s="1"/>
      <x:c r="P923" s="1"/>
      <x:c r="Q923" s="1"/>
      <x:c r="R923" s="1"/>
      <x:c r="S923" s="1"/>
    </x:row>
    <x:row r="924" ht="26" customHeight="1">
      <x:c r="A924" s="1"/>
      <x:c r="B924" s="1"/>
      <x:c r="C924" s="1"/>
      <x:c r="D924" s="1"/>
      <x:c r="E924" s="1"/>
      <x:c r="F924" s="1"/>
      <x:c r="G924" s="1"/>
      <x:c r="H924" s="1"/>
      <x:c r="I924" s="1"/>
      <x:c r="J924" s="1"/>
      <x:c r="K924" s="1"/>
      <x:c r="L924" s="1"/>
      <x:c r="M924" s="1"/>
      <x:c r="N924" s="1"/>
      <x:c r="O924" s="1"/>
      <x:c r="P924" s="1"/>
      <x:c r="Q924" s="1"/>
      <x:c r="R924" s="1"/>
      <x:c r="S924" s="1"/>
    </x:row>
    <x:row r="925" ht="26" customHeight="1">
      <x:c r="A925" s="1"/>
      <x:c r="B925" s="1"/>
      <x:c r="C925" s="1"/>
      <x:c r="D925" s="1"/>
      <x:c r="E925" s="1"/>
      <x:c r="F925" s="1"/>
      <x:c r="G925" s="1"/>
      <x:c r="H925" s="1"/>
      <x:c r="I925" s="1"/>
      <x:c r="J925" s="1"/>
      <x:c r="K925" s="1"/>
      <x:c r="L925" s="1"/>
      <x:c r="M925" s="1"/>
      <x:c r="N925" s="1"/>
      <x:c r="O925" s="1"/>
      <x:c r="P925" s="1"/>
      <x:c r="Q925" s="1"/>
      <x:c r="R925" s="1"/>
      <x:c r="S925" s="1"/>
    </x:row>
    <x:row r="926" ht="26" customHeight="1">
      <x:c r="A926" s="1"/>
      <x:c r="B926" s="1"/>
      <x:c r="C926" s="1"/>
      <x:c r="D926" s="1"/>
      <x:c r="E926" s="1"/>
      <x:c r="F926" s="1"/>
      <x:c r="G926" s="1"/>
      <x:c r="H926" s="1"/>
      <x:c r="I926" s="1"/>
      <x:c r="J926" s="1"/>
      <x:c r="K926" s="1"/>
      <x:c r="L926" s="1"/>
      <x:c r="M926" s="1"/>
      <x:c r="N926" s="1"/>
      <x:c r="O926" s="1"/>
      <x:c r="P926" s="1"/>
      <x:c r="Q926" s="1"/>
      <x:c r="R926" s="1"/>
      <x:c r="S926" s="1"/>
    </x:row>
    <x:row r="927" ht="26" customHeight="1">
      <x:c r="A927" s="1"/>
      <x:c r="B927" s="1"/>
      <x:c r="C927" s="1"/>
      <x:c r="D927" s="1"/>
      <x:c r="E927" s="1"/>
      <x:c r="F927" s="1"/>
      <x:c r="G927" s="1"/>
      <x:c r="H927" s="1"/>
      <x:c r="I927" s="1"/>
      <x:c r="J927" s="1"/>
      <x:c r="K927" s="1"/>
      <x:c r="L927" s="1"/>
      <x:c r="M927" s="1"/>
      <x:c r="N927" s="1"/>
      <x:c r="O927" s="1"/>
      <x:c r="P927" s="1"/>
      <x:c r="Q927" s="1"/>
      <x:c r="R927" s="1"/>
      <x:c r="S927" s="1"/>
    </x:row>
    <x:row r="928" ht="26" customHeight="1">
      <x:c r="A928" s="1"/>
      <x:c r="B928" s="1"/>
      <x:c r="C928" s="1"/>
      <x:c r="D928" s="1"/>
      <x:c r="E928" s="1"/>
      <x:c r="F928" s="1"/>
      <x:c r="G928" s="1"/>
      <x:c r="H928" s="1"/>
      <x:c r="I928" s="1"/>
      <x:c r="J928" s="1"/>
      <x:c r="K928" s="1"/>
      <x:c r="L928" s="1"/>
      <x:c r="M928" s="1"/>
      <x:c r="N928" s="1"/>
      <x:c r="O928" s="1"/>
      <x:c r="P928" s="1"/>
      <x:c r="Q928" s="1"/>
      <x:c r="R928" s="1"/>
      <x:c r="S928" s="1"/>
    </x:row>
    <x:row r="929" ht="26" customHeight="1">
      <x:c r="A929" s="1"/>
      <x:c r="B929" s="1"/>
      <x:c r="C929" s="1"/>
      <x:c r="D929" s="1"/>
      <x:c r="E929" s="1"/>
      <x:c r="F929" s="1"/>
      <x:c r="G929" s="1"/>
      <x:c r="H929" s="1"/>
      <x:c r="I929" s="1"/>
      <x:c r="J929" s="1"/>
      <x:c r="K929" s="1"/>
      <x:c r="L929" s="1"/>
      <x:c r="M929" s="1"/>
      <x:c r="N929" s="1"/>
      <x:c r="O929" s="1"/>
      <x:c r="P929" s="1"/>
      <x:c r="Q929" s="1"/>
      <x:c r="R929" s="1"/>
      <x:c r="S929" s="1"/>
    </x:row>
    <x:row r="930" ht="26" customHeight="1">
      <x:c r="A930" s="1"/>
      <x:c r="B930" s="1"/>
      <x:c r="C930" s="1"/>
      <x:c r="D930" s="1"/>
      <x:c r="E930" s="1"/>
      <x:c r="F930" s="1"/>
      <x:c r="G930" s="1"/>
      <x:c r="H930" s="1"/>
      <x:c r="I930" s="1"/>
      <x:c r="J930" s="1"/>
      <x:c r="K930" s="1"/>
      <x:c r="L930" s="1"/>
      <x:c r="M930" s="1"/>
      <x:c r="N930" s="1"/>
      <x:c r="O930" s="1"/>
      <x:c r="P930" s="1"/>
      <x:c r="Q930" s="1"/>
      <x:c r="R930" s="1"/>
      <x:c r="S930" s="1"/>
    </x:row>
    <x:row r="931" ht="26" customHeight="1">
      <x:c r="A931" s="1"/>
      <x:c r="B931" s="1"/>
      <x:c r="C931" s="1"/>
      <x:c r="D931" s="1"/>
      <x:c r="E931" s="1"/>
      <x:c r="F931" s="1"/>
      <x:c r="G931" s="1"/>
      <x:c r="H931" s="1"/>
      <x:c r="I931" s="1"/>
      <x:c r="J931" s="1"/>
      <x:c r="K931" s="1"/>
      <x:c r="L931" s="1"/>
      <x:c r="M931" s="1"/>
      <x:c r="N931" s="1"/>
      <x:c r="O931" s="1"/>
      <x:c r="P931" s="1"/>
      <x:c r="Q931" s="1"/>
      <x:c r="R931" s="1"/>
      <x:c r="S931" s="1"/>
    </x:row>
    <x:row r="932" ht="26" customHeight="1">
      <x:c r="A932" s="1"/>
      <x:c r="B932" s="1"/>
      <x:c r="C932" s="1"/>
      <x:c r="D932" s="1"/>
      <x:c r="E932" s="1"/>
      <x:c r="F932" s="1"/>
      <x:c r="G932" s="1"/>
      <x:c r="H932" s="1"/>
      <x:c r="I932" s="1"/>
      <x:c r="J932" s="1"/>
      <x:c r="K932" s="1"/>
      <x:c r="L932" s="1"/>
      <x:c r="M932" s="1"/>
      <x:c r="N932" s="1"/>
      <x:c r="O932" s="1"/>
      <x:c r="P932" s="1"/>
      <x:c r="Q932" s="1"/>
      <x:c r="R932" s="1"/>
      <x:c r="S932" s="1"/>
    </x:row>
    <x:row r="933" ht="26" customHeight="1">
      <x:c r="A933" s="1"/>
      <x:c r="B933" s="1"/>
      <x:c r="C933" s="1"/>
      <x:c r="D933" s="1"/>
      <x:c r="E933" s="1"/>
      <x:c r="F933" s="1"/>
      <x:c r="G933" s="1"/>
      <x:c r="H933" s="1"/>
      <x:c r="I933" s="1"/>
      <x:c r="J933" s="1"/>
      <x:c r="K933" s="1"/>
      <x:c r="L933" s="1"/>
      <x:c r="M933" s="1"/>
      <x:c r="N933" s="1"/>
      <x:c r="O933" s="1"/>
      <x:c r="P933" s="1"/>
      <x:c r="Q933" s="1"/>
      <x:c r="R933" s="1"/>
      <x:c r="S933" s="1"/>
    </x:row>
    <x:row r="934" ht="26" customHeight="1">
      <x:c r="A934" s="1"/>
      <x:c r="B934" s="1"/>
      <x:c r="C934" s="1"/>
      <x:c r="D934" s="1"/>
      <x:c r="E934" s="1"/>
      <x:c r="F934" s="1"/>
      <x:c r="G934" s="1"/>
      <x:c r="H934" s="1"/>
      <x:c r="I934" s="1"/>
      <x:c r="J934" s="1"/>
      <x:c r="K934" s="1"/>
      <x:c r="L934" s="1"/>
      <x:c r="M934" s="1"/>
      <x:c r="N934" s="1"/>
      <x:c r="O934" s="1"/>
      <x:c r="P934" s="1"/>
      <x:c r="Q934" s="1"/>
      <x:c r="R934" s="1"/>
      <x:c r="S934" s="1"/>
    </x:row>
    <x:row r="935" ht="26" customHeight="1">
      <x:c r="A935" s="1"/>
      <x:c r="B935" s="1"/>
      <x:c r="C935" s="1"/>
      <x:c r="D935" s="1"/>
      <x:c r="E935" s="1"/>
      <x:c r="F935" s="1"/>
      <x:c r="G935" s="1"/>
      <x:c r="H935" s="1"/>
      <x:c r="I935" s="1"/>
      <x:c r="J935" s="1"/>
      <x:c r="K935" s="1"/>
      <x:c r="L935" s="1"/>
      <x:c r="M935" s="1"/>
      <x:c r="N935" s="1"/>
      <x:c r="O935" s="1"/>
      <x:c r="P935" s="1"/>
      <x:c r="Q935" s="1"/>
      <x:c r="R935" s="1"/>
      <x:c r="S935" s="1"/>
    </x:row>
    <x:row r="936" ht="26" customHeight="1">
      <x:c r="A936" s="1"/>
      <x:c r="B936" s="1"/>
      <x:c r="C936" s="1"/>
      <x:c r="D936" s="1"/>
      <x:c r="E936" s="1"/>
      <x:c r="F936" s="1"/>
      <x:c r="G936" s="1"/>
      <x:c r="H936" s="1"/>
      <x:c r="I936" s="1"/>
      <x:c r="J936" s="1"/>
      <x:c r="K936" s="1"/>
      <x:c r="L936" s="1"/>
      <x:c r="M936" s="1"/>
      <x:c r="N936" s="1"/>
      <x:c r="O936" s="1"/>
      <x:c r="P936" s="1"/>
      <x:c r="Q936" s="1"/>
      <x:c r="R936" s="1"/>
      <x:c r="S936" s="1"/>
    </x:row>
    <x:row r="937" ht="26" customHeight="1">
      <x:c r="A937" s="1"/>
      <x:c r="B937" s="1"/>
      <x:c r="C937" s="1"/>
      <x:c r="D937" s="1"/>
      <x:c r="E937" s="1"/>
      <x:c r="F937" s="1"/>
      <x:c r="G937" s="1"/>
      <x:c r="H937" s="1"/>
      <x:c r="I937" s="1"/>
      <x:c r="J937" s="1"/>
      <x:c r="K937" s="1"/>
      <x:c r="L937" s="1"/>
      <x:c r="M937" s="1"/>
      <x:c r="N937" s="1"/>
      <x:c r="O937" s="1"/>
      <x:c r="P937" s="1"/>
      <x:c r="Q937" s="1"/>
      <x:c r="R937" s="1"/>
      <x:c r="S937" s="1"/>
    </x:row>
    <x:row r="938" ht="26" customHeight="1">
      <x:c r="A938" s="1"/>
      <x:c r="B938" s="1"/>
      <x:c r="C938" s="1"/>
      <x:c r="D938" s="1"/>
      <x:c r="E938" s="1"/>
      <x:c r="F938" s="1"/>
      <x:c r="G938" s="1"/>
      <x:c r="H938" s="1"/>
      <x:c r="I938" s="1"/>
      <x:c r="J938" s="1"/>
      <x:c r="K938" s="1"/>
      <x:c r="L938" s="1"/>
      <x:c r="M938" s="1"/>
      <x:c r="N938" s="1"/>
      <x:c r="O938" s="1"/>
      <x:c r="P938" s="1"/>
      <x:c r="Q938" s="1"/>
      <x:c r="R938" s="1"/>
      <x:c r="S938" s="1"/>
    </x:row>
    <x:row r="939" ht="26" customHeight="1">
      <x:c r="A939" s="1"/>
      <x:c r="B939" s="1"/>
      <x:c r="C939" s="1"/>
      <x:c r="D939" s="1"/>
      <x:c r="E939" s="1"/>
      <x:c r="F939" s="1"/>
      <x:c r="G939" s="1"/>
      <x:c r="H939" s="1"/>
      <x:c r="I939" s="1"/>
      <x:c r="J939" s="1"/>
      <x:c r="K939" s="1"/>
      <x:c r="L939" s="1"/>
      <x:c r="M939" s="1"/>
      <x:c r="N939" s="1"/>
      <x:c r="O939" s="1"/>
      <x:c r="P939" s="1"/>
      <x:c r="Q939" s="1"/>
      <x:c r="R939" s="1"/>
      <x:c r="S939" s="1"/>
    </x:row>
    <x:row r="940" ht="26" customHeight="1">
      <x:c r="A940" s="1"/>
      <x:c r="B940" s="1"/>
      <x:c r="C940" s="1"/>
      <x:c r="D940" s="1"/>
      <x:c r="E940" s="1"/>
      <x:c r="F940" s="1"/>
      <x:c r="G940" s="1"/>
      <x:c r="H940" s="1"/>
      <x:c r="I940" s="1"/>
      <x:c r="J940" s="1"/>
      <x:c r="K940" s="1"/>
      <x:c r="L940" s="1"/>
      <x:c r="M940" s="1"/>
      <x:c r="N940" s="1"/>
      <x:c r="O940" s="1"/>
      <x:c r="P940" s="1"/>
      <x:c r="Q940" s="1"/>
      <x:c r="R940" s="1"/>
      <x:c r="S940" s="1"/>
    </x:row>
  </x:sheetData>
  <x:mergeCells>
    <x:mergeCell ref="A2:F2"/>
    <x:mergeCell ref="B3:F3"/>
    <x:mergeCell ref="A4:J4"/>
  </x:mergeCells>
  <x:conditionalFormatting sqref="O19:R226">
    <x:cfRule type="containsText" dxfId="9" priority="1" operator="containsText" text="Нет"/>
  </x:conditionalFormatting>
  <x:conditionalFormatting sqref="O19:R298">
    <x:cfRule type="containsText" dxfId="10" priority="2" operator="containsText" text="Нет"/>
    <x:cfRule type="containsText" dxfId="11" priority="3" operator="containsText" text="Нет"/>
  </x:conditionalFormatting>
  <x:pageMargins left="0.7" right="0.7" top="0.75" bottom="0.75" header="0.3" footer="0.3"/>
</x:worksheet>
</file>

<file path=xl/worksheets/sheet14.xml><?xml version="1.0" encoding="utf-8"?>
<x:worksheet xmlns:x="http://schemas.openxmlformats.org/spreadsheetml/2006/main">
  <x:sheetPr>
    <x:tabColor rgb="FF477A68"/>
  </x:sheetPr>
  <x:sheetViews>
    <x:sheetView showGridLines="0" workbookViewId="0">
      <x:pane xSplit="2" ySplit="5" topLeftCell="C6" activePane="bottomRight" state="frozen"/>
    </x:sheetView>
  </x:sheetViews>
  <x:sheetFormatPr defaultRowHeight="15"/>
  <x:cols>
    <x:col min="1" max="1" width="28" hidden="0" customWidth="1"/>
    <x:col min="2" max="2" width="16" hidden="0" customWidth="1"/>
    <x:col min="3" max="3" width="32"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s>
  <x:sheetData>
    <x:row r="1" ht="26" customHeight="1">
      <x:c r="A1" s="1"/>
      <x:c r="B1" s="1"/>
      <x:c r="C1" s="1"/>
      <x:c r="D1" s="1"/>
      <x:c r="E1" s="1"/>
      <x:c r="F1" s="1"/>
      <x:c r="G1" s="1"/>
      <x:c r="H1" s="1"/>
      <x:c r="I1" s="1"/>
      <x:c r="J1" s="1"/>
    </x:row>
    <x:row r="2" ht="36" customHeight="1">
      <x:c r="A2" s="28" t="str">
        <x:v>Taobao · проверенный агрегат 987 994 пользователей</x:v>
      </x:c>
      <x:c r="B2" s="1"/>
      <x:c r="C2" s="1"/>
      <x:c r="D2" s="1"/>
      <x:c r="E2" s="1"/>
      <x:c r="F2" s="1"/>
      <x:c r="G2" s="1"/>
      <x:c r="H2" s="1"/>
      <x:c r="I2" s="1"/>
      <x:c r="J2" s="1"/>
    </x:row>
    <x:row r="3" ht="26" customHeight="1">
      <x:c r="A3" s="1"/>
      <x:c r="B3" s="1"/>
      <x:c r="C3" s="1"/>
      <x:c r="D3" s="1"/>
      <x:c r="E3" s="1"/>
      <x:c r="F3" s="1"/>
      <x:c r="G3" s="1"/>
      <x:c r="H3" s="1"/>
      <x:c r="I3" s="1"/>
      <x:c r="J3" s="1"/>
    </x:row>
    <x:row r="4" ht="26" customHeight="1">
      <x:c r="A4" s="1"/>
      <x:c r="B4" s="1"/>
      <x:c r="C4" s="1"/>
      <x:c r="D4" s="1"/>
      <x:c r="E4" s="1"/>
      <x:c r="F4" s="1"/>
      <x:c r="G4" s="1"/>
      <x:c r="H4" s="1"/>
      <x:c r="I4" s="1"/>
      <x:c r="J4" s="1"/>
    </x:row>
    <x:row r="5" ht="62" customHeight="1">
      <x:c r="A5" s="52" t="str">
        <x:v>Метрика</x:v>
      </x:c>
      <x:c r="B5" s="52" t="str">
        <x:v>Значение</x:v>
      </x:c>
      <x:c r="C5" s="52" t="str">
        <x:v>Единица / смысл</x:v>
      </x:c>
      <x:c r="D5" s="1"/>
      <x:c r="E5" s="1"/>
      <x:c r="F5" s="1"/>
      <x:c r="G5" s="1"/>
      <x:c r="H5" s="1"/>
      <x:c r="I5" s="1"/>
      <x:c r="J5" s="1"/>
    </x:row>
    <x:row r="6" ht="26" customHeight="1">
      <x:c r="A6" s="1" t="str">
        <x:v>Пользователи</x:v>
      </x:c>
      <x:c r="B6" s="21">
        <x:v>987994</x:v>
      </x:c>
      <x:c r="C6" s="1" t="str">
        <x:v>За всё окно</x:v>
      </x:c>
      <x:c r="D6" s="1"/>
      <x:c r="E6" s="1"/>
      <x:c r="F6" s="1"/>
      <x:c r="G6" s="1"/>
      <x:c r="H6" s="1"/>
      <x:c r="I6" s="1"/>
      <x:c r="J6" s="1"/>
    </x:row>
    <x:row r="7" ht="26" customHeight="1">
      <x:c r="A7" s="1" t="str">
        <x:v>С cart-добавлениями</x:v>
      </x:c>
      <x:c r="B7" s="21">
        <x:v>738996</x:v>
      </x:c>
      <x:c r="C7" s="1" t="str">
        <x:v>Не посещения Корзины</x:v>
      </x:c>
      <x:c r="D7" s="1"/>
      <x:c r="E7" s="1"/>
      <x:c r="F7" s="1"/>
      <x:c r="G7" s="1"/>
      <x:c r="H7" s="1"/>
      <x:c r="I7" s="1"/>
      <x:c r="J7" s="1"/>
    </x:row>
    <x:row r="8" ht="26" customHeight="1">
      <x:c r="A8" s="1" t="str">
        <x:v>С fav-добавлениями</x:v>
      </x:c>
      <x:c r="B8" s="21">
        <x:v>389823</x:v>
      </x:c>
      <x:c r="C8" s="1" t="str">
        <x:v>Не остатки Избранного</x:v>
      </x:c>
      <x:c r="D8" s="1"/>
      <x:c r="E8" s="1"/>
      <x:c r="F8" s="1"/>
      <x:c r="G8" s="1"/>
      <x:c r="H8" s="1"/>
      <x:c r="I8" s="1"/>
      <x:c r="J8" s="1"/>
    </x:row>
    <x:row r="9" ht="26" customHeight="1">
      <x:c r="A9" s="1" t="str">
        <x:v>С обоими</x:v>
      </x:c>
      <x:c r="B9" s="21">
        <x:v>269544</x:v>
      </x:c>
      <x:c r="C9" s="1" t="str">
        <x:v>Оба типа добавлений за окно</x:v>
      </x:c>
      <x:c r="D9" s="1"/>
      <x:c r="E9" s="1"/>
      <x:c r="F9" s="1"/>
      <x:c r="G9" s="1"/>
      <x:c r="H9" s="1"/>
      <x:c r="I9" s="1"/>
      <x:c r="J9" s="1"/>
    </x:row>
    <x:row r="10" ht="26" customHeight="1">
      <x:c r="A10" s="1" t="str">
        <x:v>Покупатели</x:v>
      </x:c>
      <x:c r="B10" s="21">
        <x:v>672404</x:v>
      </x:c>
      <x:c r="C10" s="1" t="str">
        <x:v>Любой buy в том же окне</x:v>
      </x:c>
      <x:c r="D10" s="1"/>
      <x:c r="E10" s="1"/>
      <x:c r="F10" s="1"/>
      <x:c r="G10" s="1"/>
      <x:c r="H10" s="1"/>
      <x:c r="I10" s="1"/>
      <x:c r="J10" s="1"/>
    </x:row>
    <x:row r="11" ht="26" customHeight="1">
      <x:c r="A11" s="1"/>
      <x:c r="B11" s="1"/>
      <x:c r="C11" s="1"/>
      <x:c r="D11" s="1"/>
      <x:c r="E11" s="1"/>
      <x:c r="F11" s="1"/>
      <x:c r="G11" s="1"/>
      <x:c r="H11" s="1"/>
      <x:c r="I11" s="1"/>
      <x:c r="J11" s="1"/>
    </x:row>
    <x:row r="12" ht="26" customHeight="1">
      <x:c r="A12" s="1"/>
      <x:c r="B12" s="1"/>
      <x:c r="C12" s="1"/>
      <x:c r="D12" s="1"/>
      <x:c r="E12" s="1"/>
      <x:c r="F12" s="1"/>
      <x:c r="G12" s="1"/>
      <x:c r="H12" s="1"/>
      <x:c r="I12" s="1"/>
      <x:c r="J12" s="1"/>
    </x:row>
    <x:row r="13" ht="62" customHeight="1">
      <x:c r="A13" s="52" t="str">
        <x:v>Порог</x:v>
      </x:c>
      <x:c r="B13" s="52" t="str">
        <x:v>C≥</x:v>
      </x:c>
      <x:c r="C13" s="52" t="str">
        <x:v>F≥</x:v>
      </x:c>
      <x:c r="D13" s="52" t="str">
        <x:v>Когорта</x:v>
      </x:c>
      <x:c r="E13" s="52" t="str">
        <x:v>Пользователи</x:v>
      </x:c>
      <x:c r="F13" s="52" t="str">
        <x:v>Доля</x:v>
      </x:c>
      <x:c r="G13" s="52" t="str">
        <x:v>Покупатели</x:v>
      </x:c>
      <x:c r="H13" s="52" t="str">
        <x:v>Purchase rate за окно</x:v>
      </x:c>
      <x:c r="I13" s="1"/>
      <x:c r="J13" s="1"/>
    </x:row>
    <x:row r="14" ht="26" customHeight="1">
      <x:c r="A14" s="1" t="inlineStr">
        <x:is>
          <x:t>P75</x:t>
        </x:is>
      </x:c>
      <x:c r="B14" s="1">
        <x:v>8</x:v>
      </x:c>
      <x:c r="C14" s="1">
        <x:v>2</x:v>
      </x:c>
      <x:c r="D14" s="24" t="inlineStr">
        <x:is>
          <x:t>S1</x:t>
        </x:is>
      </x:c>
      <x:c r="E14" s="21">
        <x:v>223706</x:v>
      </x:c>
      <x:c r="F14" s="8">
        <x:v>0.2264244519703561</x:v>
      </x:c>
      <x:c r="G14" s="21">
        <x:v>153352</x:v>
      </x:c>
      <x:c r="H14" s="8">
        <x:v>0.68550687062483795</x:v>
      </x:c>
      <x:c r="I14" s="1"/>
      <x:c r="J14" s="1"/>
    </x:row>
    <x:row r="15" ht="26" customHeight="1">
      <x:c r="A15" s="1" t="inlineStr">
        <x:is>
          <x:t>P75</x:t>
        </x:is>
      </x:c>
      <x:c r="B15" s="1">
        <x:v>8</x:v>
      </x:c>
      <x:c r="C15" s="1">
        <x:v>2</x:v>
      </x:c>
      <x:c r="D15" s="24" t="inlineStr">
        <x:is>
          <x:t>S2</x:t>
        </x:is>
      </x:c>
      <x:c r="E15" s="21">
        <x:v>60137</x:v>
      </x:c>
      <x:c r="F15" s="8">
        <x:v>0.060867778549262445</x:v>
      </x:c>
      <x:c r="G15" s="21">
        <x:v>49313</x:v>
      </x:c>
      <x:c r="H15" s="8">
        <x:v>0.82001097494055242</x:v>
      </x:c>
      <x:c r="I15" s="1"/>
      <x:c r="J15" s="1"/>
    </x:row>
    <x:row r="16" ht="26" customHeight="1">
      <x:c r="A16" s="1" t="inlineStr">
        <x:is>
          <x:t>P75</x:t>
        </x:is>
      </x:c>
      <x:c r="B16" s="1">
        <x:v>8</x:v>
      </x:c>
      <x:c r="C16" s="1">
        <x:v>2</x:v>
      </x:c>
      <x:c r="D16" s="24" t="inlineStr">
        <x:is>
          <x:t>S3</x:t>
        </x:is>
      </x:c>
      <x:c r="E16" s="21">
        <x:v>188784</x:v>
      </x:c>
      <x:c r="F16" s="8">
        <x:v>0.19107808347014252</x:v>
      </x:c>
      <x:c r="G16" s="21">
        <x:v>147937</x:v>
      </x:c>
      <x:c r="H16" s="8">
        <x:v>0.78363102805322482</x:v>
      </x:c>
      <x:c r="I16" s="1"/>
      <x:c r="J16" s="1"/>
    </x:row>
    <x:row r="17" ht="26" customHeight="1">
      <x:c r="A17" s="1" t="inlineStr">
        <x:is>
          <x:t>P75</x:t>
        </x:is>
      </x:c>
      <x:c r="B17" s="1">
        <x:v>8</x:v>
      </x:c>
      <x:c r="C17" s="1">
        <x:v>2</x:v>
      </x:c>
      <x:c r="D17" s="24" t="inlineStr">
        <x:is>
          <x:t>S4</x:t>
        </x:is>
      </x:c>
      <x:c r="E17" s="21">
        <x:v>515367</x:v>
      </x:c>
      <x:c r="F17" s="8">
        <x:v>0.52162968601023896</x:v>
      </x:c>
      <x:c r="G17" s="21">
        <x:v>321802</x:v>
      </x:c>
      <x:c r="H17" s="8">
        <x:v>0.62441328218531644</x:v>
      </x:c>
      <x:c r="I17" s="1"/>
      <x:c r="J17" s="1"/>
    </x:row>
    <x:row r="18" ht="26" customHeight="1">
      <x:c r="A18" s="1" t="inlineStr">
        <x:is>
          <x:t>P90</x:t>
        </x:is>
      </x:c>
      <x:c r="B18" s="1">
        <x:v>14</x:v>
      </x:c>
      <x:c r="C18" s="1">
        <x:v>9</x:v>
      </x:c>
      <x:c r="D18" s="24" t="inlineStr">
        <x:is>
          <x:t>S1</x:t>
        </x:is>
      </x:c>
      <x:c r="E18" s="21">
        <x:v>90851</x:v>
      </x:c>
      <x:c r="F18" s="8">
        <x:v>0.091955011872541736</x:v>
      </x:c>
      <x:c r="G18" s="21">
        <x:v>66107</x:v>
      </x:c>
      <x:c r="H18" s="8">
        <x:v>0.72764196321449404</x:v>
      </x:c>
      <x:c r="I18" s="1"/>
      <x:c r="J18" s="1"/>
    </x:row>
    <x:row r="19" ht="26" customHeight="1">
      <x:c r="A19" s="1" t="inlineStr">
        <x:is>
          <x:t>P90</x:t>
        </x:is>
      </x:c>
      <x:c r="B19" s="1">
        <x:v>14</x:v>
      </x:c>
      <x:c r="C19" s="1">
        <x:v>9</x:v>
      </x:c>
      <x:c r="D19" s="24" t="inlineStr">
        <x:is>
          <x:t>S2</x:t>
        </x:is>
      </x:c>
      <x:c r="E19" s="21">
        <x:v>11747</x:v>
      </x:c>
      <x:c r="F19" s="8">
        <x:v>0.011889748318309626</x:v>
      </x:c>
      <x:c r="G19" s="21">
        <x:v>9714</x:v>
      </x:c>
      <x:c r="H19" s="8">
        <x:v>0.82693453647739845</x:v>
      </x:c>
      <x:c r="I19" s="1"/>
      <x:c r="J19" s="1"/>
    </x:row>
    <x:row r="20" ht="26" customHeight="1">
      <x:c r="A20" s="1" t="inlineStr">
        <x:is>
          <x:t>P90</x:t>
        </x:is>
      </x:c>
      <x:c r="B20" s="1">
        <x:v>14</x:v>
      </x:c>
      <x:c r="C20" s="1">
        <x:v>9</x:v>
      </x:c>
      <x:c r="D20" s="24" t="inlineStr">
        <x:is>
          <x:t>S3</x:t>
        </x:is>
      </x:c>
      <x:c r="E20" s="21">
        <x:v>98635</x:v>
      </x:c>
      <x:c r="F20" s="8">
        <x:v>0.099833602228353607</x:v>
      </x:c>
      <x:c r="G20" s="21">
        <x:v>80864</x:v>
      </x:c>
      <x:c r="H20" s="8">
        <x:v>0.81983068890353328</x:v>
      </x:c>
      <x:c r="I20" s="1"/>
      <x:c r="J20" s="1"/>
    </x:row>
    <x:row r="21" ht="26" customHeight="1">
      <x:c r="A21" s="1" t="inlineStr">
        <x:is>
          <x:t>P90</x:t>
        </x:is>
      </x:c>
      <x:c r="B21" s="1">
        <x:v>14</x:v>
      </x:c>
      <x:c r="C21" s="1">
        <x:v>9</x:v>
      </x:c>
      <x:c r="D21" s="24" t="inlineStr">
        <x:is>
          <x:t>S4</x:t>
        </x:is>
      </x:c>
      <x:c r="E21" s="21">
        <x:v>786761</x:v>
      </x:c>
      <x:c r="F21" s="8">
        <x:v>0.79632163758079499</x:v>
      </x:c>
      <x:c r="G21" s="21">
        <x:v>515719</x:v>
      </x:c>
      <x:c r="H21" s="8">
        <x:v>0.65549639598302412</x:v>
      </x:c>
      <x:c r="I21" s="1"/>
      <x:c r="J21" s="1"/>
    </x:row>
    <x:row r="22" ht="26" customHeight="1">
      <x:c r="A22" s="1" t="inlineStr">
        <x:is>
          <x:t>P95</x:t>
        </x:is>
      </x:c>
      <x:c r="B22" s="1">
        <x:v>20</x:v>
      </x:c>
      <x:c r="C22" s="1">
        <x:v>15</x:v>
      </x:c>
      <x:c r="D22" s="24" t="inlineStr">
        <x:is>
          <x:t>S1</x:t>
        </x:is>
      </x:c>
      <x:c r="E22" s="21">
        <x:v>49780</x:v>
      </x:c>
      <x:c r="F22" s="8">
        <x:v>0.050384921365919225</x:v>
      </x:c>
      <x:c r="G22" s="21">
        <x:v>36843</x:v>
      </x:c>
      <x:c r="H22" s="8">
        <x:v>0.74011651265568501</x:v>
      </x:c>
      <x:c r="I22" s="1"/>
      <x:c r="J22" s="1"/>
    </x:row>
    <x:row r="23" ht="26" customHeight="1">
      <x:c r="A23" s="1" t="inlineStr">
        <x:is>
          <x:t>P95</x:t>
        </x:is>
      </x:c>
      <x:c r="B23" s="1">
        <x:v>20</x:v>
      </x:c>
      <x:c r="C23" s="1">
        <x:v>15</x:v>
      </x:c>
      <x:c r="D23" s="24" t="inlineStr">
        <x:is>
          <x:t>S2</x:t>
        </x:is>
      </x:c>
      <x:c r="E23" s="21">
        <x:v>4028</x:v>
      </x:c>
      <x:c r="F23" s="8">
        <x:v>0.0040769478357156018</x:v>
      </x:c>
      <x:c r="G23" s="21">
        <x:v>3325</x:v>
      </x:c>
      <x:c r="H23" s="8">
        <x:v>0.82547169811320753</x:v>
      </x:c>
      <x:c r="I23" s="1"/>
      <x:c r="J23" s="1"/>
    </x:row>
    <x:row r="24" ht="26" customHeight="1">
      <x:c r="A24" s="1" t="inlineStr">
        <x:is>
          <x:t>P95</x:t>
        </x:is>
      </x:c>
      <x:c r="B24" s="1">
        <x:v>20</x:v>
      </x:c>
      <x:c r="C24" s="1">
        <x:v>15</x:v>
      </x:c>
      <x:c r="D24" s="24" t="inlineStr">
        <x:is>
          <x:t>S3</x:t>
        </x:is>
      </x:c>
      <x:c r="E24" s="21">
        <x:v>47554</x:v>
      </x:c>
      <x:c r="F24" s="8">
        <x:v>0.048131871246181658</x:v>
      </x:c>
      <x:c r="G24" s="21">
        <x:v>39881</x:v>
      </x:c>
      <x:c r="H24" s="8">
        <x:v>0.83864659124363883</x:v>
      </x:c>
      <x:c r="I24" s="1"/>
      <x:c r="J24" s="1"/>
    </x:row>
    <x:row r="25" ht="26" customHeight="1">
      <x:c r="A25" s="1" t="inlineStr">
        <x:is>
          <x:t>P95</x:t>
        </x:is>
      </x:c>
      <x:c r="B25" s="1">
        <x:v>20</x:v>
      </x:c>
      <x:c r="C25" s="1">
        <x:v>15</x:v>
      </x:c>
      <x:c r="D25" s="24" t="inlineStr">
        <x:is>
          <x:t>S4</x:t>
        </x:is>
      </x:c>
      <x:c r="E25" s="21">
        <x:v>886632</x:v>
      </x:c>
      <x:c r="F25" s="8">
        <x:v>0.89740625955218356</x:v>
      </x:c>
      <x:c r="G25" s="21">
        <x:v>592355</x:v>
      </x:c>
      <x:c r="H25" s="8">
        <x:v>0.66809566990589109</x:v>
      </x:c>
      <x:c r="I25" s="1"/>
      <x:c r="J25" s="1"/>
    </x:row>
    <x:row r="26" ht="26" customHeight="1">
      <x:c r="A26" s="1" t="inlineStr">
        <x:is>
          <x:t>P99</x:t>
        </x:is>
      </x:c>
      <x:c r="B26" s="1">
        <x:v>34</x:v>
      </x:c>
      <x:c r="C26" s="1">
        <x:v>35</x:v>
      </x:c>
      <x:c r="D26" s="24" t="inlineStr">
        <x:is>
          <x:t>S1</x:t>
        </x:is>
      </x:c>
      <x:c r="E26" s="21">
        <x:v>10061</x:v>
      </x:c>
      <x:c r="F26" s="8">
        <x:v>0.010183260222228071</x:v>
      </x:c>
      <x:c r="G26" s="21">
        <x:v>7402</x:v>
      </x:c>
      <x:c r="H26" s="8">
        <x:v>0.73571215584931915</x:v>
      </x:c>
      <x:c r="I26" s="1"/>
      <x:c r="J26" s="1"/>
    </x:row>
    <x:row r="27" ht="26" customHeight="1">
      <x:c r="A27" s="1" t="inlineStr">
        <x:is>
          <x:t>P99</x:t>
        </x:is>
      </x:c>
      <x:c r="B27" s="1">
        <x:v>34</x:v>
      </x:c>
      <x:c r="C27" s="1">
        <x:v>35</x:v>
      </x:c>
      <x:c r="D27" s="24" t="inlineStr">
        <x:is>
          <x:t>S2</x:t>
        </x:is>
      </x:c>
      <x:c r="E27" s="21">
        <x:v>386</x:v>
      </x:c>
      <x:c r="F27" s="8">
        <x:v>0.00039069063172448415</x:v>
      </x:c>
      <x:c r="G27" s="21">
        <x:v>264</x:v>
      </x:c>
      <x:c r="H27" s="8">
        <x:v>0.68393782383419688</x:v>
      </x:c>
      <x:c r="I27" s="1"/>
      <x:c r="J27" s="1"/>
    </x:row>
    <x:row r="28" ht="26" customHeight="1">
      <x:c r="A28" s="1" t="inlineStr">
        <x:is>
          <x:t>P99</x:t>
        </x:is>
      </x:c>
      <x:c r="B28" s="1">
        <x:v>34</x:v>
      </x:c>
      <x:c r="C28" s="1">
        <x:v>35</x:v>
      </x:c>
      <x:c r="D28" s="24" t="inlineStr">
        <x:is>
          <x:t>S3</x:t>
        </x:is>
      </x:c>
      <x:c r="E28" s="21">
        <x:v>9911</x:v>
      </x:c>
      <x:c r="F28" s="8">
        <x:v>0.010031437437879178</x:v>
      </x:c>
      <x:c r="G28" s="21">
        <x:v>8535</x:v>
      </x:c>
      <x:c r="H28" s="8">
        <x:v>0.86116436282917974</x:v>
      </x:c>
      <x:c r="I28" s="1"/>
      <x:c r="J28" s="1"/>
    </x:row>
    <x:row r="29" ht="26" customHeight="1">
      <x:c r="A29" s="1" t="inlineStr">
        <x:is>
          <x:t>P99</x:t>
        </x:is>
      </x:c>
      <x:c r="B29" s="1">
        <x:v>34</x:v>
      </x:c>
      <x:c r="C29" s="1">
        <x:v>35</x:v>
      </x:c>
      <x:c r="D29" s="24" t="inlineStr">
        <x:is>
          <x:t>S4</x:t>
        </x:is>
      </x:c>
      <x:c r="E29" s="21">
        <x:v>967636</x:v>
      </x:c>
      <x:c r="F29" s="8">
        <x:v>0.97939461170816822</x:v>
      </x:c>
      <x:c r="G29" s="21">
        <x:v>656203</x:v>
      </x:c>
      <x:c r="H29" s="8">
        <x:v>0.67815066822648185</x:v>
      </x:c>
      <x:c r="I29" s="1"/>
      <x:c r="J29" s="1"/>
    </x:row>
    <x:row r="30" ht="26" customHeight="1">
      <x:c r="A30" s="1"/>
      <x:c r="B30" s="1"/>
      <x:c r="C30" s="1"/>
      <x:c r="D30" s="1"/>
      <x:c r="E30" s="1"/>
      <x:c r="F30" s="1"/>
      <x:c r="G30" s="1"/>
      <x:c r="H30" s="1"/>
      <x:c r="I30" s="1"/>
      <x:c r="J30" s="1"/>
    </x:row>
    <x:row r="31" ht="26" customHeight="1">
      <x:c r="A31" s="1"/>
      <x:c r="B31" s="1"/>
      <x:c r="C31" s="1"/>
      <x:c r="D31" s="1"/>
      <x:c r="E31" s="1"/>
      <x:c r="F31" s="1"/>
      <x:c r="G31" s="1"/>
      <x:c r="H31" s="1"/>
      <x:c r="I31" s="1"/>
      <x:c r="J31" s="1"/>
    </x:row>
    <x:row r="32" ht="26" customHeight="1">
      <x:c r="A32" s="1"/>
      <x:c r="B32" s="1"/>
      <x:c r="C32" s="1"/>
      <x:c r="D32" s="1"/>
      <x:c r="E32" s="1"/>
      <x:c r="F32" s="1"/>
      <x:c r="G32" s="1"/>
      <x:c r="H32" s="1"/>
      <x:c r="I32" s="1"/>
      <x:c r="J32" s="1"/>
    </x:row>
    <x:row r="33" ht="55" customHeight="1">
      <x:c r="A33" s="26" t="str">
        <x:v>События за окно ≠ остатки SKU. Purchase rate за окно ≠ дневная CR Ozon. Порог ≥P90 включает совпадения на границе.</x:v>
      </x:c>
      <x:c r="B33" s="1"/>
      <x:c r="C33" s="1"/>
      <x:c r="D33" s="1"/>
      <x:c r="E33" s="1"/>
      <x:c r="F33" s="1"/>
      <x:c r="G33" s="1"/>
      <x:c r="H33" s="1"/>
      <x:c r="I33" s="1"/>
      <x:c r="J33" s="1"/>
    </x:row>
    <x:row r="34" ht="26" customHeight="1">
      <x:c r="A34" s="1"/>
      <x:c r="B34" s="1"/>
      <x:c r="C34" s="1"/>
      <x:c r="D34" s="1"/>
      <x:c r="E34" s="1"/>
      <x:c r="F34" s="1"/>
      <x:c r="G34" s="1"/>
      <x:c r="H34" s="1"/>
      <x:c r="I34" s="1"/>
      <x:c r="J34" s="1"/>
    </x:row>
    <x:row r="35" ht="26" customHeight="1">
      <x:c r="A35" s="1"/>
      <x:c r="B35" s="1"/>
      <x:c r="C35" s="1"/>
      <x:c r="D35" s="1"/>
      <x:c r="E35" s="1"/>
      <x:c r="F35" s="1"/>
      <x:c r="G35" s="1"/>
      <x:c r="H35" s="1"/>
      <x:c r="I35" s="1"/>
      <x:c r="J35" s="1"/>
    </x:row>
    <x:row r="36" ht="26" customHeight="1">
      <x:c r="A36" s="1"/>
      <x:c r="B36" s="1"/>
      <x:c r="C36" s="1"/>
      <x:c r="D36" s="1"/>
      <x:c r="E36" s="1"/>
      <x:c r="F36" s="1"/>
      <x:c r="G36" s="1"/>
      <x:c r="H36" s="1"/>
      <x:c r="I36" s="1"/>
      <x:c r="J36" s="1"/>
    </x:row>
    <x:row r="37" ht="55" customHeight="1">
      <x:c r="A37" s="26" t="str">
        <x:v>11,17% имеют 14+ уникальных добавлений за девять дней. Это НЕ доля Корзин 40+; агрегат не используется в охвате H1 или сценариях Ozon.</x:v>
      </x:c>
      <x:c r="B37" s="1"/>
      <x:c r="C37" s="1"/>
      <x:c r="D37" s="1"/>
      <x:c r="E37" s="1"/>
      <x:c r="F37" s="1"/>
      <x:c r="G37" s="1"/>
      <x:c r="H37" s="1"/>
      <x:c r="I37" s="1"/>
      <x:c r="J37" s="1"/>
    </x:row>
    <x:row r="38" ht="26" customHeight="1">
      <x:c r="A38" s="1"/>
      <x:c r="B38" s="1"/>
      <x:c r="C38" s="1"/>
      <x:c r="D38" s="1"/>
      <x:c r="E38" s="1"/>
      <x:c r="F38" s="1"/>
      <x:c r="G38" s="1"/>
      <x:c r="H38" s="1"/>
      <x:c r="I38" s="1"/>
      <x:c r="J38" s="1"/>
    </x:row>
    <x:row r="39" ht="26" customHeight="1">
      <x:c r="A39" s="1"/>
      <x:c r="B39" s="1"/>
      <x:c r="C39" s="1"/>
      <x:c r="D39" s="1"/>
      <x:c r="E39" s="1"/>
      <x:c r="F39" s="1"/>
      <x:c r="G39" s="1"/>
      <x:c r="H39" s="1"/>
      <x:c r="I39" s="1"/>
      <x:c r="J39" s="1"/>
    </x:row>
    <x:row r="40" ht="26" customHeight="1">
      <x:c r="A40" s="1"/>
      <x:c r="B40" s="1"/>
      <x:c r="C40" s="1"/>
      <x:c r="D40" s="1"/>
      <x:c r="E40" s="1"/>
      <x:c r="F40" s="1"/>
      <x:c r="G40" s="1"/>
      <x:c r="H40" s="1"/>
      <x:c r="I40" s="1"/>
      <x:c r="J40" s="1"/>
    </x:row>
    <x:row r="41" ht="26" customHeight="1">
      <x:c r="A41" s="1"/>
      <x:c r="B41" s="1"/>
      <x:c r="C41" s="1"/>
      <x:c r="D41" s="1"/>
      <x:c r="E41" s="1"/>
      <x:c r="F41" s="1"/>
      <x:c r="G41" s="1"/>
      <x:c r="H41" s="1"/>
      <x:c r="I41" s="1"/>
      <x:c r="J41" s="1"/>
    </x:row>
    <x:row r="42" ht="26" customHeight="1">
      <x:c r="A42" s="1"/>
      <x:c r="B42" s="1"/>
      <x:c r="C42" s="1"/>
      <x:c r="D42" s="1"/>
      <x:c r="E42" s="1"/>
      <x:c r="F42" s="1"/>
      <x:c r="G42" s="1"/>
      <x:c r="H42" s="1"/>
      <x:c r="I42" s="1"/>
      <x:c r="J42" s="1"/>
    </x:row>
  </x:sheetData>
  <x:mergeCells>
    <x:mergeCell ref="A2:F2"/>
    <x:mergeCell ref="A33:J35"/>
    <x:mergeCell ref="A37:J39"/>
  </x:mergeCells>
  <x:pageMargins left="0.7" right="0.7" top="0.75" bottom="0.75" header="0.3" footer="0.3"/>
</x:worksheet>
</file>

<file path=xl/worksheets/sheet15.xml><?xml version="1.0" encoding="utf-8"?>
<x:worksheet xmlns:x="http://schemas.openxmlformats.org/spreadsheetml/2006/main">
  <x:sheetPr>
    <x:tabColor rgb="FF477A68"/>
  </x:sheetPr>
  <x:sheetViews>
    <x:sheetView showGridLines="0" workbookViewId="0">
      <x:pane xSplit="2" ySplit="5" topLeftCell="C6" activePane="bottomRight" state="frozen"/>
    </x:sheetView>
  </x:sheetViews>
  <x:sheetFormatPr defaultRowHeight="15"/>
  <x:cols>
    <x:col min="1" max="1" width="30" hidden="0" customWidth="1"/>
    <x:col min="2" max="2" width="30" hidden="0" customWidth="1"/>
    <x:col min="3" max="3" width="52" hidden="0" customWidth="1"/>
    <x:col min="4" max="4" width="52" hidden="0" customWidth="1"/>
    <x:col min="5" max="5" width="52" hidden="0" customWidth="1"/>
    <x:col min="6" max="6" width="60" hidden="0" customWidth="1"/>
  </x:cols>
  <x:sheetData>
    <x:row r="1" ht="26" customHeight="1">
      <x:c r="A1" s="1"/>
      <x:c r="B1" s="1"/>
      <x:c r="C1" s="1"/>
      <x:c r="D1" s="1"/>
      <x:c r="E1" s="1"/>
      <x:c r="F1" s="1"/>
    </x:row>
    <x:row r="2" ht="36" customHeight="1">
      <x:c r="A2" s="28" t="str">
        <x:v>Источники · назначение и пределы переноса</x:v>
      </x:c>
      <x:c r="B2" s="1"/>
      <x:c r="C2" s="1"/>
      <x:c r="D2" s="1"/>
      <x:c r="E2" s="1"/>
      <x:c r="F2" s="1"/>
    </x:row>
    <x:row r="3" ht="26" customHeight="1">
      <x:c r="A3" s="1"/>
      <x:c r="B3" s="1"/>
      <x:c r="C3" s="1"/>
      <x:c r="D3" s="1"/>
      <x:c r="E3" s="1"/>
      <x:c r="F3" s="1"/>
    </x:row>
    <x:row r="4" ht="26" customHeight="1">
      <x:c r="A4" s="1"/>
      <x:c r="B4" s="1"/>
      <x:c r="C4" s="1"/>
      <x:c r="D4" s="1"/>
      <x:c r="E4" s="1"/>
      <x:c r="F4" s="1"/>
    </x:row>
    <x:row r="5" ht="62" customHeight="1">
      <x:c r="A5" s="52" t="str">
        <x:v>ID / источник</x:v>
      </x:c>
      <x:c r="B5" s="52" t="str">
        <x:v>Статус проверки</x:v>
      </x:c>
      <x:c r="C5" s="52" t="str">
        <x:v>Проверенный факт</x:v>
      </x:c>
      <x:c r="D5" s="52" t="str">
        <x:v>Использование</x:v>
      </x:c>
      <x:c r="E5" s="52" t="str">
        <x:v>Ограничение</x:v>
      </x:c>
      <x:c r="F5" s="52" t="str">
        <x:v>Ссылка</x:v>
      </x:c>
    </x:row>
    <x:row r="6" ht="115" customHeight="1">
      <x:c r="A6" s="35" t="str">
        <x:v>Ozon IR, I кв. 2026</x:v>
      </x:c>
      <x:c r="B6" s="35" t="str">
        <x:v>Первоисточник</x:v>
      </x:c>
      <x:c r="C6" s="35" t="str">
        <x:v>DAU 44 млн и MAU 84 млн в марте; за I квартал 807,7 млн заказов; 67,3 млн активных покупателей на конец квартала; свыше 42 заказов/год на покупателя</x:v>
      </x:c>
      <x:c r="D6" s="35" t="str">
        <x:v>Масштаб аудитории; условная проверка интенсивности заказов</x:v>
      </x:c>
      <x:c r="E6" s="35" t="str">
        <x:v>Мартовский охват не средний DAU квартала; заказы не уникальные заказчики; годовая частота не квартальный показатель</x:v>
      </x:c>
      <x:c r="F6" s="35" t="str">
        <x:v>https://ir.ozon.com/ru/sth/f31836ed</x:v>
      </x:c>
    </x:row>
    <x:row r="7" ht="115" customHeight="1">
      <x:c r="A7" s="35" t="str">
        <x:v>Ozon, III кв. 2026</x:v>
      </x:c>
      <x:c r="B7" s="35" t="str">
        <x:v>Индекс официальной страницы</x:v>
      </x:c>
      <x:c r="C7" s="35" t="str">
        <x:v>Около 1,2 млрд заказов за квартал; 51 заказ/год на покупателя</x:v>
      </x:c>
      <x:c r="D7" s="35" t="str">
        <x:v>Контекст интенсивности</x:v>
      </x:c>
      <x:c r="E7" s="35" t="str">
        <x:v>Округлённое число; не использовать мартовский DAU как измеренный DAU III квартала. Прямое открытие было нестабильно, подтверждено индексом официальной страницы</x:v>
      </x:c>
      <x:c r="F7" s="35" t="str">
        <x:v>https://corp.ozon.ru/ru/sth/ozon-obyavlyaet-finansovye-rezultaty-za-tretiy-kvartal-2026-goda-58924955</x:v>
      </x:c>
    </x:row>
    <x:row r="8" ht="115" customHeight="1">
      <x:c r="A8" s="35" t="str">
        <x:v>Ozon Tech: Query Prediction</x:v>
      </x:c>
      <x:c r="B8" s="35" t="str">
        <x:v>Первоисточник</x:v>
      </x:c>
      <x:c r="C8" s="35" t="str">
        <x:v>A/B: +2,1% CR покупки из поиска, +1,5% среднего GMV пользователя поиска</x:v>
      </x:c>
      <x:c r="D8" s="35" t="str">
        <x:v>Контекст реальных продуктовых эффектов</x:v>
      </x:c>
      <x:c r="E8" s="35" t="str">
        <x:v>Поиск и его аудитория; не +10% H1–H6, не глобальная CR и не ARPU</x:v>
      </x:c>
      <x:c r="F8" s="35" t="str">
        <x:v>https://habr.com/ru/companies/ozontech/articles/990180/</x:v>
      </x:c>
    </x:row>
    <x:row r="9" ht="115" customHeight="1">
      <x:c r="A9" s="35" t="str">
        <x:v>Ozon Seller: авторассылки</x:v>
      </x:c>
      <x:c r="B9" s="35" t="str">
        <x:v>Первоисточник</x:v>
      </x:c>
      <x:c r="C9" s="35" t="str">
        <x:v>Заявлен рост конверсии в покупку на 12%</x:v>
      </x:c>
      <x:c r="D9" s="35" t="str">
        <x:v>Аналог механики напоминаний</x:v>
      </x:c>
      <x:c r="E9" s="35" t="str">
        <x:v>Не раскрыты контроль, атрибуция и базовая CR; не вероятность восстановления заказа; единица роста явно не уточнена</x:v>
      </x:c>
      <x:c r="F9" s="35" t="str">
        <x:v>https://seller.ozon.ru/media/boost/rassylki-iz-lichnogo-kabineta-na-ozon/</x:v>
      </x:c>
    </x:row>
    <x:row r="10" ht="115" customHeight="1">
      <x:c r="A10" s="35" t="str">
        <x:v>To purchase or to remove? JBR 2021</x:v>
      </x:c>
      <x:c r="B10" s="35" t="str">
        <x:v>Индекс страницы издателя</x:v>
      </x:c>
      <x:c r="C10" s="35" t="str">
        <x:v>493 респондента Taobao; 27,2% обычно держат 100–120 товаров в корзине; 39,1% сталкивались с лимитом</x:v>
      </x:c>
      <x:c r="D10" s="35" t="str">
        <x:v>Подтверждает существование сценария хранения больших списков</x:v>
      </x:c>
      <x:c r="E10" s="35" t="str">
        <x:v>Самоотчёт выбранной аудитории Taobao, исторический лимит 120; не доля когорт Ozon и не охват H1. Полный текст не доступен; цифры подтверждены введением в индексе издателя</x:v>
      </x:c>
      <x:c r="F10" s="35" t="str">
        <x:v>https://doi.org/10.1016/j.jbusres.2020.10.067</x:v>
      </x:c>
    </x:row>
    <x:row r="11" ht="115" customHeight="1">
      <x:c r="A11" s="35" t="str">
        <x:v>A measurement study on Amazon wishlist, ICC 2017</x:v>
      </x:c>
      <x:c r="B11" s="35" t="str">
        <x:v>Полный текст от автора</x:v>
      </x:c>
      <x:c r="C11" s="35" t="str">
        <x:v>Table II: 74,2 товара на список, SD 187,3; изучены 76 923 списка 30 057 пользователей</x:v>
      </x:c>
      <x:c r="D11" s="35" t="str">
        <x:v>Внешний пример сильно скошенного распределения списков</x:v>
      </x:c>
      <x:c r="E11" s="35" t="str">
        <x:v>Отобраны публичные списки с товарами и описанием; список не пользователь, Amazon не Ozon; среднее не определяет 4 когорты</x:v>
      </x:c>
      <x:c r="F11" s="35" t="str">
        <x:v>https://www.researchgate.net/publication/318810956_A_measurement_study_on_Amazon_wishlist_and_its_privacy_exposure</x:v>
      </x:c>
    </x:row>
    <x:row r="12" ht="115" customHeight="1">
      <x:c r="A12" s="35" t="str">
        <x:v>Baymard: Cart abandonment</x:v>
      </x:c>
      <x:c r="B12" s="35" t="str">
        <x:v>Первоисточник</x:v>
      </x:c>
      <x:c r="C12" s="35" t="str">
        <x:v>Причины checkout: 40% допрасходы, 20% доставка, 17% сложность; отдельно 42% покупателей США упоминали отсутствие готовности покупать</x:v>
      </x:c>
      <x:c r="D12" s="35" t="str">
        <x:v>Качественная карта рисков</x:v>
      </x:c>
      <x:c r="E12" s="35" t="str">
        <x:v>Разные основания опросных долей, возможен множественный выбор; не штрафы H и не доли всех пользователей Ozon</x:v>
      </x:c>
      <x:c r="F12" s="35" t="str">
        <x:v>https://baymard.com/lists/cart-abandonment-rate</x:v>
      </x:c>
    </x:row>
    <x:row r="13" ht="115" customHeight="1">
      <x:c r="A13" s="35" t="str">
        <x:v>The Choice Overload Effect in Online Recommender Systems</x:v>
      </x:c>
      <x:c r="B13" s="35" t="str">
        <x:v>Аннотация издателя</x:v>
      </x:c>
      <x:c r="C13" s="35" t="str">
        <x:v>Полевой эксперимент с 1,6 млн потребителей: вероятность покупки сначала растёт, затем снижается с числом рекомендованных товаров</x:v>
      </x:c>
      <x:c r="D13" s="35" t="str">
        <x:v>Нелинейность и неоднородность выбора; необходимость нулевых и отрицательных сценариев</x:v>
      </x:c>
      <x:c r="E13" s="35" t="str">
        <x:v>Размер рекомендаций в ретаргетинге, не размер сохранённого списка; нет универсального порога или штрафа H6</x:v>
      </x:c>
      <x:c r="F13" s="35" t="str">
        <x:v>https://pubsonline.informs.org/doi/10.1287/msom.2022.0659</x:v>
      </x:c>
    </x:row>
    <x:row r="14" ht="115" customHeight="1">
      <x:c r="A14" s="35" t="str">
        <x:v>Heart it or cart it, JRCS 2026</x:v>
      </x:c>
      <x:c r="B14" s="35" t="str">
        <x:v>Аннотация в индексе издателя</x:v>
      </x:c>
      <x:c r="C14" s="35" t="str">
        <x:v>Два пилота и пять экспериментов: различие между непреднамеренным помещением в cart/wishlist меняется со временем</x:v>
      </x:c>
      <x:c r="D14" s="35" t="str">
        <x:v>Не смешивать намерение, сохранение и немедленную покупку</x:v>
      </x:c>
      <x:c r="E14" s="35" t="str">
        <x:v>Доступна аннотация, не численные эффекты. Не устанавливает дневной CR/охват; требует временных событий для проверки</x:v>
      </x:c>
      <x:c r="F14" s="35" t="str">
        <x:v>https://doi.org/10.1016/j.jretconser.2026.104821</x:v>
      </x:c>
    </x:row>
    <x:row r="15" ht="115" customHeight="1">
      <x:c r="A15" s="35" t="str">
        <x:v>Taobao UserBehavior / Alibaba Cloud</x:v>
      </x:c>
      <x:c r="B15" s="35" t="str">
        <x:v>Источник и агрегат проверены</x:v>
      </x:c>
      <x:c r="C15" s="35" t="str">
        <x:v>987 994 пользователей; период в описании 25.11–03.12.2017; 100 150 807 действий. Новые когорты рассчитаны из предоставленного агрегата</x:v>
      </x:c>
      <x:c r="D15" s="35" t="str">
        <x:v>Только отдельный анализ событий добавления; не вход охвата H1 или долей когорт Ozon</x:v>
      </x:c>
      <x:c r="E15" s="35" t="str">
        <x:v>14+ добавлений за девять дней не являются остатком 40+ SKU. Перенос долей в модель Ozon отозван.</x:v>
      </x:c>
      <x:c r="F15" s="35" t="str">
        <x:v>https://www.alibabacloud.com/help/en/dataworks/user-guide/getting-started-with-dataanalysis</x:v>
      </x:c>
    </x:row>
    <x:row r="16" ht="115" customHeight="1">
      <x:c r="A16" s="35" t="str">
        <x:v>Учебный кейс Ozon, с. 4,6,8–14</x:v>
      </x:c>
      <x:c r="B16" s="35" t="str">
        <x:v>Учебный синтетический кейс</x:v>
      </x:c>
      <x:c r="C16" s="35" t="str">
        <x:v>DAU C/F 65/13%; MAU C/F 91/20%; владельцы F среди посетителей C 60–80%; разрывы CR 9/18/9 п.п.; защитные метрики</x:v>
      </x:c>
      <x:c r="D16" s="35" t="str">
        <x:v>Приоритетные условия учебной модели</x:v>
      </x:c>
      <x:c r="E16" s="35" t="str">
        <x:v>Все числа кейса синтетические; точная атрибуция разрывов и пороги больших списков не раскрыты</x:v>
      </x:c>
      <x:c r="F16" s="35" t="str">
        <x:v>local:Корзина не копилка или списки товаров кейс для РАНХиГС с данными.pdf</x:v>
      </x:c>
    </x:row>
    <x:row r="17" ht="115" customHeight="1">
      <x:c r="A17" s="35" t="str">
        <x:v>Ozon Tech: стратегия редизайна Корзины</x:v>
      </x:c>
      <x:c r="B17" s="35" t="str">
        <x:v>Первоисточник</x:v>
      </x:c>
      <x:c r="C17" s="35" t="str">
        <x:v>Описан неудачный редизайн и откат после ухудшения метрик</x:v>
      </x:c>
      <x:c r="D17" s="35" t="str">
        <x:v>Направление интерфейсного риска</x:v>
      </x:c>
      <x:c r="E17" s="35" t="str">
        <x:v>Нет численной вероятности ущерба и размера штрафа</x:v>
      </x:c>
      <x:c r="F17" s="35" t="str">
        <x:v>https://habr.com/ru/companies/ozontech/articles/1020990/</x:v>
      </x:c>
    </x:row>
    <x:row r="18" ht="26" customHeight="1">
      <x:c r="A18" s="1"/>
      <x:c r="B18" s="1"/>
      <x:c r="C18" s="1"/>
      <x:c r="D18" s="1"/>
      <x:c r="E18" s="1"/>
      <x:c r="F18" s="1"/>
    </x:row>
    <x:row r="19" ht="26" customHeight="1">
      <x:c r="A19" s="1"/>
      <x:c r="B19" s="1"/>
      <x:c r="C19" s="1"/>
      <x:c r="D19" s="1"/>
      <x:c r="E19" s="1"/>
      <x:c r="F19" s="1"/>
    </x:row>
    <x:row r="20" ht="26" customHeight="1">
      <x:c r="A20" s="1"/>
      <x:c r="B20" s="1"/>
      <x:c r="C20" s="1"/>
      <x:c r="D20" s="1"/>
      <x:c r="E20" s="1"/>
      <x:c r="F20" s="1"/>
    </x:row>
  </x:sheetData>
  <x:mergeCells>
    <x:mergeCell ref="A2:F2"/>
  </x:mergeCells>
  <x:pageMargins left="0.7" right="0.7" top="0.75" bottom="0.75" header="0.3" footer="0.3"/>
</x:worksheet>
</file>

<file path=xl/worksheets/sheet16.xml><?xml version="1.0" encoding="utf-8"?>
<x:worksheet xmlns:x="http://schemas.openxmlformats.org/spreadsheetml/2006/main">
  <x:sheetPr>
    <x:tabColor rgb="FF477A68"/>
  </x:sheetPr>
  <x:sheetViews>
    <x:sheetView showGridLines="0" workbookViewId="0">
      <x:pane xSplit="2" ySplit="5" topLeftCell="C6" activePane="bottomRight" state="frozen"/>
    </x:sheetView>
  </x:sheetViews>
  <x:sheetFormatPr defaultRowHeight="15"/>
  <x:cols>
    <x:col min="1" max="1" width="43" hidden="0" customWidth="1"/>
    <x:col min="2" max="2" width="36" hidden="0" customWidth="1"/>
    <x:col min="3" max="3" width="25" hidden="0" customWidth="1"/>
    <x:col min="4" max="4" width="25" hidden="0" customWidth="1"/>
    <x:col min="5" max="5" width="60" hidden="0" customWidth="1"/>
  </x:cols>
  <x:sheetData>
    <x:row r="1" ht="26" customHeight="1">
      <x:c r="A1" s="1"/>
      <x:c r="B1" s="1"/>
      <x:c r="C1" s="1"/>
      <x:c r="D1" s="1"/>
      <x:c r="E1" s="1"/>
    </x:row>
    <x:row r="2" ht="36" customHeight="1">
      <x:c r="A2" s="28" t="str">
        <x:v>Масштаб Ozon · факты и условные проверки интенсивности</x:v>
      </x:c>
      <x:c r="B2" s="1"/>
      <x:c r="C2" s="1"/>
      <x:c r="D2" s="1"/>
      <x:c r="E2" s="1"/>
    </x:row>
    <x:row r="3" ht="26" customHeight="1">
      <x:c r="A3" s="1"/>
      <x:c r="B3" s="1"/>
      <x:c r="C3" s="1"/>
      <x:c r="D3" s="1"/>
      <x:c r="E3" s="1"/>
    </x:row>
    <x:row r="4" ht="26" customHeight="1">
      <x:c r="A4" s="1"/>
      <x:c r="B4" s="1"/>
      <x:c r="C4" s="1"/>
      <x:c r="D4" s="1"/>
      <x:c r="E4" s="1"/>
    </x:row>
    <x:row r="5" ht="62" customHeight="1">
      <x:c r="A5" s="52" t="str">
        <x:v>Показатель</x:v>
      </x:c>
      <x:c r="B5" s="52" t="str">
        <x:v>Значение</x:v>
      </x:c>
      <x:c r="C5" s="52" t="str">
        <x:v>Единица</x:v>
      </x:c>
      <x:c r="D5" s="52" t="str">
        <x:v>Статус</x:v>
      </x:c>
      <x:c r="E5" s="52" t="str">
        <x:v>Ограничение</x:v>
      </x:c>
    </x:row>
    <x:row r="6" ht="42" customHeight="1">
      <x:c r="A6" s="26" t="str">
        <x:v>DAU, март 2026</x:v>
      </x:c>
      <x:c r="B6" s="36">
        <x:v>44000000</x:v>
      </x:c>
      <x:c r="C6" s="26" t="str">
        <x:v>пользователей</x:v>
      </x:c>
      <x:c r="D6" s="26" t="str">
        <x:v>Ozon IR</x:v>
      </x:c>
      <x:c r="E6" s="26" t="str">
        <x:v>Не средний DAU квартала</x:v>
      </x:c>
    </x:row>
    <x:row r="7" ht="42" customHeight="1">
      <x:c r="A7" s="26" t="str">
        <x:v>MAU, март 2026</x:v>
      </x:c>
      <x:c r="B7" s="36">
        <x:v>84000000</x:v>
      </x:c>
      <x:c r="C7" s="26" t="str">
        <x:v>пользователей</x:v>
      </x:c>
      <x:c r="D7" s="26" t="str">
        <x:v>Ozon IR</x:v>
      </x:c>
      <x:c r="E7" s="26" t="str">
        <x:v>Не использовать в дневной CR</x:v>
      </x:c>
    </x:row>
    <x:row r="8" ht="42" customHeight="1">
      <x:c r="A8" s="26" t="str">
        <x:v>Заказы, I кв. 2026</x:v>
      </x:c>
      <x:c r="B8" s="36">
        <x:v>807700000</x:v>
      </x:c>
      <x:c r="C8" s="26" t="str">
        <x:v>заказов</x:v>
      </x:c>
      <x:c r="D8" s="26" t="str">
        <x:v>Ozon IR</x:v>
      </x:c>
      <x:c r="E8" s="26" t="str">
        <x:v>Не уникальные покупатели</x:v>
      </x:c>
    </x:row>
    <x:row r="9" ht="42" customHeight="1">
      <x:c r="A9" s="26" t="str">
        <x:v>Дней в I квартале</x:v>
      </x:c>
      <x:c r="B9" s="36">
        <x:v>90</x:v>
      </x:c>
      <x:c r="C9" s="26" t="str">
        <x:v>дней</x:v>
      </x:c>
      <x:c r="D9" s="26" t="str">
        <x:v>Календарь</x:v>
      </x:c>
      <x:c r="E9" s="26" t="str">
        <x:v>2026 не високосный</x:v>
      </x:c>
    </x:row>
    <x:row r="10" ht="42" customHeight="1">
      <x:c r="A10" s="26" t="str">
        <x:v>Активные покупатели, конец I кв.</x:v>
      </x:c>
      <x:c r="B10" s="36">
        <x:v>67300000</x:v>
      </x:c>
      <x:c r="C10" s="26" t="str">
        <x:v>пользователей</x:v>
      </x:c>
      <x:c r="D10" s="26" t="str">
        <x:v>Ozon IR</x:v>
      </x:c>
      <x:c r="E10" s="26" t="str">
        <x:v>Не DAU и не MAU</x:v>
      </x:c>
    </x:row>
    <x:row r="11" ht="42" customHeight="1">
      <x:c r="A11" s="26" t="str">
        <x:v>Частота, I кв.: свыше</x:v>
      </x:c>
      <x:c r="B11" s="36">
        <x:v>42</x:v>
      </x:c>
      <x:c r="C11" s="26" t="str">
        <x:v>заказов / год / покупателя</x:v>
      </x:c>
      <x:c r="D11" s="26" t="str">
        <x:v>Ozon IR</x:v>
      </x:c>
      <x:c r="E11" s="26" t="str">
        <x:v>Скользящая годовая метрика</x:v>
      </x:c>
    </x:row>
    <x:row r="12" ht="42" customHeight="1">
      <x:c r="A12" s="26" t="str">
        <x:v>Заказы, III кв. 2026</x:v>
      </x:c>
      <x:c r="B12" s="36">
        <x:v>1200000000</x:v>
      </x:c>
      <x:c r="C12" s="26" t="str">
        <x:v>заказов, округлённо</x:v>
      </x:c>
      <x:c r="D12" s="26" t="str">
        <x:v>Ozon</x:v>
      </x:c>
      <x:c r="E12" s="26" t="str">
        <x:v>Другая дата; мартовский DAU не переносится</x:v>
      </x:c>
    </x:row>
    <x:row r="13" ht="42" customHeight="1">
      <x:c r="A13" s="26" t="str">
        <x:v>Частота, III кв.</x:v>
      </x:c>
      <x:c r="B13" s="36">
        <x:v>51</x:v>
      </x:c>
      <x:c r="C13" s="26" t="str">
        <x:v>заказ / год / покупателя</x:v>
      </x:c>
      <x:c r="D13" s="26" t="str">
        <x:v>Ozon</x:v>
      </x:c>
      <x:c r="E13" s="26" t="str">
        <x:v>Не дневная CR</x:v>
      </x:c>
    </x:row>
    <x:row r="14" ht="42" customHeight="1">
      <x:c r="A14" s="26"/>
      <x:c r="B14" s="36"/>
      <x:c r="C14" s="26"/>
      <x:c r="D14" s="26"/>
      <x:c r="E14" s="26"/>
    </x:row>
    <x:row r="15" ht="42" customHeight="1">
      <x:c r="A15" s="26"/>
      <x:c r="B15" s="36"/>
      <x:c r="C15" s="26"/>
      <x:c r="D15" s="26"/>
      <x:c r="E15" s="26"/>
    </x:row>
    <x:row r="16" ht="42" customHeight="1">
      <x:c r="A16" s="26" t="str">
        <x:v>Заказов / день, I кв.</x:v>
      </x:c>
      <x:c r="B16" s="36">
        <x:f>B8/B9</x:f>
        <x:v>8974444.444444444</x:v>
      </x:c>
      <x:c r="C16" s="26" t="str">
        <x:v>заказов</x:v>
      </x:c>
      <x:c r="D16" s="26" t="str">
        <x:v>Расчёт</x:v>
      </x:c>
      <x:c r="E16" s="26" t="str">
        <x:v>Среднее по кварталу</x:v>
      </x:c>
    </x:row>
    <x:row r="17" ht="42" customHeight="1">
      <x:c r="A17" s="26" t="str">
        <x:v>Заказов / условный DAU-день</x:v>
      </x:c>
      <x:c r="B17" s="39">
        <x:f>B16/B6</x:f>
        <x:v>0.20396464646464646</x:v>
      </x:c>
      <x:c r="C17" s="26" t="str">
        <x:v>заказов / пользователя</x:v>
      </x:c>
      <x:c r="D17" s="26" t="str">
        <x:v>Условный ориентир</x:v>
      </x:c>
      <x:c r="E17" s="26" t="str">
        <x:v>Если мартовский DAU равен среднему за квартал и охваты совпадают</x:v>
      </x:c>
    </x:row>
    <x:row r="18" ht="42" customHeight="1">
      <x:c r="A18" s="26" t="str">
        <x:v>Активная global CR</x:v>
      </x:c>
      <x:c r="B18" s="37">
        <x:f>'Параметры'!B27</x:f>
        <x:v>0.14999999999999997</x:v>
      </x:c>
      <x:c r="C18" s="26" t="str">
        <x:v>доля</x:v>
      </x:c>
      <x:c r="D18" s="26" t="str">
        <x:v>Допущение сценария</x:v>
      </x:c>
      <x:c r="E18" s="26" t="str">
        <x:v>Не измеренный факт Ozon</x:v>
      </x:c>
    </x:row>
    <x:row r="19" ht="42" customHeight="1">
      <x:c r="A19" s="26" t="str">
        <x:v>Заказов / покупателя-день</x:v>
      </x:c>
      <x:c r="B19" s="38">
        <x:f>B17/B18</x:f>
        <x:v>1.35976430976431</x:v>
      </x:c>
      <x:c r="C19" s="26" t="str">
        <x:v>заказов</x:v>
      </x:c>
      <x:c r="D19" s="26" t="str">
        <x:v>Условный расчёт</x:v>
      </x:c>
      <x:c r="E19" s="26" t="str">
        <x:v>Зависит от предположений строки 17</x:v>
      </x:c>
    </x:row>
    <x:row r="20" ht="42" customHeight="1">
      <x:c r="A20" s="26" t="str">
        <x:v>Оговорка интенсивности</x:v>
      </x:c>
      <x:c r="B20" s="26" t="str">
        <x:f>IF(B19&gt;=1,"Не противоречит ориентиру","CR выше условного ориентира заказов")</x:f>
        <x:v>Не противоречит ориентиру</x:v>
      </x:c>
      <x:c r="C20" s="26" t="str"/>
      <x:c r="D20" s="26" t="str">
        <x:v>Диагностика</x:v>
      </x:c>
      <x:c r="E20" s="26" t="str">
        <x:v>Не жёсткая граница: разные периоды и охваты</x:v>
      </x:c>
    </x:row>
    <x:row r="21" ht="42" customHeight="1">
      <x:c r="A21" s="26"/>
      <x:c r="B21" s="26"/>
      <x:c r="C21" s="26"/>
      <x:c r="D21" s="26"/>
      <x:c r="E21" s="26"/>
    </x:row>
    <x:row r="22" ht="42" customHeight="1">
      <x:c r="A22" s="26"/>
      <x:c r="B22" s="26"/>
      <x:c r="C22" s="26"/>
      <x:c r="D22" s="26"/>
      <x:c r="E22" s="26"/>
    </x:row>
    <x:row r="23" ht="42" customHeight="1">
      <x:c r="A23" s="26" t="str">
        <x:v>DAU Корзины при масштабе марта</x:v>
      </x:c>
      <x:c r="B23" s="36">
        <x:f>B6*'Исходные'!B5</x:f>
        <x:v>28600000</x:v>
      </x:c>
      <x:c r="C23" s="26" t="str">
        <x:v>пользователей</x:v>
      </x:c>
      <x:c r="D23" s="26" t="str">
        <x:v>Экстраполяция условия кейса</x:v>
      </x:c>
      <x:c r="E23" s="26" t="str">
        <x:v>65% от 44 млн</x:v>
      </x:c>
    </x:row>
    <x:row r="24" ht="42" customHeight="1">
      <x:c r="A24" s="26" t="str">
        <x:v>DAU Избранного при масштабе марта</x:v>
      </x:c>
      <x:c r="B24" s="36">
        <x:f>B6*'Исходные'!B6</x:f>
        <x:v>5720000</x:v>
      </x:c>
      <x:c r="C24" s="26" t="str">
        <x:v>пользователей</x:v>
      </x:c>
      <x:c r="D24" s="26" t="str">
        <x:v>Экстраполяция условия кейса</x:v>
      </x:c>
      <x:c r="E24" s="26" t="str">
        <x:v>13% от 44 млн</x:v>
      </x:c>
    </x:row>
    <x:row r="25" ht="42" customHeight="1">
      <x:c r="A25" s="26" t="str">
        <x:v>MAU Корзины при масштабе марта</x:v>
      </x:c>
      <x:c r="B25" s="36">
        <x:f>B7*'Исходные'!B7</x:f>
        <x:v>76440000</x:v>
      </x:c>
      <x:c r="C25" s="26" t="str">
        <x:v>пользователей</x:v>
      </x:c>
      <x:c r="D25" s="26" t="str">
        <x:v>Экстраполяция условия кейса</x:v>
      </x:c>
      <x:c r="E25" s="26" t="str">
        <x:v>91% от 84 млн</x:v>
      </x:c>
    </x:row>
    <x:row r="26" ht="42" customHeight="1">
      <x:c r="A26" s="26" t="str">
        <x:v>MAU Избранного при масштабе марта</x:v>
      </x:c>
      <x:c r="B26" s="36">
        <x:f>B7*'Исходные'!B8</x:f>
        <x:v>16800000</x:v>
      </x:c>
      <x:c r="C26" s="26" t="str">
        <x:v>пользователей</x:v>
      </x:c>
      <x:c r="D26" s="26" t="str">
        <x:v>Экстраполяция условия кейса</x:v>
      </x:c>
      <x:c r="E26" s="26" t="str">
        <x:v>20% от 84 млн</x:v>
      </x:c>
    </x:row>
    <x:row r="27" ht="26" customHeight="1">
      <x:c r="A27" s="1"/>
      <x:c r="B27" s="1"/>
      <x:c r="C27" s="1"/>
      <x:c r="D27" s="1"/>
      <x:c r="E27" s="1"/>
    </x:row>
    <x:row r="28" ht="26" customHeight="1">
      <x:c r="A28" s="1"/>
      <x:c r="B28" s="1"/>
      <x:c r="C28" s="1"/>
      <x:c r="D28" s="1"/>
      <x:c r="E28" s="1"/>
    </x:row>
    <x:row r="29" ht="26" customHeight="1">
      <x:c r="A29" s="1"/>
      <x:c r="B29" s="1"/>
      <x:c r="C29" s="1"/>
      <x:c r="D29" s="1"/>
      <x:c r="E29" s="1"/>
    </x:row>
    <x:row r="30" ht="26" customHeight="1">
      <x:c r="A30" s="1"/>
      <x:c r="B30" s="1"/>
      <x:c r="C30" s="1"/>
      <x:c r="D30" s="1"/>
      <x:c r="E30" s="1"/>
    </x:row>
  </x:sheetData>
  <x:mergeCells>
    <x:mergeCell ref="A2:E2"/>
  </x:mergeCells>
  <x:pageMargins left="0.7" right="0.7" top="0.75" bottom="0.75" header="0.3" footer="0.3"/>
</x:worksheet>
</file>

<file path=xl/worksheets/sheet17.xml><?xml version="1.0" encoding="utf-8"?>
<x:worksheet xmlns:x="http://schemas.openxmlformats.org/spreadsheetml/2006/main">
  <x:sheetPr>
    <x:tabColor rgb="FF477A68"/>
  </x:sheetPr>
  <x:sheetViews>
    <x:sheetView showGridLines="0" workbookViewId="0">
      <x:pane xSplit="2" ySplit="5" topLeftCell="C6" activePane="bottomRight" state="frozen"/>
    </x:sheetView>
  </x:sheetViews>
  <x:sheetFormatPr defaultRowHeight="15"/>
  <x:cols>
    <x:col min="1" max="1" width="28" hidden="0" customWidth="1"/>
    <x:col min="2" max="2" width="16" hidden="0" customWidth="1"/>
    <x:col min="3" max="3" width="16" hidden="0" customWidth="1"/>
    <x:col min="4" max="4" width="16" hidden="0" customWidth="1"/>
    <x:col min="5" max="5" width="16" hidden="0" customWidth="1"/>
    <x:col min="6" max="6" width="16" hidden="0" customWidth="1"/>
    <x:col min="7" max="7" width="45" hidden="0" customWidth="1"/>
  </x:cols>
  <x:sheetData>
    <x:row r="1" ht="26" customHeight="1">
      <x:c r="A1" s="1"/>
      <x:c r="B1" s="1"/>
      <x:c r="C1" s="1"/>
      <x:c r="D1" s="1"/>
      <x:c r="E1" s="1"/>
      <x:c r="F1" s="1"/>
      <x:c r="G1" s="1"/>
    </x:row>
    <x:row r="2" ht="36" customHeight="1">
      <x:c r="A2" s="28" t="str">
        <x:v>Версия сохранённых сравнений · контроль обновления</x:v>
      </x:c>
      <x:c r="B2" s="1"/>
      <x:c r="C2" s="1"/>
      <x:c r="D2" s="1"/>
      <x:c r="E2" s="1"/>
      <x:c r="F2" s="1" t="str">
        <x:v>Статус</x:v>
      </x:c>
      <x:c r="G2" s="1" t="str">
        <x:f>IF(SUM(E6:E1962)=1957,"Актуально","Срезы устарели: запустите Python")</x:f>
        <x:v>Актуально</x:v>
      </x:c>
    </x:row>
    <x:row r="3" ht="26" customHeight="1">
      <x:c r="A3" s="1"/>
      <x:c r="B3" s="1"/>
      <x:c r="C3" s="1"/>
      <x:c r="D3" s="1"/>
      <x:c r="E3" s="1"/>
      <x:c r="F3" s="1"/>
      <x:c r="G3" s="1"/>
    </x:row>
    <x:row r="4" ht="26" customHeight="1">
      <x:c r="A4" s="1"/>
      <x:c r="B4" s="1"/>
      <x:c r="C4" s="1"/>
      <x:c r="D4" s="1"/>
      <x:c r="E4" s="1"/>
      <x:c r="F4" s="1"/>
      <x:c r="G4" s="1"/>
    </x:row>
    <x:row r="5" ht="62" customHeight="1">
      <x:c r="A5" s="52" t="str">
        <x:v>Лист</x:v>
      </x:c>
      <x:c r="B5" s="52" t="str">
        <x:v>Ячейка</x:v>
      </x:c>
      <x:c r="C5" s="52" t="str">
        <x:v>Сохранённый ввод</x:v>
      </x:c>
      <x:c r="D5" s="52" t="str">
        <x:v>Текущий ввод</x:v>
      </x:c>
      <x:c r="E5" s="52" t="str">
        <x:v>Совпадает</x:v>
      </x:c>
      <x:c r="F5" s="1"/>
      <x:c r="G5" s="1"/>
    </x:row>
    <x:row r="6" ht="26" customHeight="1">
      <x:c r="A6" s="1" t="str">
        <x:v>Параметры</x:v>
      </x:c>
      <x:c r="B6" s="1" t="str">
        <x:v>B10</x:v>
      </x:c>
      <x:c r="C6" s="1">
        <x:v>0.10000000000000001</x:v>
      </x:c>
      <x:c r="D6" s="1">
        <x:f>'Параметры'!B10</x:f>
        <x:v>0.10000000000000001</x:v>
      </x:c>
      <x:c r="E6" s="1">
        <x:f>IF(C6=D6,1,0)</x:f>
        <x:v>1</x:v>
      </x:c>
      <x:c r="F6" s="1"/>
      <x:c r="G6" s="1"/>
    </x:row>
    <x:row r="7" ht="26" customHeight="1">
      <x:c r="A7" s="1" t="str">
        <x:v>Параметры</x:v>
      </x:c>
      <x:c r="B7" s="1" t="str">
        <x:v>C15</x:v>
      </x:c>
      <x:c r="C7" s="1">
        <x:v>0.10000000000000001</x:v>
      </x:c>
      <x:c r="D7" s="1">
        <x:f>'Параметры'!C15</x:f>
        <x:v>0.10000000000000001</x:v>
      </x:c>
      <x:c r="E7" s="1">
        <x:f>IF(C7=D7,1,0)</x:f>
        <x:v>1</x:v>
      </x:c>
      <x:c r="F7" s="1"/>
      <x:c r="G7" s="1"/>
    </x:row>
    <x:row r="8" ht="26" customHeight="1">
      <x:c r="A8" s="1" t="str">
        <x:v>Параметры</x:v>
      </x:c>
      <x:c r="B8" s="1" t="str">
        <x:v>D15</x:v>
      </x:c>
      <x:c r="C8" s="1">
        <x:v>0.20000000000000001</x:v>
      </x:c>
      <x:c r="D8" s="1">
        <x:f>'Параметры'!D15</x:f>
        <x:v>0.20000000000000001</x:v>
      </x:c>
      <x:c r="E8" s="1">
        <x:f>IF(C8=D8,1,0)</x:f>
        <x:v>1</x:v>
      </x:c>
      <x:c r="F8" s="1"/>
      <x:c r="G8" s="1"/>
    </x:row>
    <x:row r="9" ht="26" customHeight="1">
      <x:c r="A9" s="1" t="str">
        <x:v>Параметры</x:v>
      </x:c>
      <x:c r="B9" s="1" t="str">
        <x:v>E15</x:v>
      </x:c>
      <x:c r="C9" s="1">
        <x:v>0.29999999999999999</x:v>
      </x:c>
      <x:c r="D9" s="1">
        <x:f>'Параметры'!E15</x:f>
        <x:v>0.29999999999999999</x:v>
      </x:c>
      <x:c r="E9" s="1">
        <x:f>IF(C9=D9,1,0)</x:f>
        <x:v>1</x:v>
      </x:c>
      <x:c r="F9" s="1"/>
      <x:c r="G9" s="1"/>
    </x:row>
    <x:row r="10" ht="26" customHeight="1">
      <x:c r="A10" s="1" t="str">
        <x:v>Параметры</x:v>
      </x:c>
      <x:c r="B10" s="1" t="str">
        <x:v>C16</x:v>
      </x:c>
      <x:c r="C10" s="1">
        <x:v>0.14999999999999999</x:v>
      </x:c>
      <x:c r="D10" s="1">
        <x:f>'Параметры'!C16</x:f>
        <x:v>0.14999999999999999</x:v>
      </x:c>
      <x:c r="E10" s="1">
        <x:f>IF(C10=D10,1,0)</x:f>
        <x:v>1</x:v>
      </x:c>
      <x:c r="F10" s="1"/>
      <x:c r="G10" s="1"/>
    </x:row>
    <x:row r="11" ht="26" customHeight="1">
      <x:c r="A11" s="1" t="str">
        <x:v>Параметры</x:v>
      </x:c>
      <x:c r="B11" s="1" t="str">
        <x:v>D16</x:v>
      </x:c>
      <x:c r="C11" s="1">
        <x:v>0.20000000000000001</x:v>
      </x:c>
      <x:c r="D11" s="1">
        <x:f>'Параметры'!D16</x:f>
        <x:v>0.20000000000000001</x:v>
      </x:c>
      <x:c r="E11" s="1">
        <x:f>IF(C11=D11,1,0)</x:f>
        <x:v>1</x:v>
      </x:c>
      <x:c r="F11" s="1"/>
      <x:c r="G11" s="1"/>
    </x:row>
    <x:row r="12" ht="26" customHeight="1">
      <x:c r="A12" s="1" t="str">
        <x:v>Параметры</x:v>
      </x:c>
      <x:c r="B12" s="1" t="str">
        <x:v>E16</x:v>
      </x:c>
      <x:c r="C12" s="1">
        <x:v>0.25</x:v>
      </x:c>
      <x:c r="D12" s="1">
        <x:f>'Параметры'!E16</x:f>
        <x:v>0.25</x:v>
      </x:c>
      <x:c r="E12" s="1">
        <x:f>IF(C12=D12,1,0)</x:f>
        <x:v>1</x:v>
      </x:c>
      <x:c r="F12" s="1"/>
      <x:c r="G12" s="1"/>
    </x:row>
    <x:row r="13" ht="26" customHeight="1">
      <x:c r="A13" s="1" t="str">
        <x:v>Параметры</x:v>
      </x:c>
      <x:c r="B13" s="1" t="str">
        <x:v>C17</x:v>
      </x:c>
      <x:c r="C13" s="1">
        <x:v>0.34999999999999998</x:v>
      </x:c>
      <x:c r="D13" s="1">
        <x:f>'Параметры'!C17</x:f>
        <x:v>0.34999999999999998</x:v>
      </x:c>
      <x:c r="E13" s="1">
        <x:f>IF(C13=D13,1,0)</x:f>
        <x:v>1</x:v>
      </x:c>
      <x:c r="F13" s="1"/>
      <x:c r="G13" s="1"/>
    </x:row>
    <x:row r="14" ht="26" customHeight="1">
      <x:c r="A14" s="1" t="str">
        <x:v>Параметры</x:v>
      </x:c>
      <x:c r="B14" s="1" t="str">
        <x:v>D17</x:v>
      </x:c>
      <x:c r="C14" s="1">
        <x:v>0.29999999999999999</x:v>
      </x:c>
      <x:c r="D14" s="1">
        <x:f>'Параметры'!D17</x:f>
        <x:v>0.29999999999999999</x:v>
      </x:c>
      <x:c r="E14" s="1">
        <x:f>IF(C14=D14,1,0)</x:f>
        <x:v>1</x:v>
      </x:c>
      <x:c r="F14" s="1"/>
      <x:c r="G14" s="1"/>
    </x:row>
    <x:row r="15" ht="26" customHeight="1">
      <x:c r="A15" s="1" t="str">
        <x:v>Параметры</x:v>
      </x:c>
      <x:c r="B15" s="1" t="str">
        <x:v>E17</x:v>
      </x:c>
      <x:c r="C15" s="1">
        <x:v>0.25</x:v>
      </x:c>
      <x:c r="D15" s="1">
        <x:f>'Параметры'!E17</x:f>
        <x:v>0.25</x:v>
      </x:c>
      <x:c r="E15" s="1">
        <x:f>IF(C15=D15,1,0)</x:f>
        <x:v>1</x:v>
      </x:c>
      <x:c r="F15" s="1"/>
      <x:c r="G15" s="1"/>
    </x:row>
    <x:row r="16" ht="26" customHeight="1">
      <x:c r="A16" s="1" t="str">
        <x:v>Параметры</x:v>
      </x:c>
      <x:c r="B16" s="1" t="str">
        <x:v>C18</x:v>
      </x:c>
      <x:c r="C16" s="1">
        <x:v>0.40000000000000002</x:v>
      </x:c>
      <x:c r="D16" s="1">
        <x:f>'Параметры'!C18</x:f>
        <x:v>0.40000000000000002</x:v>
      </x:c>
      <x:c r="E16" s="1">
        <x:f>IF(C16=D16,1,0)</x:f>
        <x:v>1</x:v>
      </x:c>
      <x:c r="F16" s="1"/>
      <x:c r="G16" s="1"/>
    </x:row>
    <x:row r="17" ht="26" customHeight="1">
      <x:c r="A17" s="1" t="str">
        <x:v>Параметры</x:v>
      </x:c>
      <x:c r="B17" s="1" t="str">
        <x:v>D18</x:v>
      </x:c>
      <x:c r="C17" s="1">
        <x:v>0.29999999999999999</x:v>
      </x:c>
      <x:c r="D17" s="1">
        <x:f>'Параметры'!D18</x:f>
        <x:v>0.29999999999999999</x:v>
      </x:c>
      <x:c r="E17" s="1">
        <x:f>IF(C17=D17,1,0)</x:f>
        <x:v>1</x:v>
      </x:c>
      <x:c r="F17" s="1"/>
      <x:c r="G17" s="1"/>
    </x:row>
    <x:row r="18" ht="26" customHeight="1">
      <x:c r="A18" s="1" t="str">
        <x:v>Параметры</x:v>
      </x:c>
      <x:c r="B18" s="1" t="str">
        <x:v>E18</x:v>
      </x:c>
      <x:c r="C18" s="1">
        <x:v>0.20000000000000001</x:v>
      </x:c>
      <x:c r="D18" s="1">
        <x:f>'Параметры'!E18</x:f>
        <x:v>0.20000000000000001</x:v>
      </x:c>
      <x:c r="E18" s="1">
        <x:f>IF(C18=D18,1,0)</x:f>
        <x:v>1</x:v>
      </x:c>
      <x:c r="F18" s="1"/>
      <x:c r="G18" s="1"/>
    </x:row>
    <x:row r="19" ht="26" customHeight="1">
      <x:c r="A19" s="1" t="str">
        <x:v>Параметры</x:v>
      </x:c>
      <x:c r="B19" s="1" t="str">
        <x:v>C19</x:v>
      </x:c>
      <x:c r="C19" s="1">
        <x:v>0.25</x:v>
      </x:c>
      <x:c r="D19" s="1">
        <x:f>'Параметры'!C19</x:f>
        <x:v>0.25</x:v>
      </x:c>
      <x:c r="E19" s="1">
        <x:f>IF(C19=D19,1,0)</x:f>
        <x:v>1</x:v>
      </x:c>
      <x:c r="F19" s="1"/>
      <x:c r="G19" s="1"/>
    </x:row>
    <x:row r="20" ht="26" customHeight="1">
      <x:c r="A20" s="1" t="str">
        <x:v>Параметры</x:v>
      </x:c>
      <x:c r="B20" s="1" t="str">
        <x:v>D19</x:v>
      </x:c>
      <x:c r="C20" s="1">
        <x:v>0.29999999999999999</x:v>
      </x:c>
      <x:c r="D20" s="1">
        <x:f>'Параметры'!D19</x:f>
        <x:v>0.29999999999999999</x:v>
      </x:c>
      <x:c r="E20" s="1">
        <x:f>IF(C20=D20,1,0)</x:f>
        <x:v>1</x:v>
      </x:c>
      <x:c r="F20" s="1"/>
      <x:c r="G20" s="1"/>
    </x:row>
    <x:row r="21" ht="26" customHeight="1">
      <x:c r="A21" s="1" t="str">
        <x:v>Параметры</x:v>
      </x:c>
      <x:c r="B21" s="1" t="str">
        <x:v>E19</x:v>
      </x:c>
      <x:c r="C21" s="1">
        <x:v>0.40000000000000002</x:v>
      </x:c>
      <x:c r="D21" s="1">
        <x:f>'Параметры'!E19</x:f>
        <x:v>0.40000000000000002</x:v>
      </x:c>
      <x:c r="E21" s="1">
        <x:f>IF(C21=D21,1,0)</x:f>
        <x:v>1</x:v>
      </x:c>
      <x:c r="F21" s="1"/>
      <x:c r="G21" s="1"/>
    </x:row>
    <x:row r="22" ht="26" customHeight="1">
      <x:c r="A22" s="1" t="str">
        <x:v>Параметры</x:v>
      </x:c>
      <x:c r="B22" s="1" t="str">
        <x:v>C20</x:v>
      </x:c>
      <x:c r="C22" s="1">
        <x:v>0.12</x:v>
      </x:c>
      <x:c r="D22" s="1">
        <x:f>'Параметры'!C20</x:f>
        <x:v>0.12</x:v>
      </x:c>
      <x:c r="E22" s="1">
        <x:f>IF(C22=D22,1,0)</x:f>
        <x:v>1</x:v>
      </x:c>
      <x:c r="F22" s="1"/>
      <x:c r="G22" s="1"/>
    </x:row>
    <x:row r="23" ht="26" customHeight="1">
      <x:c r="A23" s="1" t="str">
        <x:v>Параметры</x:v>
      </x:c>
      <x:c r="B23" s="1" t="str">
        <x:v>D20</x:v>
      </x:c>
      <x:c r="C23" s="1">
        <x:v>0.17999999999999999</x:v>
      </x:c>
      <x:c r="D23" s="1">
        <x:f>'Параметры'!D20</x:f>
        <x:v>0.17999999999999999</x:v>
      </x:c>
      <x:c r="E23" s="1">
        <x:f>IF(C23=D23,1,0)</x:f>
        <x:v>1</x:v>
      </x:c>
      <x:c r="F23" s="1"/>
      <x:c r="G23" s="1"/>
    </x:row>
    <x:row r="24" ht="26" customHeight="1">
      <x:c r="A24" s="1" t="str">
        <x:v>Параметры</x:v>
      </x:c>
      <x:c r="B24" s="1" t="str">
        <x:v>E20</x:v>
      </x:c>
      <x:c r="C24" s="1">
        <x:v>0.25</x:v>
      </x:c>
      <x:c r="D24" s="1">
        <x:f>'Параметры'!E20</x:f>
        <x:v>0.25</x:v>
      </x:c>
      <x:c r="E24" s="1">
        <x:f>IF(C24=D24,1,0)</x:f>
        <x:v>1</x:v>
      </x:c>
      <x:c r="F24" s="1"/>
      <x:c r="G24" s="1"/>
    </x:row>
    <x:row r="25" ht="26" customHeight="1">
      <x:c r="A25" s="1" t="str">
        <x:v>Параметры</x:v>
      </x:c>
      <x:c r="B25" s="1" t="str">
        <x:v>C21</x:v>
      </x:c>
      <x:c r="C25" s="1">
        <x:v>0.59999999999999998</x:v>
      </x:c>
      <x:c r="D25" s="1">
        <x:f>'Параметры'!C21</x:f>
        <x:v>0.59999999999999998</x:v>
      </x:c>
      <x:c r="E25" s="1">
        <x:f>IF(C25=D25,1,0)</x:f>
        <x:v>1</x:v>
      </x:c>
      <x:c r="F25" s="1"/>
      <x:c r="G25" s="1"/>
    </x:row>
    <x:row r="26" ht="26" customHeight="1">
      <x:c r="A26" s="1" t="str">
        <x:v>Параметры</x:v>
      </x:c>
      <x:c r="B26" s="1" t="str">
        <x:v>D21</x:v>
      </x:c>
      <x:c r="C26" s="1">
        <x:v>0.5</x:v>
      </x:c>
      <x:c r="D26" s="1">
        <x:f>'Параметры'!D21</x:f>
        <x:v>0.5</x:v>
      </x:c>
      <x:c r="E26" s="1">
        <x:f>IF(C26=D26,1,0)</x:f>
        <x:v>1</x:v>
      </x:c>
      <x:c r="F26" s="1"/>
      <x:c r="G26" s="1"/>
    </x:row>
    <x:row r="27" ht="26" customHeight="1">
      <x:c r="A27" s="1" t="str">
        <x:v>Параметры</x:v>
      </x:c>
      <x:c r="B27" s="1" t="str">
        <x:v>E21</x:v>
      </x:c>
      <x:c r="C27" s="1">
        <x:v>0.40000000000000002</x:v>
      </x:c>
      <x:c r="D27" s="1">
        <x:f>'Параметры'!E21</x:f>
        <x:v>0.40000000000000002</x:v>
      </x:c>
      <x:c r="E27" s="1">
        <x:f>IF(C27=D27,1,0)</x:f>
        <x:v>1</x:v>
      </x:c>
      <x:c r="F27" s="1"/>
      <x:c r="G27" s="1"/>
    </x:row>
    <x:row r="28" ht="26" customHeight="1">
      <x:c r="A28" s="1" t="str">
        <x:v>Входы H</x:v>
      </x:c>
      <x:c r="B28" s="1" t="str">
        <x:v>C5</x:v>
      </x:c>
      <x:c r="C28" s="1">
        <x:v>0</x:v>
      </x:c>
      <x:c r="D28" s="1">
        <x:f>'Входы H'!C5</x:f>
        <x:v>0</x:v>
      </x:c>
      <x:c r="E28" s="1">
        <x:f>IF(C28=D28,1,0)</x:f>
        <x:v>1</x:v>
      </x:c>
      <x:c r="F28" s="1"/>
      <x:c r="G28" s="1"/>
    </x:row>
    <x:row r="29" ht="26" customHeight="1">
      <x:c r="A29" s="1" t="str">
        <x:v>Входы H</x:v>
      </x:c>
      <x:c r="B29" s="1" t="str">
        <x:v>D5</x:v>
      </x:c>
      <x:c r="C29" s="1">
        <x:v>0</x:v>
      </x:c>
      <x:c r="D29" s="1">
        <x:f>'Входы H'!D5</x:f>
        <x:v>0</x:v>
      </x:c>
      <x:c r="E29" s="1">
        <x:f>IF(C29=D29,1,0)</x:f>
        <x:v>1</x:v>
      </x:c>
      <x:c r="F29" s="1"/>
      <x:c r="G29" s="1"/>
    </x:row>
    <x:row r="30" ht="26" customHeight="1">
      <x:c r="A30" s="1" t="str">
        <x:v>Входы H</x:v>
      </x:c>
      <x:c r="B30" s="1" t="str">
        <x:v>E5</x:v>
      </x:c>
      <x:c r="C30" s="1">
        <x:v>0</x:v>
      </x:c>
      <x:c r="D30" s="1">
        <x:f>'Входы H'!E5</x:f>
        <x:v>0</x:v>
      </x:c>
      <x:c r="E30" s="1">
        <x:f>IF(C30=D30,1,0)</x:f>
        <x:v>1</x:v>
      </x:c>
      <x:c r="F30" s="1"/>
      <x:c r="G30" s="1"/>
    </x:row>
    <x:row r="31" ht="26" customHeight="1">
      <x:c r="A31" s="1" t="str">
        <x:v>Входы H</x:v>
      </x:c>
      <x:c r="B31" s="1" t="str">
        <x:v>F5</x:v>
      </x:c>
      <x:c r="C31" s="1">
        <x:v>0</x:v>
      </x:c>
      <x:c r="D31" s="1">
        <x:f>'Входы H'!F5</x:f>
        <x:v>0</x:v>
      </x:c>
      <x:c r="E31" s="1">
        <x:f>IF(C31=D31,1,0)</x:f>
        <x:v>1</x:v>
      </x:c>
      <x:c r="F31" s="1"/>
      <x:c r="G31" s="1"/>
    </x:row>
    <x:row r="32" ht="26" customHeight="1">
      <x:c r="A32" s="1" t="str">
        <x:v>Входы H</x:v>
      </x:c>
      <x:c r="B32" s="1" t="str">
        <x:v>G5</x:v>
      </x:c>
      <x:c r="C32" s="1">
        <x:v>0</x:v>
      </x:c>
      <x:c r="D32" s="1">
        <x:f>'Входы H'!G5</x:f>
        <x:v>0</x:v>
      </x:c>
      <x:c r="E32" s="1">
        <x:f>IF(C32=D32,1,0)</x:f>
        <x:v>1</x:v>
      </x:c>
      <x:c r="F32" s="1"/>
      <x:c r="G32" s="1"/>
    </x:row>
    <x:row r="33" ht="26" customHeight="1">
      <x:c r="A33" s="1" t="str">
        <x:v>Входы H</x:v>
      </x:c>
      <x:c r="B33" s="1" t="str">
        <x:v>H5</x:v>
      </x:c>
      <x:c r="C33" s="1">
        <x:v>0</x:v>
      </x:c>
      <x:c r="D33" s="1">
        <x:f>'Входы H'!H5</x:f>
        <x:v>0</x:v>
      </x:c>
      <x:c r="E33" s="1">
        <x:f>IF(C33=D33,1,0)</x:f>
        <x:v>1</x:v>
      </x:c>
      <x:c r="F33" s="1"/>
      <x:c r="G33" s="1"/>
    </x:row>
    <x:row r="34" ht="26" customHeight="1">
      <x:c r="A34" s="1" t="str">
        <x:v>Входы H</x:v>
      </x:c>
      <x:c r="B34" s="1" t="str">
        <x:v>C6</x:v>
      </x:c>
      <x:c r="C34" s="1">
        <x:v>0.40000000000000002</x:v>
      </x:c>
      <x:c r="D34" s="1">
        <x:f>'Входы H'!C6</x:f>
        <x:v>0.40000000000000002</x:v>
      </x:c>
      <x:c r="E34" s="1">
        <x:f>IF(C34=D34,1,0)</x:f>
        <x:v>1</x:v>
      </x:c>
      <x:c r="F34" s="1"/>
      <x:c r="G34" s="1"/>
    </x:row>
    <x:row r="35" ht="26" customHeight="1">
      <x:c r="A35" s="1" t="str">
        <x:v>Входы H</x:v>
      </x:c>
      <x:c r="B35" s="1" t="str">
        <x:v>D6</x:v>
      </x:c>
      <x:c r="C35" s="1">
        <x:v>0</x:v>
      </x:c>
      <x:c r="D35" s="1">
        <x:f>'Входы H'!D6</x:f>
        <x:v>0</x:v>
      </x:c>
      <x:c r="E35" s="1">
        <x:f>IF(C35=D35,1,0)</x:f>
        <x:v>1</x:v>
      </x:c>
      <x:c r="F35" s="1"/>
      <x:c r="G35" s="1"/>
    </x:row>
    <x:row r="36" ht="26" customHeight="1">
      <x:c r="A36" s="1" t="str">
        <x:v>Входы H</x:v>
      </x:c>
      <x:c r="B36" s="1" t="str">
        <x:v>E6</x:v>
      </x:c>
      <x:c r="C36" s="1">
        <x:v>0</x:v>
      </x:c>
      <x:c r="D36" s="1">
        <x:f>'Входы H'!E6</x:f>
        <x:v>0</x:v>
      </x:c>
      <x:c r="E36" s="1">
        <x:f>IF(C36=D36,1,0)</x:f>
        <x:v>1</x:v>
      </x:c>
      <x:c r="F36" s="1"/>
      <x:c r="G36" s="1"/>
    </x:row>
    <x:row r="37" ht="26" customHeight="1">
      <x:c r="A37" s="1" t="str">
        <x:v>Входы H</x:v>
      </x:c>
      <x:c r="B37" s="1" t="str">
        <x:v>F6</x:v>
      </x:c>
      <x:c r="C37" s="1">
        <x:v>0</x:v>
      </x:c>
      <x:c r="D37" s="1">
        <x:f>'Входы H'!F6</x:f>
        <x:v>0</x:v>
      </x:c>
      <x:c r="E37" s="1">
        <x:f>IF(C37=D37,1,0)</x:f>
        <x:v>1</x:v>
      </x:c>
      <x:c r="F37" s="1"/>
      <x:c r="G37" s="1"/>
    </x:row>
    <x:row r="38" ht="26" customHeight="1">
      <x:c r="A38" s="1" t="str">
        <x:v>Входы H</x:v>
      </x:c>
      <x:c r="B38" s="1" t="str">
        <x:v>G6</x:v>
      </x:c>
      <x:c r="C38" s="1">
        <x:v>0</x:v>
      </x:c>
      <x:c r="D38" s="1">
        <x:f>'Входы H'!G6</x:f>
        <x:v>0</x:v>
      </x:c>
      <x:c r="E38" s="1">
        <x:f>IF(C38=D38,1,0)</x:f>
        <x:v>1</x:v>
      </x:c>
      <x:c r="F38" s="1"/>
      <x:c r="G38" s="1"/>
    </x:row>
    <x:row r="39" ht="26" customHeight="1">
      <x:c r="A39" s="1" t="str">
        <x:v>Входы H</x:v>
      </x:c>
      <x:c r="B39" s="1" t="str">
        <x:v>H6</x:v>
      </x:c>
      <x:c r="C39" s="1">
        <x:v>0</x:v>
      </x:c>
      <x:c r="D39" s="1">
        <x:f>'Входы H'!H6</x:f>
        <x:v>0</x:v>
      </x:c>
      <x:c r="E39" s="1">
        <x:f>IF(C39=D39,1,0)</x:f>
        <x:v>1</x:v>
      </x:c>
      <x:c r="F39" s="1"/>
      <x:c r="G39" s="1"/>
    </x:row>
    <x:row r="40" ht="26" customHeight="1">
      <x:c r="A40" s="1" t="str">
        <x:v>Входы H</x:v>
      </x:c>
      <x:c r="B40" s="1" t="str">
        <x:v>C7</x:v>
      </x:c>
      <x:c r="C40" s="1">
        <x:v>0.40000000000000002</x:v>
      </x:c>
      <x:c r="D40" s="1">
        <x:f>'Входы H'!C7</x:f>
        <x:v>0.40000000000000002</x:v>
      </x:c>
      <x:c r="E40" s="1">
        <x:f>IF(C40=D40,1,0)</x:f>
        <x:v>1</x:v>
      </x:c>
      <x:c r="F40" s="1"/>
      <x:c r="G40" s="1"/>
    </x:row>
    <x:row r="41" ht="26" customHeight="1">
      <x:c r="A41" s="1" t="str">
        <x:v>Входы H</x:v>
      </x:c>
      <x:c r="B41" s="1" t="str">
        <x:v>D7</x:v>
      </x:c>
      <x:c r="C41" s="1">
        <x:v>0</x:v>
      </x:c>
      <x:c r="D41" s="1">
        <x:f>'Входы H'!D7</x:f>
        <x:v>0</x:v>
      </x:c>
      <x:c r="E41" s="1">
        <x:f>IF(C41=D41,1,0)</x:f>
        <x:v>1</x:v>
      </x:c>
      <x:c r="F41" s="1"/>
      <x:c r="G41" s="1"/>
    </x:row>
    <x:row r="42" ht="26" customHeight="1">
      <x:c r="A42" s="1" t="str">
        <x:v>Входы H</x:v>
      </x:c>
      <x:c r="B42" s="1" t="str">
        <x:v>E7</x:v>
      </x:c>
      <x:c r="C42" s="1">
        <x:v>0</x:v>
      </x:c>
      <x:c r="D42" s="1">
        <x:f>'Входы H'!E7</x:f>
        <x:v>0</x:v>
      </x:c>
      <x:c r="E42" s="1">
        <x:f>IF(C42=D42,1,0)</x:f>
        <x:v>1</x:v>
      </x:c>
      <x:c r="F42" s="1"/>
      <x:c r="G42" s="1"/>
    </x:row>
    <x:row r="43" ht="26" customHeight="1">
      <x:c r="A43" s="1" t="str">
        <x:v>Входы H</x:v>
      </x:c>
      <x:c r="B43" s="1" t="str">
        <x:v>F7</x:v>
      </x:c>
      <x:c r="C43" s="1">
        <x:v>0</x:v>
      </x:c>
      <x:c r="D43" s="1">
        <x:f>'Входы H'!F7</x:f>
        <x:v>0</x:v>
      </x:c>
      <x:c r="E43" s="1">
        <x:f>IF(C43=D43,1,0)</x:f>
        <x:v>1</x:v>
      </x:c>
      <x:c r="F43" s="1"/>
      <x:c r="G43" s="1"/>
    </x:row>
    <x:row r="44" ht="26" customHeight="1">
      <x:c r="A44" s="1" t="str">
        <x:v>Входы H</x:v>
      </x:c>
      <x:c r="B44" s="1" t="str">
        <x:v>G7</x:v>
      </x:c>
      <x:c r="C44" s="1">
        <x:v>0</x:v>
      </x:c>
      <x:c r="D44" s="1">
        <x:f>'Входы H'!G7</x:f>
        <x:v>0</x:v>
      </x:c>
      <x:c r="E44" s="1">
        <x:f>IF(C44=D44,1,0)</x:f>
        <x:v>1</x:v>
      </x:c>
      <x:c r="F44" s="1"/>
      <x:c r="G44" s="1"/>
    </x:row>
    <x:row r="45" ht="26" customHeight="1">
      <x:c r="A45" s="1" t="str">
        <x:v>Входы H</x:v>
      </x:c>
      <x:c r="B45" s="1" t="str">
        <x:v>H7</x:v>
      </x:c>
      <x:c r="C45" s="1">
        <x:v>0</x:v>
      </x:c>
      <x:c r="D45" s="1">
        <x:f>'Входы H'!H7</x:f>
        <x:v>0</x:v>
      </x:c>
      <x:c r="E45" s="1">
        <x:f>IF(C45=D45,1,0)</x:f>
        <x:v>1</x:v>
      </x:c>
      <x:c r="F45" s="1"/>
      <x:c r="G45" s="1"/>
    </x:row>
    <x:row r="46" ht="26" customHeight="1">
      <x:c r="A46" s="1" t="str">
        <x:v>Входы H</x:v>
      </x:c>
      <x:c r="B46" s="1" t="str">
        <x:v>C8</x:v>
      </x:c>
      <x:c r="C46" s="1">
        <x:v>0</x:v>
      </x:c>
      <x:c r="D46" s="1">
        <x:f>'Входы H'!C8</x:f>
        <x:v>0</x:v>
      </x:c>
      <x:c r="E46" s="1">
        <x:f>IF(C46=D46,1,0)</x:f>
        <x:v>1</x:v>
      </x:c>
      <x:c r="F46" s="1"/>
      <x:c r="G46" s="1"/>
    </x:row>
    <x:row r="47" ht="26" customHeight="1">
      <x:c r="A47" s="1" t="str">
        <x:v>Входы H</x:v>
      </x:c>
      <x:c r="B47" s="1" t="str">
        <x:v>D8</x:v>
      </x:c>
      <x:c r="C47" s="1">
        <x:v>0</x:v>
      </x:c>
      <x:c r="D47" s="1">
        <x:f>'Входы H'!D8</x:f>
        <x:v>0</x:v>
      </x:c>
      <x:c r="E47" s="1">
        <x:f>IF(C47=D47,1,0)</x:f>
        <x:v>1</x:v>
      </x:c>
      <x:c r="F47" s="1"/>
      <x:c r="G47" s="1"/>
    </x:row>
    <x:row r="48" ht="26" customHeight="1">
      <x:c r="A48" s="1" t="str">
        <x:v>Входы H</x:v>
      </x:c>
      <x:c r="B48" s="1" t="str">
        <x:v>E8</x:v>
      </x:c>
      <x:c r="C48" s="1">
        <x:v>0</x:v>
      </x:c>
      <x:c r="D48" s="1">
        <x:f>'Входы H'!E8</x:f>
        <x:v>0</x:v>
      </x:c>
      <x:c r="E48" s="1">
        <x:f>IF(C48=D48,1,0)</x:f>
        <x:v>1</x:v>
      </x:c>
      <x:c r="F48" s="1"/>
      <x:c r="G48" s="1"/>
    </x:row>
    <x:row r="49" ht="26" customHeight="1">
      <x:c r="A49" s="1" t="str">
        <x:v>Входы H</x:v>
      </x:c>
      <x:c r="B49" s="1" t="str">
        <x:v>F8</x:v>
      </x:c>
      <x:c r="C49" s="1">
        <x:v>0</x:v>
      </x:c>
      <x:c r="D49" s="1">
        <x:f>'Входы H'!F8</x:f>
        <x:v>0</x:v>
      </x:c>
      <x:c r="E49" s="1">
        <x:f>IF(C49=D49,1,0)</x:f>
        <x:v>1</x:v>
      </x:c>
      <x:c r="F49" s="1"/>
      <x:c r="G49" s="1"/>
    </x:row>
    <x:row r="50" ht="26" customHeight="1">
      <x:c r="A50" s="1" t="str">
        <x:v>Входы H</x:v>
      </x:c>
      <x:c r="B50" s="1" t="str">
        <x:v>G8</x:v>
      </x:c>
      <x:c r="C50" s="1">
        <x:v>0</x:v>
      </x:c>
      <x:c r="D50" s="1">
        <x:f>'Входы H'!G8</x:f>
        <x:v>0</x:v>
      </x:c>
      <x:c r="E50" s="1">
        <x:f>IF(C50=D50,1,0)</x:f>
        <x:v>1</x:v>
      </x:c>
      <x:c r="F50" s="1"/>
      <x:c r="G50" s="1"/>
    </x:row>
    <x:row r="51" ht="26" customHeight="1">
      <x:c r="A51" s="1" t="str">
        <x:v>Входы H</x:v>
      </x:c>
      <x:c r="B51" s="1" t="str">
        <x:v>H8</x:v>
      </x:c>
      <x:c r="C51" s="1">
        <x:v>0</x:v>
      </x:c>
      <x:c r="D51" s="1">
        <x:f>'Входы H'!H8</x:f>
        <x:v>0</x:v>
      </x:c>
      <x:c r="E51" s="1">
        <x:f>IF(C51=D51,1,0)</x:f>
        <x:v>1</x:v>
      </x:c>
      <x:c r="F51" s="1"/>
      <x:c r="G51" s="1"/>
    </x:row>
    <x:row r="52" ht="26" customHeight="1">
      <x:c r="A52" s="1" t="str">
        <x:v>Входы H</x:v>
      </x:c>
      <x:c r="B52" s="1" t="str">
        <x:v>C9</x:v>
      </x:c>
      <x:c r="C52" s="1">
        <x:v>0.20000000000000001</x:v>
      </x:c>
      <x:c r="D52" s="1">
        <x:f>'Входы H'!C9</x:f>
        <x:v>0.20000000000000001</x:v>
      </x:c>
      <x:c r="E52" s="1">
        <x:f>IF(C52=D52,1,0)</x:f>
        <x:v>1</x:v>
      </x:c>
      <x:c r="F52" s="1"/>
      <x:c r="G52" s="1"/>
    </x:row>
    <x:row r="53" ht="26" customHeight="1">
      <x:c r="A53" s="1" t="str">
        <x:v>Входы H</x:v>
      </x:c>
      <x:c r="B53" s="1" t="str">
        <x:v>D9</x:v>
      </x:c>
      <x:c r="C53" s="1">
        <x:v>0.25</x:v>
      </x:c>
      <x:c r="D53" s="1">
        <x:f>'Входы H'!D9</x:f>
        <x:v>0.25</x:v>
      </x:c>
      <x:c r="E53" s="1">
        <x:f>IF(C53=D53,1,0)</x:f>
        <x:v>1</x:v>
      </x:c>
      <x:c r="F53" s="1"/>
      <x:c r="G53" s="1"/>
    </x:row>
    <x:row r="54" ht="26" customHeight="1">
      <x:c r="A54" s="1" t="str">
        <x:v>Входы H</x:v>
      </x:c>
      <x:c r="B54" s="1" t="str">
        <x:v>E9</x:v>
      </x:c>
      <x:c r="C54" s="1">
        <x:v>0.10000000000000001</x:v>
      </x:c>
      <x:c r="D54" s="1">
        <x:f>'Входы H'!E9</x:f>
        <x:v>0.10000000000000001</x:v>
      </x:c>
      <x:c r="E54" s="1">
        <x:f>IF(C54=D54,1,0)</x:f>
        <x:v>1</x:v>
      </x:c>
      <x:c r="F54" s="1"/>
      <x:c r="G54" s="1"/>
    </x:row>
    <x:row r="55" ht="26" customHeight="1">
      <x:c r="A55" s="1" t="str">
        <x:v>Входы H</x:v>
      </x:c>
      <x:c r="B55" s="1" t="str">
        <x:v>F9</x:v>
      </x:c>
      <x:c r="C55" s="1">
        <x:v>0</x:v>
      </x:c>
      <x:c r="D55" s="1">
        <x:f>'Входы H'!F9</x:f>
        <x:v>0</x:v>
      </x:c>
      <x:c r="E55" s="1">
        <x:f>IF(C55=D55,1,0)</x:f>
        <x:v>1</x:v>
      </x:c>
      <x:c r="F55" s="1"/>
      <x:c r="G55" s="1"/>
    </x:row>
    <x:row r="56" ht="26" customHeight="1">
      <x:c r="A56" s="1" t="str">
        <x:v>Входы H</x:v>
      </x:c>
      <x:c r="B56" s="1" t="str">
        <x:v>G9</x:v>
      </x:c>
      <x:c r="C56" s="1">
        <x:v>0</x:v>
      </x:c>
      <x:c r="D56" s="1">
        <x:f>'Входы H'!G9</x:f>
        <x:v>0</x:v>
      </x:c>
      <x:c r="E56" s="1">
        <x:f>IF(C56=D56,1,0)</x:f>
        <x:v>1</x:v>
      </x:c>
      <x:c r="F56" s="1"/>
      <x:c r="G56" s="1"/>
    </x:row>
    <x:row r="57" ht="26" customHeight="1">
      <x:c r="A57" s="1" t="str">
        <x:v>Входы H</x:v>
      </x:c>
      <x:c r="B57" s="1" t="str">
        <x:v>H9</x:v>
      </x:c>
      <x:c r="C57" s="1">
        <x:v>0</x:v>
      </x:c>
      <x:c r="D57" s="1">
        <x:f>'Входы H'!H9</x:f>
        <x:v>0</x:v>
      </x:c>
      <x:c r="E57" s="1">
        <x:f>IF(C57=D57,1,0)</x:f>
        <x:v>1</x:v>
      </x:c>
      <x:c r="F57" s="1"/>
      <x:c r="G57" s="1"/>
    </x:row>
    <x:row r="58" ht="26" customHeight="1">
      <x:c r="A58" s="1" t="str">
        <x:v>Входы H</x:v>
      </x:c>
      <x:c r="B58" s="1" t="str">
        <x:v>C10</x:v>
      </x:c>
      <x:c r="C58" s="1">
        <x:v>0.20000000000000001</x:v>
      </x:c>
      <x:c r="D58" s="1">
        <x:f>'Входы H'!C10</x:f>
        <x:v>0.20000000000000001</x:v>
      </x:c>
      <x:c r="E58" s="1">
        <x:f>IF(C58=D58,1,0)</x:f>
        <x:v>1</x:v>
      </x:c>
      <x:c r="F58" s="1"/>
      <x:c r="G58" s="1"/>
    </x:row>
    <x:row r="59" ht="26" customHeight="1">
      <x:c r="A59" s="1" t="str">
        <x:v>Входы H</x:v>
      </x:c>
      <x:c r="B59" s="1" t="str">
        <x:v>D10</x:v>
      </x:c>
      <x:c r="C59" s="1">
        <x:v>0.25</x:v>
      </x:c>
      <x:c r="D59" s="1">
        <x:f>'Входы H'!D10</x:f>
        <x:v>0.25</x:v>
      </x:c>
      <x:c r="E59" s="1">
        <x:f>IF(C59=D59,1,0)</x:f>
        <x:v>1</x:v>
      </x:c>
      <x:c r="F59" s="1"/>
      <x:c r="G59" s="1"/>
    </x:row>
    <x:row r="60" ht="26" customHeight="1">
      <x:c r="A60" s="1" t="str">
        <x:v>Входы H</x:v>
      </x:c>
      <x:c r="B60" s="1" t="str">
        <x:v>E10</x:v>
      </x:c>
      <x:c r="C60" s="1">
        <x:v>0.10000000000000001</x:v>
      </x:c>
      <x:c r="D60" s="1">
        <x:f>'Входы H'!E10</x:f>
        <x:v>0.10000000000000001</x:v>
      </x:c>
      <x:c r="E60" s="1">
        <x:f>IF(C60=D60,1,0)</x:f>
        <x:v>1</x:v>
      </x:c>
      <x:c r="F60" s="1"/>
      <x:c r="G60" s="1"/>
    </x:row>
    <x:row r="61" ht="26" customHeight="1">
      <x:c r="A61" s="1" t="str">
        <x:v>Входы H</x:v>
      </x:c>
      <x:c r="B61" s="1" t="str">
        <x:v>F10</x:v>
      </x:c>
      <x:c r="C61" s="1">
        <x:v>0</x:v>
      </x:c>
      <x:c r="D61" s="1">
        <x:f>'Входы H'!F10</x:f>
        <x:v>0</x:v>
      </x:c>
      <x:c r="E61" s="1">
        <x:f>IF(C61=D61,1,0)</x:f>
        <x:v>1</x:v>
      </x:c>
      <x:c r="F61" s="1"/>
      <x:c r="G61" s="1"/>
    </x:row>
    <x:row r="62" ht="26" customHeight="1">
      <x:c r="A62" s="1" t="str">
        <x:v>Входы H</x:v>
      </x:c>
      <x:c r="B62" s="1" t="str">
        <x:v>G10</x:v>
      </x:c>
      <x:c r="C62" s="1">
        <x:v>0</x:v>
      </x:c>
      <x:c r="D62" s="1">
        <x:f>'Входы H'!G10</x:f>
        <x:v>0</x:v>
      </x:c>
      <x:c r="E62" s="1">
        <x:f>IF(C62=D62,1,0)</x:f>
        <x:v>1</x:v>
      </x:c>
      <x:c r="F62" s="1"/>
      <x:c r="G62" s="1"/>
    </x:row>
    <x:row r="63" ht="26" customHeight="1">
      <x:c r="A63" s="1" t="str">
        <x:v>Входы H</x:v>
      </x:c>
      <x:c r="B63" s="1" t="str">
        <x:v>H10</x:v>
      </x:c>
      <x:c r="C63" s="1">
        <x:v>0</x:v>
      </x:c>
      <x:c r="D63" s="1">
        <x:f>'Входы H'!H10</x:f>
        <x:v>0</x:v>
      </x:c>
      <x:c r="E63" s="1">
        <x:f>IF(C63=D63,1,0)</x:f>
        <x:v>1</x:v>
      </x:c>
      <x:c r="F63" s="1"/>
      <x:c r="G63" s="1"/>
    </x:row>
    <x:row r="64" ht="26" customHeight="1">
      <x:c r="A64" s="1" t="str">
        <x:v>Входы H</x:v>
      </x:c>
      <x:c r="B64" s="1" t="str">
        <x:v>C11</x:v>
      </x:c>
      <x:c r="C64" s="1">
        <x:v>0.20000000000000001</x:v>
      </x:c>
      <x:c r="D64" s="1">
        <x:f>'Входы H'!C11</x:f>
        <x:v>0.20000000000000001</x:v>
      </x:c>
      <x:c r="E64" s="1">
        <x:f>IF(C64=D64,1,0)</x:f>
        <x:v>1</x:v>
      </x:c>
      <x:c r="F64" s="1"/>
      <x:c r="G64" s="1"/>
    </x:row>
    <x:row r="65" ht="26" customHeight="1">
      <x:c r="A65" s="1" t="str">
        <x:v>Входы H</x:v>
      </x:c>
      <x:c r="B65" s="1" t="str">
        <x:v>D11</x:v>
      </x:c>
      <x:c r="C65" s="1">
        <x:v>0.25</x:v>
      </x:c>
      <x:c r="D65" s="1">
        <x:f>'Входы H'!D11</x:f>
        <x:v>0.25</x:v>
      </x:c>
      <x:c r="E65" s="1">
        <x:f>IF(C65=D65,1,0)</x:f>
        <x:v>1</x:v>
      </x:c>
      <x:c r="F65" s="1"/>
      <x:c r="G65" s="1"/>
    </x:row>
    <x:row r="66" ht="26" customHeight="1">
      <x:c r="A66" s="1" t="str">
        <x:v>Входы H</x:v>
      </x:c>
      <x:c r="B66" s="1" t="str">
        <x:v>E11</x:v>
      </x:c>
      <x:c r="C66" s="1">
        <x:v>0.10000000000000001</x:v>
      </x:c>
      <x:c r="D66" s="1">
        <x:f>'Входы H'!E11</x:f>
        <x:v>0.10000000000000001</x:v>
      </x:c>
      <x:c r="E66" s="1">
        <x:f>IF(C66=D66,1,0)</x:f>
        <x:v>1</x:v>
      </x:c>
      <x:c r="F66" s="1"/>
      <x:c r="G66" s="1"/>
    </x:row>
    <x:row r="67" ht="26" customHeight="1">
      <x:c r="A67" s="1" t="str">
        <x:v>Входы H</x:v>
      </x:c>
      <x:c r="B67" s="1" t="str">
        <x:v>F11</x:v>
      </x:c>
      <x:c r="C67" s="1">
        <x:v>0</x:v>
      </x:c>
      <x:c r="D67" s="1">
        <x:f>'Входы H'!F11</x:f>
        <x:v>0</x:v>
      </x:c>
      <x:c r="E67" s="1">
        <x:f>IF(C67=D67,1,0)</x:f>
        <x:v>1</x:v>
      </x:c>
      <x:c r="F67" s="1"/>
      <x:c r="G67" s="1"/>
    </x:row>
    <x:row r="68" ht="26" customHeight="1">
      <x:c r="A68" s="1" t="str">
        <x:v>Входы H</x:v>
      </x:c>
      <x:c r="B68" s="1" t="str">
        <x:v>G11</x:v>
      </x:c>
      <x:c r="C68" s="1">
        <x:v>0</x:v>
      </x:c>
      <x:c r="D68" s="1">
        <x:f>'Входы H'!G11</x:f>
        <x:v>0</x:v>
      </x:c>
      <x:c r="E68" s="1">
        <x:f>IF(C68=D68,1,0)</x:f>
        <x:v>1</x:v>
      </x:c>
      <x:c r="F68" s="1"/>
      <x:c r="G68" s="1"/>
    </x:row>
    <x:row r="69" ht="26" customHeight="1">
      <x:c r="A69" s="1" t="str">
        <x:v>Входы H</x:v>
      </x:c>
      <x:c r="B69" s="1" t="str">
        <x:v>H11</x:v>
      </x:c>
      <x:c r="C69" s="1">
        <x:v>0</x:v>
      </x:c>
      <x:c r="D69" s="1">
        <x:f>'Входы H'!H11</x:f>
        <x:v>0</x:v>
      </x:c>
      <x:c r="E69" s="1">
        <x:f>IF(C69=D69,1,0)</x:f>
        <x:v>1</x:v>
      </x:c>
      <x:c r="F69" s="1"/>
      <x:c r="G69" s="1"/>
    </x:row>
    <x:row r="70" ht="26" customHeight="1">
      <x:c r="A70" s="1" t="str">
        <x:v>Входы H</x:v>
      </x:c>
      <x:c r="B70" s="1" t="str">
        <x:v>C12</x:v>
      </x:c>
      <x:c r="C70" s="1">
        <x:v>0.20000000000000001</x:v>
      </x:c>
      <x:c r="D70" s="1">
        <x:f>'Входы H'!C12</x:f>
        <x:v>0.20000000000000001</x:v>
      </x:c>
      <x:c r="E70" s="1">
        <x:f>IF(C70=D70,1,0)</x:f>
        <x:v>1</x:v>
      </x:c>
      <x:c r="F70" s="1"/>
      <x:c r="G70" s="1"/>
    </x:row>
    <x:row r="71" ht="26" customHeight="1">
      <x:c r="A71" s="1" t="str">
        <x:v>Входы H</x:v>
      </x:c>
      <x:c r="B71" s="1" t="str">
        <x:v>D12</x:v>
      </x:c>
      <x:c r="C71" s="1">
        <x:v>0.25</x:v>
      </x:c>
      <x:c r="D71" s="1">
        <x:f>'Входы H'!D12</x:f>
        <x:v>0.25</x:v>
      </x:c>
      <x:c r="E71" s="1">
        <x:f>IF(C71=D71,1,0)</x:f>
        <x:v>1</x:v>
      </x:c>
      <x:c r="F71" s="1"/>
      <x:c r="G71" s="1"/>
    </x:row>
    <x:row r="72" ht="26" customHeight="1">
      <x:c r="A72" s="1" t="str">
        <x:v>Входы H</x:v>
      </x:c>
      <x:c r="B72" s="1" t="str">
        <x:v>E12</x:v>
      </x:c>
      <x:c r="C72" s="1">
        <x:v>0.10000000000000001</x:v>
      </x:c>
      <x:c r="D72" s="1">
        <x:f>'Входы H'!E12</x:f>
        <x:v>0.10000000000000001</x:v>
      </x:c>
      <x:c r="E72" s="1">
        <x:f>IF(C72=D72,1,0)</x:f>
        <x:v>1</x:v>
      </x:c>
      <x:c r="F72" s="1"/>
      <x:c r="G72" s="1"/>
    </x:row>
    <x:row r="73" ht="26" customHeight="1">
      <x:c r="A73" s="1" t="str">
        <x:v>Входы H</x:v>
      </x:c>
      <x:c r="B73" s="1" t="str">
        <x:v>F12</x:v>
      </x:c>
      <x:c r="C73" s="1">
        <x:v>0</x:v>
      </x:c>
      <x:c r="D73" s="1">
        <x:f>'Входы H'!F12</x:f>
        <x:v>0</x:v>
      </x:c>
      <x:c r="E73" s="1">
        <x:f>IF(C73=D73,1,0)</x:f>
        <x:v>1</x:v>
      </x:c>
      <x:c r="F73" s="1"/>
      <x:c r="G73" s="1"/>
    </x:row>
    <x:row r="74" ht="26" customHeight="1">
      <x:c r="A74" s="1" t="str">
        <x:v>Входы H</x:v>
      </x:c>
      <x:c r="B74" s="1" t="str">
        <x:v>G12</x:v>
      </x:c>
      <x:c r="C74" s="1">
        <x:v>0</x:v>
      </x:c>
      <x:c r="D74" s="1">
        <x:f>'Входы H'!G12</x:f>
        <x:v>0</x:v>
      </x:c>
      <x:c r="E74" s="1">
        <x:f>IF(C74=D74,1,0)</x:f>
        <x:v>1</x:v>
      </x:c>
      <x:c r="F74" s="1"/>
      <x:c r="G74" s="1"/>
    </x:row>
    <x:row r="75" ht="26" customHeight="1">
      <x:c r="A75" s="1" t="str">
        <x:v>Входы H</x:v>
      </x:c>
      <x:c r="B75" s="1" t="str">
        <x:v>H12</x:v>
      </x:c>
      <x:c r="C75" s="1">
        <x:v>0</x:v>
      </x:c>
      <x:c r="D75" s="1">
        <x:f>'Входы H'!H12</x:f>
        <x:v>0</x:v>
      </x:c>
      <x:c r="E75" s="1">
        <x:f>IF(C75=D75,1,0)</x:f>
        <x:v>1</x:v>
      </x:c>
      <x:c r="F75" s="1"/>
      <x:c r="G75" s="1"/>
    </x:row>
    <x:row r="76" ht="26" customHeight="1">
      <x:c r="A76" s="1" t="str">
        <x:v>Входы H</x:v>
      </x:c>
      <x:c r="B76" s="1" t="str">
        <x:v>C13</x:v>
      </x:c>
      <x:c r="C76" s="1">
        <x:v>0.10000000000000001</x:v>
      </x:c>
      <x:c r="D76" s="1">
        <x:f>'Входы H'!C13</x:f>
        <x:v>0.10000000000000001</x:v>
      </x:c>
      <x:c r="E76" s="1">
        <x:f>IF(C76=D76,1,0)</x:f>
        <x:v>1</x:v>
      </x:c>
      <x:c r="F76" s="1"/>
      <x:c r="G76" s="1"/>
    </x:row>
    <x:row r="77" ht="26" customHeight="1">
      <x:c r="A77" s="1" t="str">
        <x:v>Входы H</x:v>
      </x:c>
      <x:c r="B77" s="1" t="str">
        <x:v>D13</x:v>
      </x:c>
      <x:c r="C77" s="1">
        <x:v>0</x:v>
      </x:c>
      <x:c r="D77" s="1">
        <x:f>'Входы H'!D13</x:f>
        <x:v>0</x:v>
      </x:c>
      <x:c r="E77" s="1">
        <x:f>IF(C77=D77,1,0)</x:f>
        <x:v>1</x:v>
      </x:c>
      <x:c r="F77" s="1"/>
      <x:c r="G77" s="1"/>
    </x:row>
    <x:row r="78" ht="26" customHeight="1">
      <x:c r="A78" s="1" t="str">
        <x:v>Входы H</x:v>
      </x:c>
      <x:c r="B78" s="1" t="str">
        <x:v>E13</x:v>
      </x:c>
      <x:c r="C78" s="1">
        <x:v>0</x:v>
      </x:c>
      <x:c r="D78" s="1">
        <x:f>'Входы H'!E13</x:f>
        <x:v>0</x:v>
      </x:c>
      <x:c r="E78" s="1">
        <x:f>IF(C78=D78,1,0)</x:f>
        <x:v>1</x:v>
      </x:c>
      <x:c r="F78" s="1"/>
      <x:c r="G78" s="1"/>
    </x:row>
    <x:row r="79" ht="26" customHeight="1">
      <x:c r="A79" s="1" t="str">
        <x:v>Входы H</x:v>
      </x:c>
      <x:c r="B79" s="1" t="str">
        <x:v>F13</x:v>
      </x:c>
      <x:c r="C79" s="1">
        <x:v>0</x:v>
      </x:c>
      <x:c r="D79" s="1">
        <x:f>'Входы H'!F13</x:f>
        <x:v>0</x:v>
      </x:c>
      <x:c r="E79" s="1">
        <x:f>IF(C79=D79,1,0)</x:f>
        <x:v>1</x:v>
      </x:c>
      <x:c r="F79" s="1"/>
      <x:c r="G79" s="1"/>
    </x:row>
    <x:row r="80" ht="26" customHeight="1">
      <x:c r="A80" s="1" t="str">
        <x:v>Входы H</x:v>
      </x:c>
      <x:c r="B80" s="1" t="str">
        <x:v>G13</x:v>
      </x:c>
      <x:c r="C80" s="1">
        <x:v>0</x:v>
      </x:c>
      <x:c r="D80" s="1">
        <x:f>'Входы H'!G13</x:f>
        <x:v>0</x:v>
      </x:c>
      <x:c r="E80" s="1">
        <x:f>IF(C80=D80,1,0)</x:f>
        <x:v>1</x:v>
      </x:c>
      <x:c r="F80" s="1"/>
      <x:c r="G80" s="1"/>
    </x:row>
    <x:row r="81" ht="26" customHeight="1">
      <x:c r="A81" s="1" t="str">
        <x:v>Входы H</x:v>
      </x:c>
      <x:c r="B81" s="1" t="str">
        <x:v>H13</x:v>
      </x:c>
      <x:c r="C81" s="1">
        <x:v>0</x:v>
      </x:c>
      <x:c r="D81" s="1">
        <x:f>'Входы H'!H13</x:f>
        <x:v>0</x:v>
      </x:c>
      <x:c r="E81" s="1">
        <x:f>IF(C81=D81,1,0)</x:f>
        <x:v>1</x:v>
      </x:c>
      <x:c r="F81" s="1"/>
      <x:c r="G81" s="1"/>
    </x:row>
    <x:row r="82" ht="26" customHeight="1">
      <x:c r="A82" s="1" t="str">
        <x:v>Входы H</x:v>
      </x:c>
      <x:c r="B82" s="1" t="str">
        <x:v>C14</x:v>
      </x:c>
      <x:c r="C82" s="1">
        <x:v>0.40000000000000002</x:v>
      </x:c>
      <x:c r="D82" s="1">
        <x:f>'Входы H'!C14</x:f>
        <x:v>0.40000000000000002</x:v>
      </x:c>
      <x:c r="E82" s="1">
        <x:f>IF(C82=D82,1,0)</x:f>
        <x:v>1</x:v>
      </x:c>
      <x:c r="F82" s="1"/>
      <x:c r="G82" s="1"/>
    </x:row>
    <x:row r="83" ht="26" customHeight="1">
      <x:c r="A83" s="1" t="str">
        <x:v>Входы H</x:v>
      </x:c>
      <x:c r="B83" s="1" t="str">
        <x:v>D14</x:v>
      </x:c>
      <x:c r="C83" s="1">
        <x:v>0</x:v>
      </x:c>
      <x:c r="D83" s="1">
        <x:f>'Входы H'!D14</x:f>
        <x:v>0</x:v>
      </x:c>
      <x:c r="E83" s="1">
        <x:f>IF(C83=D83,1,0)</x:f>
        <x:v>1</x:v>
      </x:c>
      <x:c r="F83" s="1"/>
      <x:c r="G83" s="1"/>
    </x:row>
    <x:row r="84" ht="26" customHeight="1">
      <x:c r="A84" s="1" t="str">
        <x:v>Входы H</x:v>
      </x:c>
      <x:c r="B84" s="1" t="str">
        <x:v>E14</x:v>
      </x:c>
      <x:c r="C84" s="1">
        <x:v>0</x:v>
      </x:c>
      <x:c r="D84" s="1">
        <x:f>'Входы H'!E14</x:f>
        <x:v>0</x:v>
      </x:c>
      <x:c r="E84" s="1">
        <x:f>IF(C84=D84,1,0)</x:f>
        <x:v>1</x:v>
      </x:c>
      <x:c r="F84" s="1"/>
      <x:c r="G84" s="1"/>
    </x:row>
    <x:row r="85" ht="26" customHeight="1">
      <x:c r="A85" s="1" t="str">
        <x:v>Входы H</x:v>
      </x:c>
      <x:c r="B85" s="1" t="str">
        <x:v>F14</x:v>
      </x:c>
      <x:c r="C85" s="1">
        <x:v>0</x:v>
      </x:c>
      <x:c r="D85" s="1">
        <x:f>'Входы H'!F14</x:f>
        <x:v>0</x:v>
      </x:c>
      <x:c r="E85" s="1">
        <x:f>IF(C85=D85,1,0)</x:f>
        <x:v>1</x:v>
      </x:c>
      <x:c r="F85" s="1"/>
      <x:c r="G85" s="1"/>
    </x:row>
    <x:row r="86" ht="26" customHeight="1">
      <x:c r="A86" s="1" t="str">
        <x:v>Входы H</x:v>
      </x:c>
      <x:c r="B86" s="1" t="str">
        <x:v>G14</x:v>
      </x:c>
      <x:c r="C86" s="1">
        <x:v>0</x:v>
      </x:c>
      <x:c r="D86" s="1">
        <x:f>'Входы H'!G14</x:f>
        <x:v>0</x:v>
      </x:c>
      <x:c r="E86" s="1">
        <x:f>IF(C86=D86,1,0)</x:f>
        <x:v>1</x:v>
      </x:c>
      <x:c r="F86" s="1"/>
      <x:c r="G86" s="1"/>
    </x:row>
    <x:row r="87" ht="26" customHeight="1">
      <x:c r="A87" s="1" t="str">
        <x:v>Входы H</x:v>
      </x:c>
      <x:c r="B87" s="1" t="str">
        <x:v>H14</x:v>
      </x:c>
      <x:c r="C87" s="1">
        <x:v>0</x:v>
      </x:c>
      <x:c r="D87" s="1">
        <x:f>'Входы H'!H14</x:f>
        <x:v>0</x:v>
      </x:c>
      <x:c r="E87" s="1">
        <x:f>IF(C87=D87,1,0)</x:f>
        <x:v>1</x:v>
      </x:c>
      <x:c r="F87" s="1"/>
      <x:c r="G87" s="1"/>
    </x:row>
    <x:row r="88" ht="26" customHeight="1">
      <x:c r="A88" s="1" t="str">
        <x:v>Входы H</x:v>
      </x:c>
      <x:c r="B88" s="1" t="str">
        <x:v>C15</x:v>
      </x:c>
      <x:c r="C88" s="1">
        <x:v>0.40000000000000002</x:v>
      </x:c>
      <x:c r="D88" s="1">
        <x:f>'Входы H'!C15</x:f>
        <x:v>0.40000000000000002</x:v>
      </x:c>
      <x:c r="E88" s="1">
        <x:f>IF(C88=D88,1,0)</x:f>
        <x:v>1</x:v>
      </x:c>
      <x:c r="F88" s="1"/>
      <x:c r="G88" s="1"/>
    </x:row>
    <x:row r="89" ht="26" customHeight="1">
      <x:c r="A89" s="1" t="str">
        <x:v>Входы H</x:v>
      </x:c>
      <x:c r="B89" s="1" t="str">
        <x:v>D15</x:v>
      </x:c>
      <x:c r="C89" s="1">
        <x:v>0</x:v>
      </x:c>
      <x:c r="D89" s="1">
        <x:f>'Входы H'!D15</x:f>
        <x:v>0</x:v>
      </x:c>
      <x:c r="E89" s="1">
        <x:f>IF(C89=D89,1,0)</x:f>
        <x:v>1</x:v>
      </x:c>
      <x:c r="F89" s="1"/>
      <x:c r="G89" s="1"/>
    </x:row>
    <x:row r="90" ht="26" customHeight="1">
      <x:c r="A90" s="1" t="str">
        <x:v>Входы H</x:v>
      </x:c>
      <x:c r="B90" s="1" t="str">
        <x:v>E15</x:v>
      </x:c>
      <x:c r="C90" s="1">
        <x:v>0</x:v>
      </x:c>
      <x:c r="D90" s="1">
        <x:f>'Входы H'!E15</x:f>
        <x:v>0</x:v>
      </x:c>
      <x:c r="E90" s="1">
        <x:f>IF(C90=D90,1,0)</x:f>
        <x:v>1</x:v>
      </x:c>
      <x:c r="F90" s="1"/>
      <x:c r="G90" s="1"/>
    </x:row>
    <x:row r="91" ht="26" customHeight="1">
      <x:c r="A91" s="1" t="str">
        <x:v>Входы H</x:v>
      </x:c>
      <x:c r="B91" s="1" t="str">
        <x:v>F15</x:v>
      </x:c>
      <x:c r="C91" s="1">
        <x:v>0</x:v>
      </x:c>
      <x:c r="D91" s="1">
        <x:f>'Входы H'!F15</x:f>
        <x:v>0</x:v>
      </x:c>
      <x:c r="E91" s="1">
        <x:f>IF(C91=D91,1,0)</x:f>
        <x:v>1</x:v>
      </x:c>
      <x:c r="F91" s="1"/>
      <x:c r="G91" s="1"/>
    </x:row>
    <x:row r="92" ht="26" customHeight="1">
      <x:c r="A92" s="1" t="str">
        <x:v>Входы H</x:v>
      </x:c>
      <x:c r="B92" s="1" t="str">
        <x:v>G15</x:v>
      </x:c>
      <x:c r="C92" s="1">
        <x:v>0</x:v>
      </x:c>
      <x:c r="D92" s="1">
        <x:f>'Входы H'!G15</x:f>
        <x:v>0</x:v>
      </x:c>
      <x:c r="E92" s="1">
        <x:f>IF(C92=D92,1,0)</x:f>
        <x:v>1</x:v>
      </x:c>
      <x:c r="F92" s="1"/>
      <x:c r="G92" s="1"/>
    </x:row>
    <x:row r="93" ht="26" customHeight="1">
      <x:c r="A93" s="1" t="str">
        <x:v>Входы H</x:v>
      </x:c>
      <x:c r="B93" s="1" t="str">
        <x:v>H15</x:v>
      </x:c>
      <x:c r="C93" s="1">
        <x:v>0</x:v>
      </x:c>
      <x:c r="D93" s="1">
        <x:f>'Входы H'!H15</x:f>
        <x:v>0</x:v>
      </x:c>
      <x:c r="E93" s="1">
        <x:f>IF(C93=D93,1,0)</x:f>
        <x:v>1</x:v>
      </x:c>
      <x:c r="F93" s="1"/>
      <x:c r="G93" s="1"/>
    </x:row>
    <x:row r="94" ht="26" customHeight="1">
      <x:c r="A94" s="1" t="str">
        <x:v>Входы H</x:v>
      </x:c>
      <x:c r="B94" s="1" t="str">
        <x:v>C16</x:v>
      </x:c>
      <x:c r="C94" s="1">
        <x:v>0.10000000000000001</x:v>
      </x:c>
      <x:c r="D94" s="1">
        <x:f>'Входы H'!C16</x:f>
        <x:v>0.10000000000000001</x:v>
      </x:c>
      <x:c r="E94" s="1">
        <x:f>IF(C94=D94,1,0)</x:f>
        <x:v>1</x:v>
      </x:c>
      <x:c r="F94" s="1"/>
      <x:c r="G94" s="1"/>
    </x:row>
    <x:row r="95" ht="26" customHeight="1">
      <x:c r="A95" s="1" t="str">
        <x:v>Входы H</x:v>
      </x:c>
      <x:c r="B95" s="1" t="str">
        <x:v>D16</x:v>
      </x:c>
      <x:c r="C95" s="1">
        <x:v>0</x:v>
      </x:c>
      <x:c r="D95" s="1">
        <x:f>'Входы H'!D16</x:f>
        <x:v>0</x:v>
      </x:c>
      <x:c r="E95" s="1">
        <x:f>IF(C95=D95,1,0)</x:f>
        <x:v>1</x:v>
      </x:c>
      <x:c r="F95" s="1"/>
      <x:c r="G95" s="1"/>
    </x:row>
    <x:row r="96" ht="26" customHeight="1">
      <x:c r="A96" s="1" t="str">
        <x:v>Входы H</x:v>
      </x:c>
      <x:c r="B96" s="1" t="str">
        <x:v>E16</x:v>
      </x:c>
      <x:c r="C96" s="1">
        <x:v>0</x:v>
      </x:c>
      <x:c r="D96" s="1">
        <x:f>'Входы H'!E16</x:f>
        <x:v>0</x:v>
      </x:c>
      <x:c r="E96" s="1">
        <x:f>IF(C96=D96,1,0)</x:f>
        <x:v>1</x:v>
      </x:c>
      <x:c r="F96" s="1"/>
      <x:c r="G96" s="1"/>
    </x:row>
    <x:row r="97" ht="26" customHeight="1">
      <x:c r="A97" s="1" t="str">
        <x:v>Входы H</x:v>
      </x:c>
      <x:c r="B97" s="1" t="str">
        <x:v>F16</x:v>
      </x:c>
      <x:c r="C97" s="1">
        <x:v>0</x:v>
      </x:c>
      <x:c r="D97" s="1">
        <x:f>'Входы H'!F16</x:f>
        <x:v>0</x:v>
      </x:c>
      <x:c r="E97" s="1">
        <x:f>IF(C97=D97,1,0)</x:f>
        <x:v>1</x:v>
      </x:c>
      <x:c r="F97" s="1"/>
      <x:c r="G97" s="1"/>
    </x:row>
    <x:row r="98" ht="26" customHeight="1">
      <x:c r="A98" s="1" t="str">
        <x:v>Входы H</x:v>
      </x:c>
      <x:c r="B98" s="1" t="str">
        <x:v>G16</x:v>
      </x:c>
      <x:c r="C98" s="1">
        <x:v>0</x:v>
      </x:c>
      <x:c r="D98" s="1">
        <x:f>'Входы H'!G16</x:f>
        <x:v>0</x:v>
      </x:c>
      <x:c r="E98" s="1">
        <x:f>IF(C98=D98,1,0)</x:f>
        <x:v>1</x:v>
      </x:c>
      <x:c r="F98" s="1"/>
      <x:c r="G98" s="1"/>
    </x:row>
    <x:row r="99" ht="26" customHeight="1">
      <x:c r="A99" s="1" t="str">
        <x:v>Входы H</x:v>
      </x:c>
      <x:c r="B99" s="1" t="str">
        <x:v>H16</x:v>
      </x:c>
      <x:c r="C99" s="1">
        <x:v>0</x:v>
      </x:c>
      <x:c r="D99" s="1">
        <x:f>'Входы H'!H16</x:f>
        <x:v>0</x:v>
      </x:c>
      <x:c r="E99" s="1">
        <x:f>IF(C99=D99,1,0)</x:f>
        <x:v>1</x:v>
      </x:c>
      <x:c r="F99" s="1"/>
      <x:c r="G99" s="1"/>
    </x:row>
    <x:row r="100" ht="26" customHeight="1">
      <x:c r="A100" s="1" t="str">
        <x:v>Входы H</x:v>
      </x:c>
      <x:c r="B100" s="1" t="str">
        <x:v>C17</x:v>
      </x:c>
      <x:c r="C100" s="1">
        <x:v>0.20000000000000001</x:v>
      </x:c>
      <x:c r="D100" s="1">
        <x:f>'Входы H'!C17</x:f>
        <x:v>0.20000000000000001</x:v>
      </x:c>
      <x:c r="E100" s="1">
        <x:f>IF(C100=D100,1,0)</x:f>
        <x:v>1</x:v>
      </x:c>
      <x:c r="F100" s="1"/>
      <x:c r="G100" s="1"/>
    </x:row>
    <x:row r="101" ht="26" customHeight="1">
      <x:c r="A101" s="1" t="str">
        <x:v>Входы H</x:v>
      </x:c>
      <x:c r="B101" s="1" t="str">
        <x:v>D17</x:v>
      </x:c>
      <x:c r="C101" s="1">
        <x:v>0.20000000000000001</x:v>
      </x:c>
      <x:c r="D101" s="1">
        <x:f>'Входы H'!D17</x:f>
        <x:v>0.20000000000000001</x:v>
      </x:c>
      <x:c r="E101" s="1">
        <x:f>IF(C101=D101,1,0)</x:f>
        <x:v>1</x:v>
      </x:c>
      <x:c r="F101" s="1"/>
      <x:c r="G101" s="1"/>
    </x:row>
    <x:row r="102" ht="26" customHeight="1">
      <x:c r="A102" s="1" t="str">
        <x:v>Входы H</x:v>
      </x:c>
      <x:c r="B102" s="1" t="str">
        <x:v>E17</x:v>
      </x:c>
      <x:c r="C102" s="1">
        <x:v>0.10000000000000001</x:v>
      </x:c>
      <x:c r="D102" s="1">
        <x:f>'Входы H'!E17</x:f>
        <x:v>0.10000000000000001</x:v>
      </x:c>
      <x:c r="E102" s="1">
        <x:f>IF(C102=D102,1,0)</x:f>
        <x:v>1</x:v>
      </x:c>
      <x:c r="F102" s="1"/>
      <x:c r="G102" s="1"/>
    </x:row>
    <x:row r="103" ht="26" customHeight="1">
      <x:c r="A103" s="1" t="str">
        <x:v>Входы H</x:v>
      </x:c>
      <x:c r="B103" s="1" t="str">
        <x:v>F17</x:v>
      </x:c>
      <x:c r="C103" s="1">
        <x:v>0</x:v>
      </x:c>
      <x:c r="D103" s="1">
        <x:f>'Входы H'!F17</x:f>
        <x:v>0</x:v>
      </x:c>
      <x:c r="E103" s="1">
        <x:f>IF(C103=D103,1,0)</x:f>
        <x:v>1</x:v>
      </x:c>
      <x:c r="F103" s="1"/>
      <x:c r="G103" s="1"/>
    </x:row>
    <x:row r="104" ht="26" customHeight="1">
      <x:c r="A104" s="1" t="str">
        <x:v>Входы H</x:v>
      </x:c>
      <x:c r="B104" s="1" t="str">
        <x:v>G17</x:v>
      </x:c>
      <x:c r="C104" s="1">
        <x:v>0</x:v>
      </x:c>
      <x:c r="D104" s="1">
        <x:f>'Входы H'!G17</x:f>
        <x:v>0</x:v>
      </x:c>
      <x:c r="E104" s="1">
        <x:f>IF(C104=D104,1,0)</x:f>
        <x:v>1</x:v>
      </x:c>
      <x:c r="F104" s="1"/>
      <x:c r="G104" s="1"/>
    </x:row>
    <x:row r="105" ht="26" customHeight="1">
      <x:c r="A105" s="1" t="str">
        <x:v>Входы H</x:v>
      </x:c>
      <x:c r="B105" s="1" t="str">
        <x:v>H17</x:v>
      </x:c>
      <x:c r="C105" s="1">
        <x:v>0</x:v>
      </x:c>
      <x:c r="D105" s="1">
        <x:f>'Входы H'!H17</x:f>
        <x:v>0</x:v>
      </x:c>
      <x:c r="E105" s="1">
        <x:f>IF(C105=D105,1,0)</x:f>
        <x:v>1</x:v>
      </x:c>
      <x:c r="F105" s="1"/>
      <x:c r="G105" s="1"/>
    </x:row>
    <x:row r="106" ht="26" customHeight="1">
      <x:c r="A106" s="1" t="str">
        <x:v>Входы H</x:v>
      </x:c>
      <x:c r="B106" s="1" t="str">
        <x:v>C18</x:v>
      </x:c>
      <x:c r="C106" s="1">
        <x:v>0.29999999999999999</x:v>
      </x:c>
      <x:c r="D106" s="1">
        <x:f>'Входы H'!C18</x:f>
        <x:v>0.29999999999999999</x:v>
      </x:c>
      <x:c r="E106" s="1">
        <x:f>IF(C106=D106,1,0)</x:f>
        <x:v>1</x:v>
      </x:c>
      <x:c r="F106" s="1"/>
      <x:c r="G106" s="1"/>
    </x:row>
    <x:row r="107" ht="26" customHeight="1">
      <x:c r="A107" s="1" t="str">
        <x:v>Входы H</x:v>
      </x:c>
      <x:c r="B107" s="1" t="str">
        <x:v>D18</x:v>
      </x:c>
      <x:c r="C107" s="1">
        <x:v>0.29999999999999999</x:v>
      </x:c>
      <x:c r="D107" s="1">
        <x:f>'Входы H'!D18</x:f>
        <x:v>0.29999999999999999</x:v>
      </x:c>
      <x:c r="E107" s="1">
        <x:f>IF(C107=D107,1,0)</x:f>
        <x:v>1</x:v>
      </x:c>
      <x:c r="F107" s="1"/>
      <x:c r="G107" s="1"/>
    </x:row>
    <x:row r="108" ht="26" customHeight="1">
      <x:c r="A108" s="1" t="str">
        <x:v>Входы H</x:v>
      </x:c>
      <x:c r="B108" s="1" t="str">
        <x:v>E18</x:v>
      </x:c>
      <x:c r="C108" s="1">
        <x:v>0.10000000000000001</x:v>
      </x:c>
      <x:c r="D108" s="1">
        <x:f>'Входы H'!E18</x:f>
        <x:v>0.10000000000000001</x:v>
      </x:c>
      <x:c r="E108" s="1">
        <x:f>IF(C108=D108,1,0)</x:f>
        <x:v>1</x:v>
      </x:c>
      <x:c r="F108" s="1"/>
      <x:c r="G108" s="1"/>
    </x:row>
    <x:row r="109" ht="26" customHeight="1">
      <x:c r="A109" s="1" t="str">
        <x:v>Входы H</x:v>
      </x:c>
      <x:c r="B109" s="1" t="str">
        <x:v>F18</x:v>
      </x:c>
      <x:c r="C109" s="1">
        <x:v>0</x:v>
      </x:c>
      <x:c r="D109" s="1">
        <x:f>'Входы H'!F18</x:f>
        <x:v>0</x:v>
      </x:c>
      <x:c r="E109" s="1">
        <x:f>IF(C109=D109,1,0)</x:f>
        <x:v>1</x:v>
      </x:c>
      <x:c r="F109" s="1"/>
      <x:c r="G109" s="1"/>
    </x:row>
    <x:row r="110" ht="26" customHeight="1">
      <x:c r="A110" s="1" t="str">
        <x:v>Входы H</x:v>
      </x:c>
      <x:c r="B110" s="1" t="str">
        <x:v>G18</x:v>
      </x:c>
      <x:c r="C110" s="1">
        <x:v>0</x:v>
      </x:c>
      <x:c r="D110" s="1">
        <x:f>'Входы H'!G18</x:f>
        <x:v>0</x:v>
      </x:c>
      <x:c r="E110" s="1">
        <x:f>IF(C110=D110,1,0)</x:f>
        <x:v>1</x:v>
      </x:c>
      <x:c r="F110" s="1"/>
      <x:c r="G110" s="1"/>
    </x:row>
    <x:row r="111" ht="26" customHeight="1">
      <x:c r="A111" s="1" t="str">
        <x:v>Входы H</x:v>
      </x:c>
      <x:c r="B111" s="1" t="str">
        <x:v>H18</x:v>
      </x:c>
      <x:c r="C111" s="1">
        <x:v>0</x:v>
      </x:c>
      <x:c r="D111" s="1">
        <x:f>'Входы H'!H18</x:f>
        <x:v>0</x:v>
      </x:c>
      <x:c r="E111" s="1">
        <x:f>IF(C111=D111,1,0)</x:f>
        <x:v>1</x:v>
      </x:c>
      <x:c r="F111" s="1"/>
      <x:c r="G111" s="1"/>
    </x:row>
    <x:row r="112" ht="26" customHeight="1">
      <x:c r="A112" s="1" t="str">
        <x:v>Входы H</x:v>
      </x:c>
      <x:c r="B112" s="1" t="str">
        <x:v>C19</x:v>
      </x:c>
      <x:c r="C112" s="1">
        <x:v>0.29999999999999999</x:v>
      </x:c>
      <x:c r="D112" s="1">
        <x:f>'Входы H'!C19</x:f>
        <x:v>0.29999999999999999</x:v>
      </x:c>
      <x:c r="E112" s="1">
        <x:f>IF(C112=D112,1,0)</x:f>
        <x:v>1</x:v>
      </x:c>
      <x:c r="F112" s="1"/>
      <x:c r="G112" s="1"/>
    </x:row>
    <x:row r="113" ht="26" customHeight="1">
      <x:c r="A113" s="1" t="str">
        <x:v>Входы H</x:v>
      </x:c>
      <x:c r="B113" s="1" t="str">
        <x:v>D19</x:v>
      </x:c>
      <x:c r="C113" s="1">
        <x:v>0.29999999999999999</x:v>
      </x:c>
      <x:c r="D113" s="1">
        <x:f>'Входы H'!D19</x:f>
        <x:v>0.29999999999999999</x:v>
      </x:c>
      <x:c r="E113" s="1">
        <x:f>IF(C113=D113,1,0)</x:f>
        <x:v>1</x:v>
      </x:c>
      <x:c r="F113" s="1"/>
      <x:c r="G113" s="1"/>
    </x:row>
    <x:row r="114" ht="26" customHeight="1">
      <x:c r="A114" s="1" t="str">
        <x:v>Входы H</x:v>
      </x:c>
      <x:c r="B114" s="1" t="str">
        <x:v>E19</x:v>
      </x:c>
      <x:c r="C114" s="1">
        <x:v>0.10000000000000001</x:v>
      </x:c>
      <x:c r="D114" s="1">
        <x:f>'Входы H'!E19</x:f>
        <x:v>0.10000000000000001</x:v>
      </x:c>
      <x:c r="E114" s="1">
        <x:f>IF(C114=D114,1,0)</x:f>
        <x:v>1</x:v>
      </x:c>
      <x:c r="F114" s="1"/>
      <x:c r="G114" s="1"/>
    </x:row>
    <x:row r="115" ht="26" customHeight="1">
      <x:c r="A115" s="1" t="str">
        <x:v>Входы H</x:v>
      </x:c>
      <x:c r="B115" s="1" t="str">
        <x:v>F19</x:v>
      </x:c>
      <x:c r="C115" s="1">
        <x:v>0</x:v>
      </x:c>
      <x:c r="D115" s="1">
        <x:f>'Входы H'!F19</x:f>
        <x:v>0</x:v>
      </x:c>
      <x:c r="E115" s="1">
        <x:f>IF(C115=D115,1,0)</x:f>
        <x:v>1</x:v>
      </x:c>
      <x:c r="F115" s="1"/>
      <x:c r="G115" s="1"/>
    </x:row>
    <x:row r="116" ht="26" customHeight="1">
      <x:c r="A116" s="1" t="str">
        <x:v>Входы H</x:v>
      </x:c>
      <x:c r="B116" s="1" t="str">
        <x:v>G19</x:v>
      </x:c>
      <x:c r="C116" s="1">
        <x:v>0</x:v>
      </x:c>
      <x:c r="D116" s="1">
        <x:f>'Входы H'!G19</x:f>
        <x:v>0</x:v>
      </x:c>
      <x:c r="E116" s="1">
        <x:f>IF(C116=D116,1,0)</x:f>
        <x:v>1</x:v>
      </x:c>
      <x:c r="F116" s="1"/>
      <x:c r="G116" s="1"/>
    </x:row>
    <x:row r="117" ht="26" customHeight="1">
      <x:c r="A117" s="1" t="str">
        <x:v>Входы H</x:v>
      </x:c>
      <x:c r="B117" s="1" t="str">
        <x:v>H19</x:v>
      </x:c>
      <x:c r="C117" s="1">
        <x:v>0</x:v>
      </x:c>
      <x:c r="D117" s="1">
        <x:f>'Входы H'!H19</x:f>
        <x:v>0</x:v>
      </x:c>
      <x:c r="E117" s="1">
        <x:f>IF(C117=D117,1,0)</x:f>
        <x:v>1</x:v>
      </x:c>
      <x:c r="F117" s="1"/>
      <x:c r="G117" s="1"/>
    </x:row>
    <x:row r="118" ht="26" customHeight="1">
      <x:c r="A118" s="1" t="str">
        <x:v>Входы H</x:v>
      </x:c>
      <x:c r="B118" s="1" t="str">
        <x:v>C20</x:v>
      </x:c>
      <x:c r="C118" s="1">
        <x:v>0.20000000000000001</x:v>
      </x:c>
      <x:c r="D118" s="1">
        <x:f>'Входы H'!C20</x:f>
        <x:v>0.20000000000000001</x:v>
      </x:c>
      <x:c r="E118" s="1">
        <x:f>IF(C118=D118,1,0)</x:f>
        <x:v>1</x:v>
      </x:c>
      <x:c r="F118" s="1"/>
      <x:c r="G118" s="1"/>
    </x:row>
    <x:row r="119" ht="26" customHeight="1">
      <x:c r="A119" s="1" t="str">
        <x:v>Входы H</x:v>
      </x:c>
      <x:c r="B119" s="1" t="str">
        <x:v>D20</x:v>
      </x:c>
      <x:c r="C119" s="1">
        <x:v>0.20000000000000001</x:v>
      </x:c>
      <x:c r="D119" s="1">
        <x:f>'Входы H'!D20</x:f>
        <x:v>0.20000000000000001</x:v>
      </x:c>
      <x:c r="E119" s="1">
        <x:f>IF(C119=D119,1,0)</x:f>
        <x:v>1</x:v>
      </x:c>
      <x:c r="F119" s="1"/>
      <x:c r="G119" s="1"/>
    </x:row>
    <x:row r="120" ht="26" customHeight="1">
      <x:c r="A120" s="1" t="str">
        <x:v>Входы H</x:v>
      </x:c>
      <x:c r="B120" s="1" t="str">
        <x:v>E20</x:v>
      </x:c>
      <x:c r="C120" s="1">
        <x:v>0.10000000000000001</x:v>
      </x:c>
      <x:c r="D120" s="1">
        <x:f>'Входы H'!E20</x:f>
        <x:v>0.10000000000000001</x:v>
      </x:c>
      <x:c r="E120" s="1">
        <x:f>IF(C120=D120,1,0)</x:f>
        <x:v>1</x:v>
      </x:c>
      <x:c r="F120" s="1"/>
      <x:c r="G120" s="1"/>
    </x:row>
    <x:row r="121" ht="26" customHeight="1">
      <x:c r="A121" s="1" t="str">
        <x:v>Входы H</x:v>
      </x:c>
      <x:c r="B121" s="1" t="str">
        <x:v>F20</x:v>
      </x:c>
      <x:c r="C121" s="1">
        <x:v>0</x:v>
      </x:c>
      <x:c r="D121" s="1">
        <x:f>'Входы H'!F20</x:f>
        <x:v>0</x:v>
      </x:c>
      <x:c r="E121" s="1">
        <x:f>IF(C121=D121,1,0)</x:f>
        <x:v>1</x:v>
      </x:c>
      <x:c r="F121" s="1"/>
      <x:c r="G121" s="1"/>
    </x:row>
    <x:row r="122" ht="26" customHeight="1">
      <x:c r="A122" s="1" t="str">
        <x:v>Входы H</x:v>
      </x:c>
      <x:c r="B122" s="1" t="str">
        <x:v>G20</x:v>
      </x:c>
      <x:c r="C122" s="1">
        <x:v>0</x:v>
      </x:c>
      <x:c r="D122" s="1">
        <x:f>'Входы H'!G20</x:f>
        <x:v>0</x:v>
      </x:c>
      <x:c r="E122" s="1">
        <x:f>IF(C122=D122,1,0)</x:f>
        <x:v>1</x:v>
      </x:c>
      <x:c r="F122" s="1"/>
      <x:c r="G122" s="1"/>
    </x:row>
    <x:row r="123" ht="26" customHeight="1">
      <x:c r="A123" s="1" t="str">
        <x:v>Входы H</x:v>
      </x:c>
      <x:c r="B123" s="1" t="str">
        <x:v>H20</x:v>
      </x:c>
      <x:c r="C123" s="1">
        <x:v>0</x:v>
      </x:c>
      <x:c r="D123" s="1">
        <x:f>'Входы H'!H20</x:f>
        <x:v>0</x:v>
      </x:c>
      <x:c r="E123" s="1">
        <x:f>IF(C123=D123,1,0)</x:f>
        <x:v>1</x:v>
      </x:c>
      <x:c r="F123" s="1"/>
      <x:c r="G123" s="1"/>
    </x:row>
    <x:row r="124" ht="26" customHeight="1">
      <x:c r="A124" s="1" t="str">
        <x:v>Входы H</x:v>
      </x:c>
      <x:c r="B124" s="1" t="str">
        <x:v>C21</x:v>
      </x:c>
      <x:c r="C124" s="1">
        <x:v>0</x:v>
      </x:c>
      <x:c r="D124" s="1">
        <x:f>'Входы H'!C21</x:f>
        <x:v>0</x:v>
      </x:c>
      <x:c r="E124" s="1">
        <x:f>IF(C124=D124,1,0)</x:f>
        <x:v>1</x:v>
      </x:c>
      <x:c r="F124" s="1"/>
      <x:c r="G124" s="1"/>
    </x:row>
    <x:row r="125" ht="26" customHeight="1">
      <x:c r="A125" s="1" t="str">
        <x:v>Входы H</x:v>
      </x:c>
      <x:c r="B125" s="1" t="str">
        <x:v>D21</x:v>
      </x:c>
      <x:c r="C125" s="1">
        <x:v>0.5</x:v>
      </x:c>
      <x:c r="D125" s="1">
        <x:f>'Входы H'!D21</x:f>
        <x:v>0.5</x:v>
      </x:c>
      <x:c r="E125" s="1">
        <x:f>IF(C125=D125,1,0)</x:f>
        <x:v>1</x:v>
      </x:c>
      <x:c r="F125" s="1"/>
      <x:c r="G125" s="1"/>
    </x:row>
    <x:row r="126" ht="26" customHeight="1">
      <x:c r="A126" s="1" t="str">
        <x:v>Входы H</x:v>
      </x:c>
      <x:c r="B126" s="1" t="str">
        <x:v>E21</x:v>
      </x:c>
      <x:c r="C126" s="1">
        <x:v>0</x:v>
      </x:c>
      <x:c r="D126" s="1">
        <x:f>'Входы H'!E21</x:f>
        <x:v>0</x:v>
      </x:c>
      <x:c r="E126" s="1">
        <x:f>IF(C126=D126,1,0)</x:f>
        <x:v>1</x:v>
      </x:c>
      <x:c r="F126" s="1"/>
      <x:c r="G126" s="1"/>
    </x:row>
    <x:row r="127" ht="26" customHeight="1">
      <x:c r="A127" s="1" t="str">
        <x:v>Входы H</x:v>
      </x:c>
      <x:c r="B127" s="1" t="str">
        <x:v>F21</x:v>
      </x:c>
      <x:c r="C127" s="1">
        <x:v>0</x:v>
      </x:c>
      <x:c r="D127" s="1">
        <x:f>'Входы H'!F21</x:f>
        <x:v>0</x:v>
      </x:c>
      <x:c r="E127" s="1">
        <x:f>IF(C127=D127,1,0)</x:f>
        <x:v>1</x:v>
      </x:c>
      <x:c r="F127" s="1"/>
      <x:c r="G127" s="1"/>
    </x:row>
    <x:row r="128" ht="26" customHeight="1">
      <x:c r="A128" s="1" t="str">
        <x:v>Входы H</x:v>
      </x:c>
      <x:c r="B128" s="1" t="str">
        <x:v>G21</x:v>
      </x:c>
      <x:c r="C128" s="1">
        <x:v>0</x:v>
      </x:c>
      <x:c r="D128" s="1">
        <x:f>'Входы H'!G21</x:f>
        <x:v>0</x:v>
      </x:c>
      <x:c r="E128" s="1">
        <x:f>IF(C128=D128,1,0)</x:f>
        <x:v>1</x:v>
      </x:c>
      <x:c r="F128" s="1"/>
      <x:c r="G128" s="1"/>
    </x:row>
    <x:row r="129" ht="26" customHeight="1">
      <x:c r="A129" s="1" t="str">
        <x:v>Входы H</x:v>
      </x:c>
      <x:c r="B129" s="1" t="str">
        <x:v>H21</x:v>
      </x:c>
      <x:c r="C129" s="1">
        <x:v>0</x:v>
      </x:c>
      <x:c r="D129" s="1">
        <x:f>'Входы H'!H21</x:f>
        <x:v>0</x:v>
      </x:c>
      <x:c r="E129" s="1">
        <x:f>IF(C129=D129,1,0)</x:f>
        <x:v>1</x:v>
      </x:c>
      <x:c r="F129" s="1"/>
      <x:c r="G129" s="1"/>
    </x:row>
    <x:row r="130" ht="26" customHeight="1">
      <x:c r="A130" s="1" t="str">
        <x:v>Входы H</x:v>
      </x:c>
      <x:c r="B130" s="1" t="str">
        <x:v>C22</x:v>
      </x:c>
      <x:c r="C130" s="1">
        <x:v>0</x:v>
      </x:c>
      <x:c r="D130" s="1">
        <x:f>'Входы H'!C22</x:f>
        <x:v>0</x:v>
      </x:c>
      <x:c r="E130" s="1">
        <x:f>IF(C130=D130,1,0)</x:f>
        <x:v>1</x:v>
      </x:c>
      <x:c r="F130" s="1"/>
      <x:c r="G130" s="1"/>
    </x:row>
    <x:row r="131" ht="26" customHeight="1">
      <x:c r="A131" s="1" t="str">
        <x:v>Входы H</x:v>
      </x:c>
      <x:c r="B131" s="1" t="str">
        <x:v>D22</x:v>
      </x:c>
      <x:c r="C131" s="1">
        <x:v>0.5</x:v>
      </x:c>
      <x:c r="D131" s="1">
        <x:f>'Входы H'!D22</x:f>
        <x:v>0.5</x:v>
      </x:c>
      <x:c r="E131" s="1">
        <x:f>IF(C131=D131,1,0)</x:f>
        <x:v>1</x:v>
      </x:c>
      <x:c r="F131" s="1"/>
      <x:c r="G131" s="1"/>
    </x:row>
    <x:row r="132" ht="26" customHeight="1">
      <x:c r="A132" s="1" t="str">
        <x:v>Входы H</x:v>
      </x:c>
      <x:c r="B132" s="1" t="str">
        <x:v>E22</x:v>
      </x:c>
      <x:c r="C132" s="1">
        <x:v>0</x:v>
      </x:c>
      <x:c r="D132" s="1">
        <x:f>'Входы H'!E22</x:f>
        <x:v>0</x:v>
      </x:c>
      <x:c r="E132" s="1">
        <x:f>IF(C132=D132,1,0)</x:f>
        <x:v>1</x:v>
      </x:c>
      <x:c r="F132" s="1"/>
      <x:c r="G132" s="1"/>
    </x:row>
    <x:row r="133" ht="26" customHeight="1">
      <x:c r="A133" s="1" t="str">
        <x:v>Входы H</x:v>
      </x:c>
      <x:c r="B133" s="1" t="str">
        <x:v>F22</x:v>
      </x:c>
      <x:c r="C133" s="1">
        <x:v>0</x:v>
      </x:c>
      <x:c r="D133" s="1">
        <x:f>'Входы H'!F22</x:f>
        <x:v>0</x:v>
      </x:c>
      <x:c r="E133" s="1">
        <x:f>IF(C133=D133,1,0)</x:f>
        <x:v>1</x:v>
      </x:c>
      <x:c r="F133" s="1"/>
      <x:c r="G133" s="1"/>
    </x:row>
    <x:row r="134" ht="26" customHeight="1">
      <x:c r="A134" s="1" t="str">
        <x:v>Входы H</x:v>
      </x:c>
      <x:c r="B134" s="1" t="str">
        <x:v>G22</x:v>
      </x:c>
      <x:c r="C134" s="1">
        <x:v>0</x:v>
      </x:c>
      <x:c r="D134" s="1">
        <x:f>'Входы H'!G22</x:f>
        <x:v>0</x:v>
      </x:c>
      <x:c r="E134" s="1">
        <x:f>IF(C134=D134,1,0)</x:f>
        <x:v>1</x:v>
      </x:c>
      <x:c r="F134" s="1"/>
      <x:c r="G134" s="1"/>
    </x:row>
    <x:row r="135" ht="26" customHeight="1">
      <x:c r="A135" s="1" t="str">
        <x:v>Входы H</x:v>
      </x:c>
      <x:c r="B135" s="1" t="str">
        <x:v>H22</x:v>
      </x:c>
      <x:c r="C135" s="1">
        <x:v>0</x:v>
      </x:c>
      <x:c r="D135" s="1">
        <x:f>'Входы H'!H22</x:f>
        <x:v>0</x:v>
      </x:c>
      <x:c r="E135" s="1">
        <x:f>IF(C135=D135,1,0)</x:f>
        <x:v>1</x:v>
      </x:c>
      <x:c r="F135" s="1"/>
      <x:c r="G135" s="1"/>
    </x:row>
    <x:row r="136" ht="26" customHeight="1">
      <x:c r="A136" s="1" t="str">
        <x:v>Входы H</x:v>
      </x:c>
      <x:c r="B136" s="1" t="str">
        <x:v>C23</x:v>
      </x:c>
      <x:c r="C136" s="1">
        <x:v>0</x:v>
      </x:c>
      <x:c r="D136" s="1">
        <x:f>'Входы H'!C23</x:f>
        <x:v>0</x:v>
      </x:c>
      <x:c r="E136" s="1">
        <x:f>IF(C136=D136,1,0)</x:f>
        <x:v>1</x:v>
      </x:c>
      <x:c r="F136" s="1"/>
      <x:c r="G136" s="1"/>
    </x:row>
    <x:row r="137" ht="26" customHeight="1">
      <x:c r="A137" s="1" t="str">
        <x:v>Входы H</x:v>
      </x:c>
      <x:c r="B137" s="1" t="str">
        <x:v>D23</x:v>
      </x:c>
      <x:c r="C137" s="1">
        <x:v>0.20000000000000001</x:v>
      </x:c>
      <x:c r="D137" s="1">
        <x:f>'Входы H'!D23</x:f>
        <x:v>0.20000000000000001</x:v>
      </x:c>
      <x:c r="E137" s="1">
        <x:f>IF(C137=D137,1,0)</x:f>
        <x:v>1</x:v>
      </x:c>
      <x:c r="F137" s="1"/>
      <x:c r="G137" s="1"/>
    </x:row>
    <x:row r="138" ht="26" customHeight="1">
      <x:c r="A138" s="1" t="str">
        <x:v>Входы H</x:v>
      </x:c>
      <x:c r="B138" s="1" t="str">
        <x:v>E23</x:v>
      </x:c>
      <x:c r="C138" s="1">
        <x:v>0</x:v>
      </x:c>
      <x:c r="D138" s="1">
        <x:f>'Входы H'!E23</x:f>
        <x:v>0</x:v>
      </x:c>
      <x:c r="E138" s="1">
        <x:f>IF(C138=D138,1,0)</x:f>
        <x:v>1</x:v>
      </x:c>
      <x:c r="F138" s="1"/>
      <x:c r="G138" s="1"/>
    </x:row>
    <x:row r="139" ht="26" customHeight="1">
      <x:c r="A139" s="1" t="str">
        <x:v>Входы H</x:v>
      </x:c>
      <x:c r="B139" s="1" t="str">
        <x:v>F23</x:v>
      </x:c>
      <x:c r="C139" s="1">
        <x:v>0</x:v>
      </x:c>
      <x:c r="D139" s="1">
        <x:f>'Входы H'!F23</x:f>
        <x:v>0</x:v>
      </x:c>
      <x:c r="E139" s="1">
        <x:f>IF(C139=D139,1,0)</x:f>
        <x:v>1</x:v>
      </x:c>
      <x:c r="F139" s="1"/>
      <x:c r="G139" s="1"/>
    </x:row>
    <x:row r="140" ht="26" customHeight="1">
      <x:c r="A140" s="1" t="str">
        <x:v>Входы H</x:v>
      </x:c>
      <x:c r="B140" s="1" t="str">
        <x:v>G23</x:v>
      </x:c>
      <x:c r="C140" s="1">
        <x:v>0</x:v>
      </x:c>
      <x:c r="D140" s="1">
        <x:f>'Входы H'!G23</x:f>
        <x:v>0</x:v>
      </x:c>
      <x:c r="E140" s="1">
        <x:f>IF(C140=D140,1,0)</x:f>
        <x:v>1</x:v>
      </x:c>
      <x:c r="F140" s="1"/>
      <x:c r="G140" s="1"/>
    </x:row>
    <x:row r="141" ht="26" customHeight="1">
      <x:c r="A141" s="1" t="str">
        <x:v>Входы H</x:v>
      </x:c>
      <x:c r="B141" s="1" t="str">
        <x:v>H23</x:v>
      </x:c>
      <x:c r="C141" s="1">
        <x:v>0</x:v>
      </x:c>
      <x:c r="D141" s="1">
        <x:f>'Входы H'!H23</x:f>
        <x:v>0</x:v>
      </x:c>
      <x:c r="E141" s="1">
        <x:f>IF(C141=D141,1,0)</x:f>
        <x:v>1</x:v>
      </x:c>
      <x:c r="F141" s="1"/>
      <x:c r="G141" s="1"/>
    </x:row>
    <x:row r="142" ht="26" customHeight="1">
      <x:c r="A142" s="1" t="str">
        <x:v>Входы H</x:v>
      </x:c>
      <x:c r="B142" s="1" t="str">
        <x:v>C24</x:v>
      </x:c>
      <x:c r="C142" s="1">
        <x:v>0</x:v>
      </x:c>
      <x:c r="D142" s="1">
        <x:f>'Входы H'!C24</x:f>
        <x:v>0</x:v>
      </x:c>
      <x:c r="E142" s="1">
        <x:f>IF(C142=D142,1,0)</x:f>
        <x:v>1</x:v>
      </x:c>
      <x:c r="F142" s="1"/>
      <x:c r="G142" s="1"/>
    </x:row>
    <x:row r="143" ht="26" customHeight="1">
      <x:c r="A143" s="1" t="str">
        <x:v>Входы H</x:v>
      </x:c>
      <x:c r="B143" s="1" t="str">
        <x:v>D24</x:v>
      </x:c>
      <x:c r="C143" s="1">
        <x:v>0.20000000000000001</x:v>
      </x:c>
      <x:c r="D143" s="1">
        <x:f>'Входы H'!D24</x:f>
        <x:v>0.20000000000000001</x:v>
      </x:c>
      <x:c r="E143" s="1">
        <x:f>IF(C143=D143,1,0)</x:f>
        <x:v>1</x:v>
      </x:c>
      <x:c r="F143" s="1"/>
      <x:c r="G143" s="1"/>
    </x:row>
    <x:row r="144" ht="26" customHeight="1">
      <x:c r="A144" s="1" t="str">
        <x:v>Входы H</x:v>
      </x:c>
      <x:c r="B144" s="1" t="str">
        <x:v>E24</x:v>
      </x:c>
      <x:c r="C144" s="1">
        <x:v>0</x:v>
      </x:c>
      <x:c r="D144" s="1">
        <x:f>'Входы H'!E24</x:f>
        <x:v>0</x:v>
      </x:c>
      <x:c r="E144" s="1">
        <x:f>IF(C144=D144,1,0)</x:f>
        <x:v>1</x:v>
      </x:c>
      <x:c r="F144" s="1"/>
      <x:c r="G144" s="1"/>
    </x:row>
    <x:row r="145" ht="26" customHeight="1">
      <x:c r="A145" s="1" t="str">
        <x:v>Входы H</x:v>
      </x:c>
      <x:c r="B145" s="1" t="str">
        <x:v>F24</x:v>
      </x:c>
      <x:c r="C145" s="1">
        <x:v>0</x:v>
      </x:c>
      <x:c r="D145" s="1">
        <x:f>'Входы H'!F24</x:f>
        <x:v>0</x:v>
      </x:c>
      <x:c r="E145" s="1">
        <x:f>IF(C145=D145,1,0)</x:f>
        <x:v>1</x:v>
      </x:c>
      <x:c r="F145" s="1"/>
      <x:c r="G145" s="1"/>
    </x:row>
    <x:row r="146" ht="26" customHeight="1">
      <x:c r="A146" s="1" t="str">
        <x:v>Входы H</x:v>
      </x:c>
      <x:c r="B146" s="1" t="str">
        <x:v>G24</x:v>
      </x:c>
      <x:c r="C146" s="1">
        <x:v>0</x:v>
      </x:c>
      <x:c r="D146" s="1">
        <x:f>'Входы H'!G24</x:f>
        <x:v>0</x:v>
      </x:c>
      <x:c r="E146" s="1">
        <x:f>IF(C146=D146,1,0)</x:f>
        <x:v>1</x:v>
      </x:c>
      <x:c r="F146" s="1"/>
      <x:c r="G146" s="1"/>
    </x:row>
    <x:row r="147" ht="26" customHeight="1">
      <x:c r="A147" s="1" t="str">
        <x:v>Входы H</x:v>
      </x:c>
      <x:c r="B147" s="1" t="str">
        <x:v>H24</x:v>
      </x:c>
      <x:c r="C147" s="1">
        <x:v>0</x:v>
      </x:c>
      <x:c r="D147" s="1">
        <x:f>'Входы H'!H24</x:f>
        <x:v>0</x:v>
      </x:c>
      <x:c r="E147" s="1">
        <x:f>IF(C147=D147,1,0)</x:f>
        <x:v>1</x:v>
      </x:c>
      <x:c r="F147" s="1"/>
      <x:c r="G147" s="1"/>
    </x:row>
    <x:row r="148" ht="26" customHeight="1">
      <x:c r="A148" s="1" t="str">
        <x:v>Входы H</x:v>
      </x:c>
      <x:c r="B148" s="1" t="str">
        <x:v>C25</x:v>
      </x:c>
      <x:c r="C148" s="1">
        <x:v>0</x:v>
      </x:c>
      <x:c r="D148" s="1">
        <x:f>'Входы H'!C25</x:f>
        <x:v>0</x:v>
      </x:c>
      <x:c r="E148" s="1">
        <x:f>IF(C148=D148,1,0)</x:f>
        <x:v>1</x:v>
      </x:c>
      <x:c r="F148" s="1"/>
      <x:c r="G148" s="1"/>
    </x:row>
    <x:row r="149" ht="26" customHeight="1">
      <x:c r="A149" s="1" t="str">
        <x:v>Входы H</x:v>
      </x:c>
      <x:c r="B149" s="1" t="str">
        <x:v>D25</x:v>
      </x:c>
      <x:c r="C149" s="1">
        <x:v>0.29999999999999999</x:v>
      </x:c>
      <x:c r="D149" s="1">
        <x:f>'Входы H'!D25</x:f>
        <x:v>0.29999999999999999</x:v>
      </x:c>
      <x:c r="E149" s="1">
        <x:f>IF(C149=D149,1,0)</x:f>
        <x:v>1</x:v>
      </x:c>
      <x:c r="F149" s="1"/>
      <x:c r="G149" s="1"/>
    </x:row>
    <x:row r="150" ht="26" customHeight="1">
      <x:c r="A150" s="1" t="str">
        <x:v>Входы H</x:v>
      </x:c>
      <x:c r="B150" s="1" t="str">
        <x:v>E25</x:v>
      </x:c>
      <x:c r="C150" s="1">
        <x:v>0</x:v>
      </x:c>
      <x:c r="D150" s="1">
        <x:f>'Входы H'!E25</x:f>
        <x:v>0</x:v>
      </x:c>
      <x:c r="E150" s="1">
        <x:f>IF(C150=D150,1,0)</x:f>
        <x:v>1</x:v>
      </x:c>
      <x:c r="F150" s="1"/>
      <x:c r="G150" s="1"/>
    </x:row>
    <x:row r="151" ht="26" customHeight="1">
      <x:c r="A151" s="1" t="str">
        <x:v>Входы H</x:v>
      </x:c>
      <x:c r="B151" s="1" t="str">
        <x:v>F25</x:v>
      </x:c>
      <x:c r="C151" s="1">
        <x:v>0</x:v>
      </x:c>
      <x:c r="D151" s="1">
        <x:f>'Входы H'!F25</x:f>
        <x:v>0</x:v>
      </x:c>
      <x:c r="E151" s="1">
        <x:f>IF(C151=D151,1,0)</x:f>
        <x:v>1</x:v>
      </x:c>
      <x:c r="F151" s="1"/>
      <x:c r="G151" s="1"/>
    </x:row>
    <x:row r="152" ht="26" customHeight="1">
      <x:c r="A152" s="1" t="str">
        <x:v>Входы H</x:v>
      </x:c>
      <x:c r="B152" s="1" t="str">
        <x:v>G25</x:v>
      </x:c>
      <x:c r="C152" s="1">
        <x:v>0</x:v>
      </x:c>
      <x:c r="D152" s="1">
        <x:f>'Входы H'!G25</x:f>
        <x:v>0</x:v>
      </x:c>
      <x:c r="E152" s="1">
        <x:f>IF(C152=D152,1,0)</x:f>
        <x:v>1</x:v>
      </x:c>
      <x:c r="F152" s="1"/>
      <x:c r="G152" s="1"/>
    </x:row>
    <x:row r="153" ht="26" customHeight="1">
      <x:c r="A153" s="1" t="str">
        <x:v>Входы H</x:v>
      </x:c>
      <x:c r="B153" s="1" t="str">
        <x:v>H25</x:v>
      </x:c>
      <x:c r="C153" s="1">
        <x:v>0</x:v>
      </x:c>
      <x:c r="D153" s="1">
        <x:f>'Входы H'!H25</x:f>
        <x:v>0</x:v>
      </x:c>
      <x:c r="E153" s="1">
        <x:f>IF(C153=D153,1,0)</x:f>
        <x:v>1</x:v>
      </x:c>
      <x:c r="F153" s="1"/>
      <x:c r="G153" s="1"/>
    </x:row>
    <x:row r="154" ht="26" customHeight="1">
      <x:c r="A154" s="1" t="str">
        <x:v>Входы H</x:v>
      </x:c>
      <x:c r="B154" s="1" t="str">
        <x:v>C26</x:v>
      </x:c>
      <x:c r="C154" s="1">
        <x:v>0</x:v>
      </x:c>
      <x:c r="D154" s="1">
        <x:f>'Входы H'!C26</x:f>
        <x:v>0</x:v>
      </x:c>
      <x:c r="E154" s="1">
        <x:f>IF(C154=D154,1,0)</x:f>
        <x:v>1</x:v>
      </x:c>
      <x:c r="F154" s="1"/>
      <x:c r="G154" s="1"/>
    </x:row>
    <x:row r="155" ht="26" customHeight="1">
      <x:c r="A155" s="1" t="str">
        <x:v>Входы H</x:v>
      </x:c>
      <x:c r="B155" s="1" t="str">
        <x:v>D26</x:v>
      </x:c>
      <x:c r="C155" s="1">
        <x:v>0.29999999999999999</x:v>
      </x:c>
      <x:c r="D155" s="1">
        <x:f>'Входы H'!D26</x:f>
        <x:v>0.29999999999999999</x:v>
      </x:c>
      <x:c r="E155" s="1">
        <x:f>IF(C155=D155,1,0)</x:f>
        <x:v>1</x:v>
      </x:c>
      <x:c r="F155" s="1"/>
      <x:c r="G155" s="1"/>
    </x:row>
    <x:row r="156" ht="26" customHeight="1">
      <x:c r="A156" s="1" t="str">
        <x:v>Входы H</x:v>
      </x:c>
      <x:c r="B156" s="1" t="str">
        <x:v>E26</x:v>
      </x:c>
      <x:c r="C156" s="1">
        <x:v>0</x:v>
      </x:c>
      <x:c r="D156" s="1">
        <x:f>'Входы H'!E26</x:f>
        <x:v>0</x:v>
      </x:c>
      <x:c r="E156" s="1">
        <x:f>IF(C156=D156,1,0)</x:f>
        <x:v>1</x:v>
      </x:c>
      <x:c r="F156" s="1"/>
      <x:c r="G156" s="1"/>
    </x:row>
    <x:row r="157" ht="26" customHeight="1">
      <x:c r="A157" s="1" t="str">
        <x:v>Входы H</x:v>
      </x:c>
      <x:c r="B157" s="1" t="str">
        <x:v>F26</x:v>
      </x:c>
      <x:c r="C157" s="1">
        <x:v>0</x:v>
      </x:c>
      <x:c r="D157" s="1">
        <x:f>'Входы H'!F26</x:f>
        <x:v>0</x:v>
      </x:c>
      <x:c r="E157" s="1">
        <x:f>IF(C157=D157,1,0)</x:f>
        <x:v>1</x:v>
      </x:c>
      <x:c r="F157" s="1"/>
      <x:c r="G157" s="1"/>
    </x:row>
    <x:row r="158" ht="26" customHeight="1">
      <x:c r="A158" s="1" t="str">
        <x:v>Входы H</x:v>
      </x:c>
      <x:c r="B158" s="1" t="str">
        <x:v>G26</x:v>
      </x:c>
      <x:c r="C158" s="1">
        <x:v>0</x:v>
      </x:c>
      <x:c r="D158" s="1">
        <x:f>'Входы H'!G26</x:f>
        <x:v>0</x:v>
      </x:c>
      <x:c r="E158" s="1">
        <x:f>IF(C158=D158,1,0)</x:f>
        <x:v>1</x:v>
      </x:c>
      <x:c r="F158" s="1"/>
      <x:c r="G158" s="1"/>
    </x:row>
    <x:row r="159" ht="26" customHeight="1">
      <x:c r="A159" s="1" t="str">
        <x:v>Входы H</x:v>
      </x:c>
      <x:c r="B159" s="1" t="str">
        <x:v>H26</x:v>
      </x:c>
      <x:c r="C159" s="1">
        <x:v>0</x:v>
      </x:c>
      <x:c r="D159" s="1">
        <x:f>'Входы H'!H26</x:f>
        <x:v>0</x:v>
      </x:c>
      <x:c r="E159" s="1">
        <x:f>IF(C159=D159,1,0)</x:f>
        <x:v>1</x:v>
      </x:c>
      <x:c r="F159" s="1"/>
      <x:c r="G159" s="1"/>
    </x:row>
    <x:row r="160" ht="26" customHeight="1">
      <x:c r="A160" s="1" t="str">
        <x:v>Входы H</x:v>
      </x:c>
      <x:c r="B160" s="1" t="str">
        <x:v>C27</x:v>
      </x:c>
      <x:c r="C160" s="1">
        <x:v>0</x:v>
      </x:c>
      <x:c r="D160" s="1">
        <x:f>'Входы H'!C27</x:f>
        <x:v>0</x:v>
      </x:c>
      <x:c r="E160" s="1">
        <x:f>IF(C160=D160,1,0)</x:f>
        <x:v>1</x:v>
      </x:c>
      <x:c r="F160" s="1"/>
      <x:c r="G160" s="1"/>
    </x:row>
    <x:row r="161" ht="26" customHeight="1">
      <x:c r="A161" s="1" t="str">
        <x:v>Входы H</x:v>
      </x:c>
      <x:c r="B161" s="1" t="str">
        <x:v>D27</x:v>
      </x:c>
      <x:c r="C161" s="1">
        <x:v>0.10000000000000001</x:v>
      </x:c>
      <x:c r="D161" s="1">
        <x:f>'Входы H'!D27</x:f>
        <x:v>0.10000000000000001</x:v>
      </x:c>
      <x:c r="E161" s="1">
        <x:f>IF(C161=D161,1,0)</x:f>
        <x:v>1</x:v>
      </x:c>
      <x:c r="F161" s="1"/>
      <x:c r="G161" s="1"/>
    </x:row>
    <x:row r="162" ht="26" customHeight="1">
      <x:c r="A162" s="1" t="str">
        <x:v>Входы H</x:v>
      </x:c>
      <x:c r="B162" s="1" t="str">
        <x:v>E27</x:v>
      </x:c>
      <x:c r="C162" s="1">
        <x:v>0</x:v>
      </x:c>
      <x:c r="D162" s="1">
        <x:f>'Входы H'!E27</x:f>
        <x:v>0</x:v>
      </x:c>
      <x:c r="E162" s="1">
        <x:f>IF(C162=D162,1,0)</x:f>
        <x:v>1</x:v>
      </x:c>
      <x:c r="F162" s="1"/>
      <x:c r="G162" s="1"/>
    </x:row>
    <x:row r="163" ht="26" customHeight="1">
      <x:c r="A163" s="1" t="str">
        <x:v>Входы H</x:v>
      </x:c>
      <x:c r="B163" s="1" t="str">
        <x:v>F27</x:v>
      </x:c>
      <x:c r="C163" s="1">
        <x:v>0</x:v>
      </x:c>
      <x:c r="D163" s="1">
        <x:f>'Входы H'!F27</x:f>
        <x:v>0</x:v>
      </x:c>
      <x:c r="E163" s="1">
        <x:f>IF(C163=D163,1,0)</x:f>
        <x:v>1</x:v>
      </x:c>
      <x:c r="F163" s="1"/>
      <x:c r="G163" s="1"/>
    </x:row>
    <x:row r="164" ht="26" customHeight="1">
      <x:c r="A164" s="1" t="str">
        <x:v>Входы H</x:v>
      </x:c>
      <x:c r="B164" s="1" t="str">
        <x:v>G27</x:v>
      </x:c>
      <x:c r="C164" s="1">
        <x:v>0</x:v>
      </x:c>
      <x:c r="D164" s="1">
        <x:f>'Входы H'!G27</x:f>
        <x:v>0</x:v>
      </x:c>
      <x:c r="E164" s="1">
        <x:f>IF(C164=D164,1,0)</x:f>
        <x:v>1</x:v>
      </x:c>
      <x:c r="F164" s="1"/>
      <x:c r="G164" s="1"/>
    </x:row>
    <x:row r="165" ht="26" customHeight="1">
      <x:c r="A165" s="1" t="str">
        <x:v>Входы H</x:v>
      </x:c>
      <x:c r="B165" s="1" t="str">
        <x:v>H27</x:v>
      </x:c>
      <x:c r="C165" s="1">
        <x:v>0</x:v>
      </x:c>
      <x:c r="D165" s="1">
        <x:f>'Входы H'!H27</x:f>
        <x:v>0</x:v>
      </x:c>
      <x:c r="E165" s="1">
        <x:f>IF(C165=D165,1,0)</x:f>
        <x:v>1</x:v>
      </x:c>
      <x:c r="F165" s="1"/>
      <x:c r="G165" s="1"/>
    </x:row>
    <x:row r="166" ht="26" customHeight="1">
      <x:c r="A166" s="1" t="str">
        <x:v>Входы H</x:v>
      </x:c>
      <x:c r="B166" s="1" t="str">
        <x:v>C28</x:v>
      </x:c>
      <x:c r="C166" s="1">
        <x:v>0</x:v>
      </x:c>
      <x:c r="D166" s="1">
        <x:f>'Входы H'!C28</x:f>
        <x:v>0</x:v>
      </x:c>
      <x:c r="E166" s="1">
        <x:f>IF(C166=D166,1,0)</x:f>
        <x:v>1</x:v>
      </x:c>
      <x:c r="F166" s="1"/>
      <x:c r="G166" s="1"/>
    </x:row>
    <x:row r="167" ht="26" customHeight="1">
      <x:c r="A167" s="1" t="str">
        <x:v>Входы H</x:v>
      </x:c>
      <x:c r="B167" s="1" t="str">
        <x:v>D28</x:v>
      </x:c>
      <x:c r="C167" s="1">
        <x:v>0.10000000000000001</x:v>
      </x:c>
      <x:c r="D167" s="1">
        <x:f>'Входы H'!D28</x:f>
        <x:v>0.10000000000000001</x:v>
      </x:c>
      <x:c r="E167" s="1">
        <x:f>IF(C167=D167,1,0)</x:f>
        <x:v>1</x:v>
      </x:c>
      <x:c r="F167" s="1"/>
      <x:c r="G167" s="1"/>
    </x:row>
    <x:row r="168" ht="26" customHeight="1">
      <x:c r="A168" s="1" t="str">
        <x:v>Входы H</x:v>
      </x:c>
      <x:c r="B168" s="1" t="str">
        <x:v>E28</x:v>
      </x:c>
      <x:c r="C168" s="1">
        <x:v>0</x:v>
      </x:c>
      <x:c r="D168" s="1">
        <x:f>'Входы H'!E28</x:f>
        <x:v>0</x:v>
      </x:c>
      <x:c r="E168" s="1">
        <x:f>IF(C168=D168,1,0)</x:f>
        <x:v>1</x:v>
      </x:c>
      <x:c r="F168" s="1"/>
      <x:c r="G168" s="1"/>
    </x:row>
    <x:row r="169" ht="26" customHeight="1">
      <x:c r="A169" s="1" t="str">
        <x:v>Входы H</x:v>
      </x:c>
      <x:c r="B169" s="1" t="str">
        <x:v>F28</x:v>
      </x:c>
      <x:c r="C169" s="1">
        <x:v>0</x:v>
      </x:c>
      <x:c r="D169" s="1">
        <x:f>'Входы H'!F28</x:f>
        <x:v>0</x:v>
      </x:c>
      <x:c r="E169" s="1">
        <x:f>IF(C169=D169,1,0)</x:f>
        <x:v>1</x:v>
      </x:c>
      <x:c r="F169" s="1"/>
      <x:c r="G169" s="1"/>
    </x:row>
    <x:row r="170" ht="26" customHeight="1">
      <x:c r="A170" s="1" t="str">
        <x:v>Входы H</x:v>
      </x:c>
      <x:c r="B170" s="1" t="str">
        <x:v>G28</x:v>
      </x:c>
      <x:c r="C170" s="1">
        <x:v>0</x:v>
      </x:c>
      <x:c r="D170" s="1">
        <x:f>'Входы H'!G28</x:f>
        <x:v>0</x:v>
      </x:c>
      <x:c r="E170" s="1">
        <x:f>IF(C170=D170,1,0)</x:f>
        <x:v>1</x:v>
      </x:c>
      <x:c r="F170" s="1"/>
      <x:c r="G170" s="1"/>
    </x:row>
    <x:row r="171" ht="26" customHeight="1">
      <x:c r="A171" s="1" t="str">
        <x:v>Входы H</x:v>
      </x:c>
      <x:c r="B171" s="1" t="str">
        <x:v>H28</x:v>
      </x:c>
      <x:c r="C171" s="1">
        <x:v>0</x:v>
      </x:c>
      <x:c r="D171" s="1">
        <x:f>'Входы H'!H28</x:f>
        <x:v>0</x:v>
      </x:c>
      <x:c r="E171" s="1">
        <x:f>IF(C171=D171,1,0)</x:f>
        <x:v>1</x:v>
      </x:c>
      <x:c r="F171" s="1"/>
      <x:c r="G171" s="1"/>
    </x:row>
    <x:row r="172" ht="26" customHeight="1">
      <x:c r="A172" s="1" t="str">
        <x:v>Входы H</x:v>
      </x:c>
      <x:c r="B172" s="1" t="str">
        <x:v>C29</x:v>
      </x:c>
      <x:c r="C172" s="1">
        <x:v>0</x:v>
      </x:c>
      <x:c r="D172" s="1">
        <x:f>'Входы H'!C29</x:f>
        <x:v>0</x:v>
      </x:c>
      <x:c r="E172" s="1">
        <x:f>IF(C172=D172,1,0)</x:f>
        <x:v>1</x:v>
      </x:c>
      <x:c r="F172" s="1"/>
      <x:c r="G172" s="1"/>
    </x:row>
    <x:row r="173" ht="26" customHeight="1">
      <x:c r="A173" s="1" t="str">
        <x:v>Входы H</x:v>
      </x:c>
      <x:c r="B173" s="1" t="str">
        <x:v>D29</x:v>
      </x:c>
      <x:c r="C173" s="1">
        <x:v>0.29999999999999999</x:v>
      </x:c>
      <x:c r="D173" s="1">
        <x:f>'Входы H'!D29</x:f>
        <x:v>0.29999999999999999</x:v>
      </x:c>
      <x:c r="E173" s="1">
        <x:f>IF(C173=D173,1,0)</x:f>
        <x:v>1</x:v>
      </x:c>
      <x:c r="F173" s="1"/>
      <x:c r="G173" s="1"/>
    </x:row>
    <x:row r="174" ht="26" customHeight="1">
      <x:c r="A174" s="1" t="str">
        <x:v>Входы H</x:v>
      </x:c>
      <x:c r="B174" s="1" t="str">
        <x:v>E29</x:v>
      </x:c>
      <x:c r="C174" s="1">
        <x:v>0</x:v>
      </x:c>
      <x:c r="D174" s="1">
        <x:f>'Входы H'!E29</x:f>
        <x:v>0</x:v>
      </x:c>
      <x:c r="E174" s="1">
        <x:f>IF(C174=D174,1,0)</x:f>
        <x:v>1</x:v>
      </x:c>
      <x:c r="F174" s="1"/>
      <x:c r="G174" s="1"/>
    </x:row>
    <x:row r="175" ht="26" customHeight="1">
      <x:c r="A175" s="1" t="str">
        <x:v>Входы H</x:v>
      </x:c>
      <x:c r="B175" s="1" t="str">
        <x:v>F29</x:v>
      </x:c>
      <x:c r="C175" s="1">
        <x:v>0</x:v>
      </x:c>
      <x:c r="D175" s="1">
        <x:f>'Входы H'!F29</x:f>
        <x:v>0</x:v>
      </x:c>
      <x:c r="E175" s="1">
        <x:f>IF(C175=D175,1,0)</x:f>
        <x:v>1</x:v>
      </x:c>
      <x:c r="F175" s="1"/>
      <x:c r="G175" s="1"/>
    </x:row>
    <x:row r="176" ht="26" customHeight="1">
      <x:c r="A176" s="1" t="str">
        <x:v>Входы H</x:v>
      </x:c>
      <x:c r="B176" s="1" t="str">
        <x:v>G29</x:v>
      </x:c>
      <x:c r="C176" s="1">
        <x:v>0</x:v>
      </x:c>
      <x:c r="D176" s="1">
        <x:f>'Входы H'!G29</x:f>
        <x:v>0</x:v>
      </x:c>
      <x:c r="E176" s="1">
        <x:f>IF(C176=D176,1,0)</x:f>
        <x:v>1</x:v>
      </x:c>
      <x:c r="F176" s="1"/>
      <x:c r="G176" s="1"/>
    </x:row>
    <x:row r="177" ht="26" customHeight="1">
      <x:c r="A177" s="1" t="str">
        <x:v>Входы H</x:v>
      </x:c>
      <x:c r="B177" s="1" t="str">
        <x:v>H29</x:v>
      </x:c>
      <x:c r="C177" s="1">
        <x:v>0</x:v>
      </x:c>
      <x:c r="D177" s="1">
        <x:f>'Входы H'!H29</x:f>
        <x:v>0</x:v>
      </x:c>
      <x:c r="E177" s="1">
        <x:f>IF(C177=D177,1,0)</x:f>
        <x:v>1</x:v>
      </x:c>
      <x:c r="F177" s="1"/>
      <x:c r="G177" s="1"/>
    </x:row>
    <x:row r="178" ht="26" customHeight="1">
      <x:c r="A178" s="1" t="str">
        <x:v>Входы H</x:v>
      </x:c>
      <x:c r="B178" s="1" t="str">
        <x:v>C30</x:v>
      </x:c>
      <x:c r="C178" s="1">
        <x:v>0</x:v>
      </x:c>
      <x:c r="D178" s="1">
        <x:f>'Входы H'!C30</x:f>
        <x:v>0</x:v>
      </x:c>
      <x:c r="E178" s="1">
        <x:f>IF(C178=D178,1,0)</x:f>
        <x:v>1</x:v>
      </x:c>
      <x:c r="F178" s="1"/>
      <x:c r="G178" s="1"/>
    </x:row>
    <x:row r="179" ht="26" customHeight="1">
      <x:c r="A179" s="1" t="str">
        <x:v>Входы H</x:v>
      </x:c>
      <x:c r="B179" s="1" t="str">
        <x:v>D30</x:v>
      </x:c>
      <x:c r="C179" s="1">
        <x:v>0.29999999999999999</x:v>
      </x:c>
      <x:c r="D179" s="1">
        <x:f>'Входы H'!D30</x:f>
        <x:v>0.29999999999999999</x:v>
      </x:c>
      <x:c r="E179" s="1">
        <x:f>IF(C179=D179,1,0)</x:f>
        <x:v>1</x:v>
      </x:c>
      <x:c r="F179" s="1"/>
      <x:c r="G179" s="1"/>
    </x:row>
    <x:row r="180" ht="26" customHeight="1">
      <x:c r="A180" s="1" t="str">
        <x:v>Входы H</x:v>
      </x:c>
      <x:c r="B180" s="1" t="str">
        <x:v>E30</x:v>
      </x:c>
      <x:c r="C180" s="1">
        <x:v>0</x:v>
      </x:c>
      <x:c r="D180" s="1">
        <x:f>'Входы H'!E30</x:f>
        <x:v>0</x:v>
      </x:c>
      <x:c r="E180" s="1">
        <x:f>IF(C180=D180,1,0)</x:f>
        <x:v>1</x:v>
      </x:c>
      <x:c r="F180" s="1"/>
      <x:c r="G180" s="1"/>
    </x:row>
    <x:row r="181" ht="26" customHeight="1">
      <x:c r="A181" s="1" t="str">
        <x:v>Входы H</x:v>
      </x:c>
      <x:c r="B181" s="1" t="str">
        <x:v>F30</x:v>
      </x:c>
      <x:c r="C181" s="1">
        <x:v>0</x:v>
      </x:c>
      <x:c r="D181" s="1">
        <x:f>'Входы H'!F30</x:f>
        <x:v>0</x:v>
      </x:c>
      <x:c r="E181" s="1">
        <x:f>IF(C181=D181,1,0)</x:f>
        <x:v>1</x:v>
      </x:c>
      <x:c r="F181" s="1"/>
      <x:c r="G181" s="1"/>
    </x:row>
    <x:row r="182" ht="26" customHeight="1">
      <x:c r="A182" s="1" t="str">
        <x:v>Входы H</x:v>
      </x:c>
      <x:c r="B182" s="1" t="str">
        <x:v>G30</x:v>
      </x:c>
      <x:c r="C182" s="1">
        <x:v>0</x:v>
      </x:c>
      <x:c r="D182" s="1">
        <x:f>'Входы H'!G30</x:f>
        <x:v>0</x:v>
      </x:c>
      <x:c r="E182" s="1">
        <x:f>IF(C182=D182,1,0)</x:f>
        <x:v>1</x:v>
      </x:c>
      <x:c r="F182" s="1"/>
      <x:c r="G182" s="1"/>
    </x:row>
    <x:row r="183" ht="26" customHeight="1">
      <x:c r="A183" s="1" t="str">
        <x:v>Входы H</x:v>
      </x:c>
      <x:c r="B183" s="1" t="str">
        <x:v>H30</x:v>
      </x:c>
      <x:c r="C183" s="1">
        <x:v>0</x:v>
      </x:c>
      <x:c r="D183" s="1">
        <x:f>'Входы H'!H30</x:f>
        <x:v>0</x:v>
      </x:c>
      <x:c r="E183" s="1">
        <x:f>IF(C183=D183,1,0)</x:f>
        <x:v>1</x:v>
      </x:c>
      <x:c r="F183" s="1"/>
      <x:c r="G183" s="1"/>
    </x:row>
    <x:row r="184" ht="26" customHeight="1">
      <x:c r="A184" s="1" t="str">
        <x:v>Входы H</x:v>
      </x:c>
      <x:c r="B184" s="1" t="str">
        <x:v>C31</x:v>
      </x:c>
      <x:c r="C184" s="1">
        <x:v>0</x:v>
      </x:c>
      <x:c r="D184" s="1">
        <x:f>'Входы H'!C31</x:f>
        <x:v>0</x:v>
      </x:c>
      <x:c r="E184" s="1">
        <x:f>IF(C184=D184,1,0)</x:f>
        <x:v>1</x:v>
      </x:c>
      <x:c r="F184" s="1"/>
      <x:c r="G184" s="1"/>
    </x:row>
    <x:row r="185" ht="26" customHeight="1">
      <x:c r="A185" s="1" t="str">
        <x:v>Входы H</x:v>
      </x:c>
      <x:c r="B185" s="1" t="str">
        <x:v>D31</x:v>
      </x:c>
      <x:c r="C185" s="1">
        <x:v>0.10000000000000001</x:v>
      </x:c>
      <x:c r="D185" s="1">
        <x:f>'Входы H'!D31</x:f>
        <x:v>0.10000000000000001</x:v>
      </x:c>
      <x:c r="E185" s="1">
        <x:f>IF(C185=D185,1,0)</x:f>
        <x:v>1</x:v>
      </x:c>
      <x:c r="F185" s="1"/>
      <x:c r="G185" s="1"/>
    </x:row>
    <x:row r="186" ht="26" customHeight="1">
      <x:c r="A186" s="1" t="str">
        <x:v>Входы H</x:v>
      </x:c>
      <x:c r="B186" s="1" t="str">
        <x:v>E31</x:v>
      </x:c>
      <x:c r="C186" s="1">
        <x:v>0</x:v>
      </x:c>
      <x:c r="D186" s="1">
        <x:f>'Входы H'!E31</x:f>
        <x:v>0</x:v>
      </x:c>
      <x:c r="E186" s="1">
        <x:f>IF(C186=D186,1,0)</x:f>
        <x:v>1</x:v>
      </x:c>
      <x:c r="F186" s="1"/>
      <x:c r="G186" s="1"/>
    </x:row>
    <x:row r="187" ht="26" customHeight="1">
      <x:c r="A187" s="1" t="str">
        <x:v>Входы H</x:v>
      </x:c>
      <x:c r="B187" s="1" t="str">
        <x:v>F31</x:v>
      </x:c>
      <x:c r="C187" s="1">
        <x:v>0</x:v>
      </x:c>
      <x:c r="D187" s="1">
        <x:f>'Входы H'!F31</x:f>
        <x:v>0</x:v>
      </x:c>
      <x:c r="E187" s="1">
        <x:f>IF(C187=D187,1,0)</x:f>
        <x:v>1</x:v>
      </x:c>
      <x:c r="F187" s="1"/>
      <x:c r="G187" s="1"/>
    </x:row>
    <x:row r="188" ht="26" customHeight="1">
      <x:c r="A188" s="1" t="str">
        <x:v>Входы H</x:v>
      </x:c>
      <x:c r="B188" s="1" t="str">
        <x:v>G31</x:v>
      </x:c>
      <x:c r="C188" s="1">
        <x:v>0</x:v>
      </x:c>
      <x:c r="D188" s="1">
        <x:f>'Входы H'!G31</x:f>
        <x:v>0</x:v>
      </x:c>
      <x:c r="E188" s="1">
        <x:f>IF(C188=D188,1,0)</x:f>
        <x:v>1</x:v>
      </x:c>
      <x:c r="F188" s="1"/>
      <x:c r="G188" s="1"/>
    </x:row>
    <x:row r="189" ht="26" customHeight="1">
      <x:c r="A189" s="1" t="str">
        <x:v>Входы H</x:v>
      </x:c>
      <x:c r="B189" s="1" t="str">
        <x:v>H31</x:v>
      </x:c>
      <x:c r="C189" s="1">
        <x:v>0</x:v>
      </x:c>
      <x:c r="D189" s="1">
        <x:f>'Входы H'!H31</x:f>
        <x:v>0</x:v>
      </x:c>
      <x:c r="E189" s="1">
        <x:f>IF(C189=D189,1,0)</x:f>
        <x:v>1</x:v>
      </x:c>
      <x:c r="F189" s="1"/>
      <x:c r="G189" s="1"/>
    </x:row>
    <x:row r="190" ht="26" customHeight="1">
      <x:c r="A190" s="1" t="str">
        <x:v>Входы H</x:v>
      </x:c>
      <x:c r="B190" s="1" t="str">
        <x:v>C32</x:v>
      </x:c>
      <x:c r="C190" s="1">
        <x:v>0</x:v>
      </x:c>
      <x:c r="D190" s="1">
        <x:f>'Входы H'!C32</x:f>
        <x:v>0</x:v>
      </x:c>
      <x:c r="E190" s="1">
        <x:f>IF(C190=D190,1,0)</x:f>
        <x:v>1</x:v>
      </x:c>
      <x:c r="F190" s="1"/>
      <x:c r="G190" s="1"/>
    </x:row>
    <x:row r="191" ht="26" customHeight="1">
      <x:c r="A191" s="1" t="str">
        <x:v>Входы H</x:v>
      </x:c>
      <x:c r="B191" s="1" t="str">
        <x:v>D32</x:v>
      </x:c>
      <x:c r="C191" s="1">
        <x:v>0.10000000000000001</x:v>
      </x:c>
      <x:c r="D191" s="1">
        <x:f>'Входы H'!D32</x:f>
        <x:v>0.10000000000000001</x:v>
      </x:c>
      <x:c r="E191" s="1">
        <x:f>IF(C191=D191,1,0)</x:f>
        <x:v>1</x:v>
      </x:c>
      <x:c r="F191" s="1"/>
      <x:c r="G191" s="1"/>
    </x:row>
    <x:row r="192" ht="26" customHeight="1">
      <x:c r="A192" s="1" t="str">
        <x:v>Входы H</x:v>
      </x:c>
      <x:c r="B192" s="1" t="str">
        <x:v>E32</x:v>
      </x:c>
      <x:c r="C192" s="1">
        <x:v>0</x:v>
      </x:c>
      <x:c r="D192" s="1">
        <x:f>'Входы H'!E32</x:f>
        <x:v>0</x:v>
      </x:c>
      <x:c r="E192" s="1">
        <x:f>IF(C192=D192,1,0)</x:f>
        <x:v>1</x:v>
      </x:c>
      <x:c r="F192" s="1"/>
      <x:c r="G192" s="1"/>
    </x:row>
    <x:row r="193" ht="26" customHeight="1">
      <x:c r="A193" s="1" t="str">
        <x:v>Входы H</x:v>
      </x:c>
      <x:c r="B193" s="1" t="str">
        <x:v>F32</x:v>
      </x:c>
      <x:c r="C193" s="1">
        <x:v>0</x:v>
      </x:c>
      <x:c r="D193" s="1">
        <x:f>'Входы H'!F32</x:f>
        <x:v>0</x:v>
      </x:c>
      <x:c r="E193" s="1">
        <x:f>IF(C193=D193,1,0)</x:f>
        <x:v>1</x:v>
      </x:c>
      <x:c r="F193" s="1"/>
      <x:c r="G193" s="1"/>
    </x:row>
    <x:row r="194" ht="26" customHeight="1">
      <x:c r="A194" s="1" t="str">
        <x:v>Входы H</x:v>
      </x:c>
      <x:c r="B194" s="1" t="str">
        <x:v>G32</x:v>
      </x:c>
      <x:c r="C194" s="1">
        <x:v>0</x:v>
      </x:c>
      <x:c r="D194" s="1">
        <x:f>'Входы H'!G32</x:f>
        <x:v>0</x:v>
      </x:c>
      <x:c r="E194" s="1">
        <x:f>IF(C194=D194,1,0)</x:f>
        <x:v>1</x:v>
      </x:c>
      <x:c r="F194" s="1"/>
      <x:c r="G194" s="1"/>
    </x:row>
    <x:row r="195" ht="26" customHeight="1">
      <x:c r="A195" s="1" t="str">
        <x:v>Входы H</x:v>
      </x:c>
      <x:c r="B195" s="1" t="str">
        <x:v>H32</x:v>
      </x:c>
      <x:c r="C195" s="1">
        <x:v>0</x:v>
      </x:c>
      <x:c r="D195" s="1">
        <x:f>'Входы H'!H32</x:f>
        <x:v>0</x:v>
      </x:c>
      <x:c r="E195" s="1">
        <x:f>IF(C195=D195,1,0)</x:f>
        <x:v>1</x:v>
      </x:c>
      <x:c r="F195" s="1"/>
      <x:c r="G195" s="1"/>
    </x:row>
    <x:row r="196" ht="26" customHeight="1">
      <x:c r="A196" s="1" t="str">
        <x:v>Входы H</x:v>
      </x:c>
      <x:c r="B196" s="1" t="str">
        <x:v>C33</x:v>
      </x:c>
      <x:c r="C196" s="1">
        <x:v>0</x:v>
      </x:c>
      <x:c r="D196" s="1">
        <x:f>'Входы H'!C33</x:f>
        <x:v>0</x:v>
      </x:c>
      <x:c r="E196" s="1">
        <x:f>IF(C196=D196,1,0)</x:f>
        <x:v>1</x:v>
      </x:c>
      <x:c r="F196" s="1"/>
      <x:c r="G196" s="1"/>
    </x:row>
    <x:row r="197" ht="26" customHeight="1">
      <x:c r="A197" s="1" t="str">
        <x:v>Входы H</x:v>
      </x:c>
      <x:c r="B197" s="1" t="str">
        <x:v>D33</x:v>
      </x:c>
      <x:c r="C197" s="1">
        <x:v>0.29999999999999999</x:v>
      </x:c>
      <x:c r="D197" s="1">
        <x:f>'Входы H'!D33</x:f>
        <x:v>0.29999999999999999</x:v>
      </x:c>
      <x:c r="E197" s="1">
        <x:f>IF(C197=D197,1,0)</x:f>
        <x:v>1</x:v>
      </x:c>
      <x:c r="F197" s="1"/>
      <x:c r="G197" s="1"/>
    </x:row>
    <x:row r="198" ht="26" customHeight="1">
      <x:c r="A198" s="1" t="str">
        <x:v>Входы H</x:v>
      </x:c>
      <x:c r="B198" s="1" t="str">
        <x:v>E33</x:v>
      </x:c>
      <x:c r="C198" s="1">
        <x:v>0</x:v>
      </x:c>
      <x:c r="D198" s="1">
        <x:f>'Входы H'!E33</x:f>
        <x:v>0</x:v>
      </x:c>
      <x:c r="E198" s="1">
        <x:f>IF(C198=D198,1,0)</x:f>
        <x:v>1</x:v>
      </x:c>
      <x:c r="F198" s="1"/>
      <x:c r="G198" s="1"/>
    </x:row>
    <x:row r="199" ht="26" customHeight="1">
      <x:c r="A199" s="1" t="str">
        <x:v>Входы H</x:v>
      </x:c>
      <x:c r="B199" s="1" t="str">
        <x:v>F33</x:v>
      </x:c>
      <x:c r="C199" s="1">
        <x:v>0</x:v>
      </x:c>
      <x:c r="D199" s="1">
        <x:f>'Входы H'!F33</x:f>
        <x:v>0</x:v>
      </x:c>
      <x:c r="E199" s="1">
        <x:f>IF(C199=D199,1,0)</x:f>
        <x:v>1</x:v>
      </x:c>
      <x:c r="F199" s="1"/>
      <x:c r="G199" s="1"/>
    </x:row>
    <x:row r="200" ht="26" customHeight="1">
      <x:c r="A200" s="1" t="str">
        <x:v>Входы H</x:v>
      </x:c>
      <x:c r="B200" s="1" t="str">
        <x:v>G33</x:v>
      </x:c>
      <x:c r="C200" s="1">
        <x:v>0</x:v>
      </x:c>
      <x:c r="D200" s="1">
        <x:f>'Входы H'!G33</x:f>
        <x:v>0</x:v>
      </x:c>
      <x:c r="E200" s="1">
        <x:f>IF(C200=D200,1,0)</x:f>
        <x:v>1</x:v>
      </x:c>
      <x:c r="F200" s="1"/>
      <x:c r="G200" s="1"/>
    </x:row>
    <x:row r="201" ht="26" customHeight="1">
      <x:c r="A201" s="1" t="str">
        <x:v>Входы H</x:v>
      </x:c>
      <x:c r="B201" s="1" t="str">
        <x:v>H33</x:v>
      </x:c>
      <x:c r="C201" s="1">
        <x:v>0</x:v>
      </x:c>
      <x:c r="D201" s="1">
        <x:f>'Входы H'!H33</x:f>
        <x:v>0</x:v>
      </x:c>
      <x:c r="E201" s="1">
        <x:f>IF(C201=D201,1,0)</x:f>
        <x:v>1</x:v>
      </x:c>
      <x:c r="F201" s="1"/>
      <x:c r="G201" s="1"/>
    </x:row>
    <x:row r="202" ht="26" customHeight="1">
      <x:c r="A202" s="1" t="str">
        <x:v>Входы H</x:v>
      </x:c>
      <x:c r="B202" s="1" t="str">
        <x:v>C34</x:v>
      </x:c>
      <x:c r="C202" s="1">
        <x:v>0</x:v>
      </x:c>
      <x:c r="D202" s="1">
        <x:f>'Входы H'!C34</x:f>
        <x:v>0</x:v>
      </x:c>
      <x:c r="E202" s="1">
        <x:f>IF(C202=D202,1,0)</x:f>
        <x:v>1</x:v>
      </x:c>
      <x:c r="F202" s="1"/>
      <x:c r="G202" s="1"/>
    </x:row>
    <x:row r="203" ht="26" customHeight="1">
      <x:c r="A203" s="1" t="str">
        <x:v>Входы H</x:v>
      </x:c>
      <x:c r="B203" s="1" t="str">
        <x:v>D34</x:v>
      </x:c>
      <x:c r="C203" s="1">
        <x:v>0.29999999999999999</x:v>
      </x:c>
      <x:c r="D203" s="1">
        <x:f>'Входы H'!D34</x:f>
        <x:v>0.29999999999999999</x:v>
      </x:c>
      <x:c r="E203" s="1">
        <x:f>IF(C203=D203,1,0)</x:f>
        <x:v>1</x:v>
      </x:c>
      <x:c r="F203" s="1"/>
      <x:c r="G203" s="1"/>
    </x:row>
    <x:row r="204" ht="26" customHeight="1">
      <x:c r="A204" s="1" t="str">
        <x:v>Входы H</x:v>
      </x:c>
      <x:c r="B204" s="1" t="str">
        <x:v>E34</x:v>
      </x:c>
      <x:c r="C204" s="1">
        <x:v>0</x:v>
      </x:c>
      <x:c r="D204" s="1">
        <x:f>'Входы H'!E34</x:f>
        <x:v>0</x:v>
      </x:c>
      <x:c r="E204" s="1">
        <x:f>IF(C204=D204,1,0)</x:f>
        <x:v>1</x:v>
      </x:c>
      <x:c r="F204" s="1"/>
      <x:c r="G204" s="1"/>
    </x:row>
    <x:row r="205" ht="26" customHeight="1">
      <x:c r="A205" s="1" t="str">
        <x:v>Входы H</x:v>
      </x:c>
      <x:c r="B205" s="1" t="str">
        <x:v>F34</x:v>
      </x:c>
      <x:c r="C205" s="1">
        <x:v>0</x:v>
      </x:c>
      <x:c r="D205" s="1">
        <x:f>'Входы H'!F34</x:f>
        <x:v>0</x:v>
      </x:c>
      <x:c r="E205" s="1">
        <x:f>IF(C205=D205,1,0)</x:f>
        <x:v>1</x:v>
      </x:c>
      <x:c r="F205" s="1"/>
      <x:c r="G205" s="1"/>
    </x:row>
    <x:row r="206" ht="26" customHeight="1">
      <x:c r="A206" s="1" t="str">
        <x:v>Входы H</x:v>
      </x:c>
      <x:c r="B206" s="1" t="str">
        <x:v>G34</x:v>
      </x:c>
      <x:c r="C206" s="1">
        <x:v>0</x:v>
      </x:c>
      <x:c r="D206" s="1">
        <x:f>'Входы H'!G34</x:f>
        <x:v>0</x:v>
      </x:c>
      <x:c r="E206" s="1">
        <x:f>IF(C206=D206,1,0)</x:f>
        <x:v>1</x:v>
      </x:c>
      <x:c r="F206" s="1"/>
      <x:c r="G206" s="1"/>
    </x:row>
    <x:row r="207" ht="26" customHeight="1">
      <x:c r="A207" s="1" t="str">
        <x:v>Входы H</x:v>
      </x:c>
      <x:c r="B207" s="1" t="str">
        <x:v>H34</x:v>
      </x:c>
      <x:c r="C207" s="1">
        <x:v>0</x:v>
      </x:c>
      <x:c r="D207" s="1">
        <x:f>'Входы H'!H34</x:f>
        <x:v>0</x:v>
      </x:c>
      <x:c r="E207" s="1">
        <x:f>IF(C207=D207,1,0)</x:f>
        <x:v>1</x:v>
      </x:c>
      <x:c r="F207" s="1"/>
      <x:c r="G207" s="1"/>
    </x:row>
    <x:row r="208" ht="26" customHeight="1">
      <x:c r="A208" s="1" t="str">
        <x:v>Входы H</x:v>
      </x:c>
      <x:c r="B208" s="1" t="str">
        <x:v>C35</x:v>
      </x:c>
      <x:c r="C208" s="1">
        <x:v>0</x:v>
      </x:c>
      <x:c r="D208" s="1">
        <x:f>'Входы H'!C35</x:f>
        <x:v>0</x:v>
      </x:c>
      <x:c r="E208" s="1">
        <x:f>IF(C208=D208,1,0)</x:f>
        <x:v>1</x:v>
      </x:c>
      <x:c r="F208" s="1"/>
      <x:c r="G208" s="1"/>
    </x:row>
    <x:row r="209" ht="26" customHeight="1">
      <x:c r="A209" s="1" t="str">
        <x:v>Входы H</x:v>
      </x:c>
      <x:c r="B209" s="1" t="str">
        <x:v>D35</x:v>
      </x:c>
      <x:c r="C209" s="1">
        <x:v>0.10000000000000001</x:v>
      </x:c>
      <x:c r="D209" s="1">
        <x:f>'Входы H'!D35</x:f>
        <x:v>0.10000000000000001</x:v>
      </x:c>
      <x:c r="E209" s="1">
        <x:f>IF(C209=D209,1,0)</x:f>
        <x:v>1</x:v>
      </x:c>
      <x:c r="F209" s="1"/>
      <x:c r="G209" s="1"/>
    </x:row>
    <x:row r="210" ht="26" customHeight="1">
      <x:c r="A210" s="1" t="str">
        <x:v>Входы H</x:v>
      </x:c>
      <x:c r="B210" s="1" t="str">
        <x:v>E35</x:v>
      </x:c>
      <x:c r="C210" s="1">
        <x:v>0</x:v>
      </x:c>
      <x:c r="D210" s="1">
        <x:f>'Входы H'!E35</x:f>
        <x:v>0</x:v>
      </x:c>
      <x:c r="E210" s="1">
        <x:f>IF(C210=D210,1,0)</x:f>
        <x:v>1</x:v>
      </x:c>
      <x:c r="F210" s="1"/>
      <x:c r="G210" s="1"/>
    </x:row>
    <x:row r="211" ht="26" customHeight="1">
      <x:c r="A211" s="1" t="str">
        <x:v>Входы H</x:v>
      </x:c>
      <x:c r="B211" s="1" t="str">
        <x:v>F35</x:v>
      </x:c>
      <x:c r="C211" s="1">
        <x:v>0</x:v>
      </x:c>
      <x:c r="D211" s="1">
        <x:f>'Входы H'!F35</x:f>
        <x:v>0</x:v>
      </x:c>
      <x:c r="E211" s="1">
        <x:f>IF(C211=D211,1,0)</x:f>
        <x:v>1</x:v>
      </x:c>
      <x:c r="F211" s="1"/>
      <x:c r="G211" s="1"/>
    </x:row>
    <x:row r="212" ht="26" customHeight="1">
      <x:c r="A212" s="1" t="str">
        <x:v>Входы H</x:v>
      </x:c>
      <x:c r="B212" s="1" t="str">
        <x:v>G35</x:v>
      </x:c>
      <x:c r="C212" s="1">
        <x:v>0</x:v>
      </x:c>
      <x:c r="D212" s="1">
        <x:f>'Входы H'!G35</x:f>
        <x:v>0</x:v>
      </x:c>
      <x:c r="E212" s="1">
        <x:f>IF(C212=D212,1,0)</x:f>
        <x:v>1</x:v>
      </x:c>
      <x:c r="F212" s="1"/>
      <x:c r="G212" s="1"/>
    </x:row>
    <x:row r="213" ht="26" customHeight="1">
      <x:c r="A213" s="1" t="str">
        <x:v>Входы H</x:v>
      </x:c>
      <x:c r="B213" s="1" t="str">
        <x:v>H35</x:v>
      </x:c>
      <x:c r="C213" s="1">
        <x:v>0</x:v>
      </x:c>
      <x:c r="D213" s="1">
        <x:f>'Входы H'!H35</x:f>
        <x:v>0</x:v>
      </x:c>
      <x:c r="E213" s="1">
        <x:f>IF(C213=D213,1,0)</x:f>
        <x:v>1</x:v>
      </x:c>
      <x:c r="F213" s="1"/>
      <x:c r="G213" s="1"/>
    </x:row>
    <x:row r="214" ht="26" customHeight="1">
      <x:c r="A214" s="1" t="str">
        <x:v>Входы H</x:v>
      </x:c>
      <x:c r="B214" s="1" t="str">
        <x:v>C36</x:v>
      </x:c>
      <x:c r="C214" s="1">
        <x:v>0</x:v>
      </x:c>
      <x:c r="D214" s="1">
        <x:f>'Входы H'!C36</x:f>
        <x:v>0</x:v>
      </x:c>
      <x:c r="E214" s="1">
        <x:f>IF(C214=D214,1,0)</x:f>
        <x:v>1</x:v>
      </x:c>
      <x:c r="F214" s="1"/>
      <x:c r="G214" s="1"/>
    </x:row>
    <x:row r="215" ht="26" customHeight="1">
      <x:c r="A215" s="1" t="str">
        <x:v>Входы H</x:v>
      </x:c>
      <x:c r="B215" s="1" t="str">
        <x:v>D36</x:v>
      </x:c>
      <x:c r="C215" s="1">
        <x:v>0.10000000000000001</x:v>
      </x:c>
      <x:c r="D215" s="1">
        <x:f>'Входы H'!D36</x:f>
        <x:v>0.10000000000000001</x:v>
      </x:c>
      <x:c r="E215" s="1">
        <x:f>IF(C215=D215,1,0)</x:f>
        <x:v>1</x:v>
      </x:c>
      <x:c r="F215" s="1"/>
      <x:c r="G215" s="1"/>
    </x:row>
    <x:row r="216" ht="26" customHeight="1">
      <x:c r="A216" s="1" t="str">
        <x:v>Входы H</x:v>
      </x:c>
      <x:c r="B216" s="1" t="str">
        <x:v>E36</x:v>
      </x:c>
      <x:c r="C216" s="1">
        <x:v>0</x:v>
      </x:c>
      <x:c r="D216" s="1">
        <x:f>'Входы H'!E36</x:f>
        <x:v>0</x:v>
      </x:c>
      <x:c r="E216" s="1">
        <x:f>IF(C216=D216,1,0)</x:f>
        <x:v>1</x:v>
      </x:c>
      <x:c r="F216" s="1"/>
      <x:c r="G216" s="1"/>
    </x:row>
    <x:row r="217" ht="26" customHeight="1">
      <x:c r="A217" s="1" t="str">
        <x:v>Входы H</x:v>
      </x:c>
      <x:c r="B217" s="1" t="str">
        <x:v>F36</x:v>
      </x:c>
      <x:c r="C217" s="1">
        <x:v>0</x:v>
      </x:c>
      <x:c r="D217" s="1">
        <x:f>'Входы H'!F36</x:f>
        <x:v>0</x:v>
      </x:c>
      <x:c r="E217" s="1">
        <x:f>IF(C217=D217,1,0)</x:f>
        <x:v>1</x:v>
      </x:c>
      <x:c r="F217" s="1"/>
      <x:c r="G217" s="1"/>
    </x:row>
    <x:row r="218" ht="26" customHeight="1">
      <x:c r="A218" s="1" t="str">
        <x:v>Входы H</x:v>
      </x:c>
      <x:c r="B218" s="1" t="str">
        <x:v>G36</x:v>
      </x:c>
      <x:c r="C218" s="1">
        <x:v>0</x:v>
      </x:c>
      <x:c r="D218" s="1">
        <x:f>'Входы H'!G36</x:f>
        <x:v>0</x:v>
      </x:c>
      <x:c r="E218" s="1">
        <x:f>IF(C218=D218,1,0)</x:f>
        <x:v>1</x:v>
      </x:c>
      <x:c r="F218" s="1"/>
      <x:c r="G218" s="1"/>
    </x:row>
    <x:row r="219" ht="26" customHeight="1">
      <x:c r="A219" s="1" t="str">
        <x:v>Входы H</x:v>
      </x:c>
      <x:c r="B219" s="1" t="str">
        <x:v>H36</x:v>
      </x:c>
      <x:c r="C219" s="1">
        <x:v>0</x:v>
      </x:c>
      <x:c r="D219" s="1">
        <x:f>'Входы H'!H36</x:f>
        <x:v>0</x:v>
      </x:c>
      <x:c r="E219" s="1">
        <x:f>IF(C219=D219,1,0)</x:f>
        <x:v>1</x:v>
      </x:c>
      <x:c r="F219" s="1"/>
      <x:c r="G219" s="1"/>
    </x:row>
    <x:row r="220" ht="26" customHeight="1">
      <x:c r="A220" s="1" t="str">
        <x:v>Входы H</x:v>
      </x:c>
      <x:c r="B220" s="1" t="str">
        <x:v>N5</x:v>
      </x:c>
      <x:c r="C220" s="1">
        <x:v>1.5</x:v>
      </x:c>
      <x:c r="D220" s="1">
        <x:f>'Входы H'!N5</x:f>
        <x:v>1.5</x:v>
      </x:c>
      <x:c r="E220" s="1">
        <x:f>IF(C220=D220,1,0)</x:f>
        <x:v>1</x:v>
      </x:c>
      <x:c r="F220" s="1"/>
      <x:c r="G220" s="1"/>
    </x:row>
    <x:row r="221" ht="26" customHeight="1">
      <x:c r="A221" s="1" t="str">
        <x:v>Входы H</x:v>
      </x:c>
      <x:c r="B221" s="1" t="str">
        <x:v>O5</x:v>
      </x:c>
      <x:c r="C221" s="1">
        <x:v>0.20000000000000001</x:v>
      </x:c>
      <x:c r="D221" s="1">
        <x:f>'Входы H'!O5</x:f>
        <x:v>0.20000000000000001</x:v>
      </x:c>
      <x:c r="E221" s="1">
        <x:f>IF(C221=D221,1,0)</x:f>
        <x:v>1</x:v>
      </x:c>
      <x:c r="F221" s="1"/>
      <x:c r="G221" s="1"/>
    </x:row>
    <x:row r="222" ht="26" customHeight="1">
      <x:c r="A222" s="1" t="str">
        <x:v>Входы H</x:v>
      </x:c>
      <x:c r="B222" s="1" t="str">
        <x:v>P5</x:v>
      </x:c>
      <x:c r="C222" s="1">
        <x:v>1</x:v>
      </x:c>
      <x:c r="D222" s="1">
        <x:f>'Входы H'!P5</x:f>
        <x:v>1</x:v>
      </x:c>
      <x:c r="E222" s="1">
        <x:f>IF(C222=D222,1,0)</x:f>
        <x:v>1</x:v>
      </x:c>
      <x:c r="F222" s="1"/>
      <x:c r="G222" s="1"/>
    </x:row>
    <x:row r="223" ht="26" customHeight="1">
      <x:c r="A223" s="1" t="str">
        <x:v>Входы H</x:v>
      </x:c>
      <x:c r="B223" s="1" t="str">
        <x:v>Q5</x:v>
      </x:c>
      <x:c r="C223" s="1">
        <x:v>0.29999999999999999</x:v>
      </x:c>
      <x:c r="D223" s="1">
        <x:f>'Входы H'!Q5</x:f>
        <x:v>0.29999999999999999</x:v>
      </x:c>
      <x:c r="E223" s="1">
        <x:f>IF(C223=D223,1,0)</x:f>
        <x:v>1</x:v>
      </x:c>
      <x:c r="F223" s="1"/>
      <x:c r="G223" s="1"/>
    </x:row>
    <x:row r="224" ht="26" customHeight="1">
      <x:c r="A224" s="1" t="str">
        <x:v>Входы H</x:v>
      </x:c>
      <x:c r="B224" s="1" t="str">
        <x:v>N6</x:v>
      </x:c>
      <x:c r="C224" s="1">
        <x:v>1.5</x:v>
      </x:c>
      <x:c r="D224" s="1">
        <x:f>'Входы H'!N6</x:f>
        <x:v>1.5</x:v>
      </x:c>
      <x:c r="E224" s="1">
        <x:f>IF(C224=D224,1,0)</x:f>
        <x:v>1</x:v>
      </x:c>
      <x:c r="F224" s="1"/>
      <x:c r="G224" s="1"/>
    </x:row>
    <x:row r="225" ht="26" customHeight="1">
      <x:c r="A225" s="1" t="str">
        <x:v>Входы H</x:v>
      </x:c>
      <x:c r="B225" s="1" t="str">
        <x:v>O6</x:v>
      </x:c>
      <x:c r="C225" s="1">
        <x:v>0.20000000000000001</x:v>
      </x:c>
      <x:c r="D225" s="1">
        <x:f>'Входы H'!O6</x:f>
        <x:v>0.20000000000000001</x:v>
      </x:c>
      <x:c r="E225" s="1">
        <x:f>IF(C225=D225,1,0)</x:f>
        <x:v>1</x:v>
      </x:c>
      <x:c r="F225" s="1"/>
      <x:c r="G225" s="1"/>
    </x:row>
    <x:row r="226" ht="26" customHeight="1">
      <x:c r="A226" s="1" t="str">
        <x:v>Входы H</x:v>
      </x:c>
      <x:c r="B226" s="1" t="str">
        <x:v>P6</x:v>
      </x:c>
      <x:c r="C226" s="1">
        <x:v>1</x:v>
      </x:c>
      <x:c r="D226" s="1">
        <x:f>'Входы H'!P6</x:f>
        <x:v>1</x:v>
      </x:c>
      <x:c r="E226" s="1">
        <x:f>IF(C226=D226,1,0)</x:f>
        <x:v>1</x:v>
      </x:c>
      <x:c r="F226" s="1"/>
      <x:c r="G226" s="1"/>
    </x:row>
    <x:row r="227" ht="26" customHeight="1">
      <x:c r="A227" s="1" t="str">
        <x:v>Входы H</x:v>
      </x:c>
      <x:c r="B227" s="1" t="str">
        <x:v>Q6</x:v>
      </x:c>
      <x:c r="C227" s="1">
        <x:v>0.29999999999999999</x:v>
      </x:c>
      <x:c r="D227" s="1">
        <x:f>'Входы H'!Q6</x:f>
        <x:v>0.29999999999999999</x:v>
      </x:c>
      <x:c r="E227" s="1">
        <x:f>IF(C227=D227,1,0)</x:f>
        <x:v>1</x:v>
      </x:c>
      <x:c r="F227" s="1"/>
      <x:c r="G227" s="1"/>
    </x:row>
    <x:row r="228" ht="26" customHeight="1">
      <x:c r="A228" s="1" t="str">
        <x:v>Входы H</x:v>
      </x:c>
      <x:c r="B228" s="1" t="str">
        <x:v>N7</x:v>
      </x:c>
      <x:c r="C228" s="1">
        <x:v>1.5</x:v>
      </x:c>
      <x:c r="D228" s="1">
        <x:f>'Входы H'!N7</x:f>
        <x:v>1.5</x:v>
      </x:c>
      <x:c r="E228" s="1">
        <x:f>IF(C228=D228,1,0)</x:f>
        <x:v>1</x:v>
      </x:c>
      <x:c r="F228" s="1"/>
      <x:c r="G228" s="1"/>
    </x:row>
    <x:row r="229" ht="26" customHeight="1">
      <x:c r="A229" s="1" t="str">
        <x:v>Входы H</x:v>
      </x:c>
      <x:c r="B229" s="1" t="str">
        <x:v>O7</x:v>
      </x:c>
      <x:c r="C229" s="1">
        <x:v>0.20000000000000001</x:v>
      </x:c>
      <x:c r="D229" s="1">
        <x:f>'Входы H'!O7</x:f>
        <x:v>0.20000000000000001</x:v>
      </x:c>
      <x:c r="E229" s="1">
        <x:f>IF(C229=D229,1,0)</x:f>
        <x:v>1</x:v>
      </x:c>
      <x:c r="F229" s="1"/>
      <x:c r="G229" s="1"/>
    </x:row>
    <x:row r="230" ht="26" customHeight="1">
      <x:c r="A230" s="1" t="str">
        <x:v>Входы H</x:v>
      </x:c>
      <x:c r="B230" s="1" t="str">
        <x:v>P7</x:v>
      </x:c>
      <x:c r="C230" s="1">
        <x:v>1</x:v>
      </x:c>
      <x:c r="D230" s="1">
        <x:f>'Входы H'!P7</x:f>
        <x:v>1</x:v>
      </x:c>
      <x:c r="E230" s="1">
        <x:f>IF(C230=D230,1,0)</x:f>
        <x:v>1</x:v>
      </x:c>
      <x:c r="F230" s="1"/>
      <x:c r="G230" s="1"/>
    </x:row>
    <x:row r="231" ht="26" customHeight="1">
      <x:c r="A231" s="1" t="str">
        <x:v>Входы H</x:v>
      </x:c>
      <x:c r="B231" s="1" t="str">
        <x:v>Q7</x:v>
      </x:c>
      <x:c r="C231" s="1">
        <x:v>0.29999999999999999</x:v>
      </x:c>
      <x:c r="D231" s="1">
        <x:f>'Входы H'!Q7</x:f>
        <x:v>0.29999999999999999</x:v>
      </x:c>
      <x:c r="E231" s="1">
        <x:f>IF(C231=D231,1,0)</x:f>
        <x:v>1</x:v>
      </x:c>
      <x:c r="F231" s="1"/>
      <x:c r="G231" s="1"/>
    </x:row>
    <x:row r="232" ht="26" customHeight="1">
      <x:c r="A232" s="1" t="str">
        <x:v>Входы H</x:v>
      </x:c>
      <x:c r="B232" s="1" t="str">
        <x:v>N8</x:v>
      </x:c>
      <x:c r="C232" s="1">
        <x:v>1.5</x:v>
      </x:c>
      <x:c r="D232" s="1">
        <x:f>'Входы H'!N8</x:f>
        <x:v>1.5</x:v>
      </x:c>
      <x:c r="E232" s="1">
        <x:f>IF(C232=D232,1,0)</x:f>
        <x:v>1</x:v>
      </x:c>
      <x:c r="F232" s="1"/>
      <x:c r="G232" s="1"/>
    </x:row>
    <x:row r="233" ht="26" customHeight="1">
      <x:c r="A233" s="1" t="str">
        <x:v>Входы H</x:v>
      </x:c>
      <x:c r="B233" s="1" t="str">
        <x:v>O8</x:v>
      </x:c>
      <x:c r="C233" s="1">
        <x:v>0.20000000000000001</x:v>
      </x:c>
      <x:c r="D233" s="1">
        <x:f>'Входы H'!O8</x:f>
        <x:v>0.20000000000000001</x:v>
      </x:c>
      <x:c r="E233" s="1">
        <x:f>IF(C233=D233,1,0)</x:f>
        <x:v>1</x:v>
      </x:c>
      <x:c r="F233" s="1"/>
      <x:c r="G233" s="1"/>
    </x:row>
    <x:row r="234" ht="26" customHeight="1">
      <x:c r="A234" s="1" t="str">
        <x:v>Входы H</x:v>
      </x:c>
      <x:c r="B234" s="1" t="str">
        <x:v>P8</x:v>
      </x:c>
      <x:c r="C234" s="1">
        <x:v>1</x:v>
      </x:c>
      <x:c r="D234" s="1">
        <x:f>'Входы H'!P8</x:f>
        <x:v>1</x:v>
      </x:c>
      <x:c r="E234" s="1">
        <x:f>IF(C234=D234,1,0)</x:f>
        <x:v>1</x:v>
      </x:c>
      <x:c r="F234" s="1"/>
      <x:c r="G234" s="1"/>
    </x:row>
    <x:row r="235" ht="26" customHeight="1">
      <x:c r="A235" s="1" t="str">
        <x:v>Входы H</x:v>
      </x:c>
      <x:c r="B235" s="1" t="str">
        <x:v>Q8</x:v>
      </x:c>
      <x:c r="C235" s="1">
        <x:v>0.29999999999999999</x:v>
      </x:c>
      <x:c r="D235" s="1">
        <x:f>'Входы H'!Q8</x:f>
        <x:v>0.29999999999999999</x:v>
      </x:c>
      <x:c r="E235" s="1">
        <x:f>IF(C235=D235,1,0)</x:f>
        <x:v>1</x:v>
      </x:c>
      <x:c r="F235" s="1"/>
      <x:c r="G235" s="1"/>
    </x:row>
    <x:row r="236" ht="26" customHeight="1">
      <x:c r="A236" s="1" t="str">
        <x:v>Входы H</x:v>
      </x:c>
      <x:c r="B236" s="1" t="str">
        <x:v>N9</x:v>
      </x:c>
      <x:c r="C236" s="1">
        <x:v>1.5</x:v>
      </x:c>
      <x:c r="D236" s="1">
        <x:f>'Входы H'!N9</x:f>
        <x:v>1.5</x:v>
      </x:c>
      <x:c r="E236" s="1">
        <x:f>IF(C236=D236,1,0)</x:f>
        <x:v>1</x:v>
      </x:c>
      <x:c r="F236" s="1"/>
      <x:c r="G236" s="1"/>
    </x:row>
    <x:row r="237" ht="26" customHeight="1">
      <x:c r="A237" s="1" t="str">
        <x:v>Входы H</x:v>
      </x:c>
      <x:c r="B237" s="1" t="str">
        <x:v>O9</x:v>
      </x:c>
      <x:c r="C237" s="1">
        <x:v>0.20000000000000001</x:v>
      </x:c>
      <x:c r="D237" s="1">
        <x:f>'Входы H'!O9</x:f>
        <x:v>0.20000000000000001</x:v>
      </x:c>
      <x:c r="E237" s="1">
        <x:f>IF(C237=D237,1,0)</x:f>
        <x:v>1</x:v>
      </x:c>
      <x:c r="F237" s="1"/>
      <x:c r="G237" s="1"/>
    </x:row>
    <x:row r="238" ht="26" customHeight="1">
      <x:c r="A238" s="1" t="str">
        <x:v>Входы H</x:v>
      </x:c>
      <x:c r="B238" s="1" t="str">
        <x:v>P9</x:v>
      </x:c>
      <x:c r="C238" s="1">
        <x:v>1</x:v>
      </x:c>
      <x:c r="D238" s="1">
        <x:f>'Входы H'!P9</x:f>
        <x:v>1</x:v>
      </x:c>
      <x:c r="E238" s="1">
        <x:f>IF(C238=D238,1,0)</x:f>
        <x:v>1</x:v>
      </x:c>
      <x:c r="F238" s="1"/>
      <x:c r="G238" s="1"/>
    </x:row>
    <x:row r="239" ht="26" customHeight="1">
      <x:c r="A239" s="1" t="str">
        <x:v>Входы H</x:v>
      </x:c>
      <x:c r="B239" s="1" t="str">
        <x:v>Q9</x:v>
      </x:c>
      <x:c r="C239" s="1">
        <x:v>0.29999999999999999</x:v>
      </x:c>
      <x:c r="D239" s="1">
        <x:f>'Входы H'!Q9</x:f>
        <x:v>0.29999999999999999</x:v>
      </x:c>
      <x:c r="E239" s="1">
        <x:f>IF(C239=D239,1,0)</x:f>
        <x:v>1</x:v>
      </x:c>
      <x:c r="F239" s="1"/>
      <x:c r="G239" s="1"/>
    </x:row>
    <x:row r="240" ht="26" customHeight="1">
      <x:c r="A240" s="1" t="str">
        <x:v>Входы H</x:v>
      </x:c>
      <x:c r="B240" s="1" t="str">
        <x:v>N10</x:v>
      </x:c>
      <x:c r="C240" s="1">
        <x:v>1.5</x:v>
      </x:c>
      <x:c r="D240" s="1">
        <x:f>'Входы H'!N10</x:f>
        <x:v>1.5</x:v>
      </x:c>
      <x:c r="E240" s="1">
        <x:f>IF(C240=D240,1,0)</x:f>
        <x:v>1</x:v>
      </x:c>
      <x:c r="F240" s="1"/>
      <x:c r="G240" s="1"/>
    </x:row>
    <x:row r="241" ht="26" customHeight="1">
      <x:c r="A241" s="1" t="str">
        <x:v>Входы H</x:v>
      </x:c>
      <x:c r="B241" s="1" t="str">
        <x:v>O10</x:v>
      </x:c>
      <x:c r="C241" s="1">
        <x:v>0.20000000000000001</x:v>
      </x:c>
      <x:c r="D241" s="1">
        <x:f>'Входы H'!O10</x:f>
        <x:v>0.20000000000000001</x:v>
      </x:c>
      <x:c r="E241" s="1">
        <x:f>IF(C241=D241,1,0)</x:f>
        <x:v>1</x:v>
      </x:c>
      <x:c r="F241" s="1"/>
      <x:c r="G241" s="1"/>
    </x:row>
    <x:row r="242" ht="26" customHeight="1">
      <x:c r="A242" s="1" t="str">
        <x:v>Входы H</x:v>
      </x:c>
      <x:c r="B242" s="1" t="str">
        <x:v>P10</x:v>
      </x:c>
      <x:c r="C242" s="1">
        <x:v>1</x:v>
      </x:c>
      <x:c r="D242" s="1">
        <x:f>'Входы H'!P10</x:f>
        <x:v>1</x:v>
      </x:c>
      <x:c r="E242" s="1">
        <x:f>IF(C242=D242,1,0)</x:f>
        <x:v>1</x:v>
      </x:c>
      <x:c r="F242" s="1"/>
      <x:c r="G242" s="1"/>
    </x:row>
    <x:row r="243" ht="26" customHeight="1">
      <x:c r="A243" s="1" t="str">
        <x:v>Входы H</x:v>
      </x:c>
      <x:c r="B243" s="1" t="str">
        <x:v>Q10</x:v>
      </x:c>
      <x:c r="C243" s="1">
        <x:v>0.29999999999999999</x:v>
      </x:c>
      <x:c r="D243" s="1">
        <x:f>'Входы H'!Q10</x:f>
        <x:v>0.29999999999999999</x:v>
      </x:c>
      <x:c r="E243" s="1">
        <x:f>IF(C243=D243,1,0)</x:f>
        <x:v>1</x:v>
      </x:c>
      <x:c r="F243" s="1"/>
      <x:c r="G243" s="1"/>
    </x:row>
    <x:row r="244" ht="26" customHeight="1">
      <x:c r="A244" s="1" t="str">
        <x:v>Входы H</x:v>
      </x:c>
      <x:c r="B244" s="1" t="str">
        <x:v>N11</x:v>
      </x:c>
      <x:c r="C244" s="1">
        <x:v>1.5</x:v>
      </x:c>
      <x:c r="D244" s="1">
        <x:f>'Входы H'!N11</x:f>
        <x:v>1.5</x:v>
      </x:c>
      <x:c r="E244" s="1">
        <x:f>IF(C244=D244,1,0)</x:f>
        <x:v>1</x:v>
      </x:c>
      <x:c r="F244" s="1"/>
      <x:c r="G244" s="1"/>
    </x:row>
    <x:row r="245" ht="26" customHeight="1">
      <x:c r="A245" s="1" t="str">
        <x:v>Входы H</x:v>
      </x:c>
      <x:c r="B245" s="1" t="str">
        <x:v>O11</x:v>
      </x:c>
      <x:c r="C245" s="1">
        <x:v>0.20000000000000001</x:v>
      </x:c>
      <x:c r="D245" s="1">
        <x:f>'Входы H'!O11</x:f>
        <x:v>0.20000000000000001</x:v>
      </x:c>
      <x:c r="E245" s="1">
        <x:f>IF(C245=D245,1,0)</x:f>
        <x:v>1</x:v>
      </x:c>
      <x:c r="F245" s="1"/>
      <x:c r="G245" s="1"/>
    </x:row>
    <x:row r="246" ht="26" customHeight="1">
      <x:c r="A246" s="1" t="str">
        <x:v>Входы H</x:v>
      </x:c>
      <x:c r="B246" s="1" t="str">
        <x:v>P11</x:v>
      </x:c>
      <x:c r="C246" s="1">
        <x:v>1</x:v>
      </x:c>
      <x:c r="D246" s="1">
        <x:f>'Входы H'!P11</x:f>
        <x:v>1</x:v>
      </x:c>
      <x:c r="E246" s="1">
        <x:f>IF(C246=D246,1,0)</x:f>
        <x:v>1</x:v>
      </x:c>
      <x:c r="F246" s="1"/>
      <x:c r="G246" s="1"/>
    </x:row>
    <x:row r="247" ht="26" customHeight="1">
      <x:c r="A247" s="1" t="str">
        <x:v>Входы H</x:v>
      </x:c>
      <x:c r="B247" s="1" t="str">
        <x:v>Q11</x:v>
      </x:c>
      <x:c r="C247" s="1">
        <x:v>0.29999999999999999</x:v>
      </x:c>
      <x:c r="D247" s="1">
        <x:f>'Входы H'!Q11</x:f>
        <x:v>0.29999999999999999</x:v>
      </x:c>
      <x:c r="E247" s="1">
        <x:f>IF(C247=D247,1,0)</x:f>
        <x:v>1</x:v>
      </x:c>
      <x:c r="F247" s="1"/>
      <x:c r="G247" s="1"/>
    </x:row>
    <x:row r="248" ht="26" customHeight="1">
      <x:c r="A248" s="1" t="str">
        <x:v>Входы H</x:v>
      </x:c>
      <x:c r="B248" s="1" t="str">
        <x:v>N12</x:v>
      </x:c>
      <x:c r="C248" s="1">
        <x:v>1.5</x:v>
      </x:c>
      <x:c r="D248" s="1">
        <x:f>'Входы H'!N12</x:f>
        <x:v>1.5</x:v>
      </x:c>
      <x:c r="E248" s="1">
        <x:f>IF(C248=D248,1,0)</x:f>
        <x:v>1</x:v>
      </x:c>
      <x:c r="F248" s="1"/>
      <x:c r="G248" s="1"/>
    </x:row>
    <x:row r="249" ht="26" customHeight="1">
      <x:c r="A249" s="1" t="str">
        <x:v>Входы H</x:v>
      </x:c>
      <x:c r="B249" s="1" t="str">
        <x:v>O12</x:v>
      </x:c>
      <x:c r="C249" s="1">
        <x:v>0.20000000000000001</x:v>
      </x:c>
      <x:c r="D249" s="1">
        <x:f>'Входы H'!O12</x:f>
        <x:v>0.20000000000000001</x:v>
      </x:c>
      <x:c r="E249" s="1">
        <x:f>IF(C249=D249,1,0)</x:f>
        <x:v>1</x:v>
      </x:c>
      <x:c r="F249" s="1"/>
      <x:c r="G249" s="1"/>
    </x:row>
    <x:row r="250" ht="26" customHeight="1">
      <x:c r="A250" s="1" t="str">
        <x:v>Входы H</x:v>
      </x:c>
      <x:c r="B250" s="1" t="str">
        <x:v>P12</x:v>
      </x:c>
      <x:c r="C250" s="1">
        <x:v>1</x:v>
      </x:c>
      <x:c r="D250" s="1">
        <x:f>'Входы H'!P12</x:f>
        <x:v>1</x:v>
      </x:c>
      <x:c r="E250" s="1">
        <x:f>IF(C250=D250,1,0)</x:f>
        <x:v>1</x:v>
      </x:c>
      <x:c r="F250" s="1"/>
      <x:c r="G250" s="1"/>
    </x:row>
    <x:row r="251" ht="26" customHeight="1">
      <x:c r="A251" s="1" t="str">
        <x:v>Входы H</x:v>
      </x:c>
      <x:c r="B251" s="1" t="str">
        <x:v>Q12</x:v>
      </x:c>
      <x:c r="C251" s="1">
        <x:v>0.29999999999999999</x:v>
      </x:c>
      <x:c r="D251" s="1">
        <x:f>'Входы H'!Q12</x:f>
        <x:v>0.29999999999999999</x:v>
      </x:c>
      <x:c r="E251" s="1">
        <x:f>IF(C251=D251,1,0)</x:f>
        <x:v>1</x:v>
      </x:c>
      <x:c r="F251" s="1"/>
      <x:c r="G251" s="1"/>
    </x:row>
    <x:row r="252" ht="26" customHeight="1">
      <x:c r="A252" s="1" t="str">
        <x:v>Входы H</x:v>
      </x:c>
      <x:c r="B252" s="1" t="str">
        <x:v>N13</x:v>
      </x:c>
      <x:c r="C252" s="1">
        <x:v>1.5</x:v>
      </x:c>
      <x:c r="D252" s="1">
        <x:f>'Входы H'!N13</x:f>
        <x:v>1.5</x:v>
      </x:c>
      <x:c r="E252" s="1">
        <x:f>IF(C252=D252,1,0)</x:f>
        <x:v>1</x:v>
      </x:c>
      <x:c r="F252" s="1"/>
      <x:c r="G252" s="1"/>
    </x:row>
    <x:row r="253" ht="26" customHeight="1">
      <x:c r="A253" s="1" t="str">
        <x:v>Входы H</x:v>
      </x:c>
      <x:c r="B253" s="1" t="str">
        <x:v>O13</x:v>
      </x:c>
      <x:c r="C253" s="1">
        <x:v>0.20000000000000001</x:v>
      </x:c>
      <x:c r="D253" s="1">
        <x:f>'Входы H'!O13</x:f>
        <x:v>0.20000000000000001</x:v>
      </x:c>
      <x:c r="E253" s="1">
        <x:f>IF(C253=D253,1,0)</x:f>
        <x:v>1</x:v>
      </x:c>
      <x:c r="F253" s="1"/>
      <x:c r="G253" s="1"/>
    </x:row>
    <x:row r="254" ht="26" customHeight="1">
      <x:c r="A254" s="1" t="str">
        <x:v>Входы H</x:v>
      </x:c>
      <x:c r="B254" s="1" t="str">
        <x:v>P13</x:v>
      </x:c>
      <x:c r="C254" s="1">
        <x:v>1</x:v>
      </x:c>
      <x:c r="D254" s="1">
        <x:f>'Входы H'!P13</x:f>
        <x:v>1</x:v>
      </x:c>
      <x:c r="E254" s="1">
        <x:f>IF(C254=D254,1,0)</x:f>
        <x:v>1</x:v>
      </x:c>
      <x:c r="F254" s="1"/>
      <x:c r="G254" s="1"/>
    </x:row>
    <x:row r="255" ht="26" customHeight="1">
      <x:c r="A255" s="1" t="str">
        <x:v>Входы H</x:v>
      </x:c>
      <x:c r="B255" s="1" t="str">
        <x:v>Q13</x:v>
      </x:c>
      <x:c r="C255" s="1">
        <x:v>0.29999999999999999</x:v>
      </x:c>
      <x:c r="D255" s="1">
        <x:f>'Входы H'!Q13</x:f>
        <x:v>0.29999999999999999</x:v>
      </x:c>
      <x:c r="E255" s="1">
        <x:f>IF(C255=D255,1,0)</x:f>
        <x:v>1</x:v>
      </x:c>
      <x:c r="F255" s="1"/>
      <x:c r="G255" s="1"/>
    </x:row>
    <x:row r="256" ht="26" customHeight="1">
      <x:c r="A256" s="1" t="str">
        <x:v>Входы H</x:v>
      </x:c>
      <x:c r="B256" s="1" t="str">
        <x:v>N14</x:v>
      </x:c>
      <x:c r="C256" s="1">
        <x:v>1.5</x:v>
      </x:c>
      <x:c r="D256" s="1">
        <x:f>'Входы H'!N14</x:f>
        <x:v>1.5</x:v>
      </x:c>
      <x:c r="E256" s="1">
        <x:f>IF(C256=D256,1,0)</x:f>
        <x:v>1</x:v>
      </x:c>
      <x:c r="F256" s="1"/>
      <x:c r="G256" s="1"/>
    </x:row>
    <x:row r="257" ht="26" customHeight="1">
      <x:c r="A257" s="1" t="str">
        <x:v>Входы H</x:v>
      </x:c>
      <x:c r="B257" s="1" t="str">
        <x:v>O14</x:v>
      </x:c>
      <x:c r="C257" s="1">
        <x:v>0.20000000000000001</x:v>
      </x:c>
      <x:c r="D257" s="1">
        <x:f>'Входы H'!O14</x:f>
        <x:v>0.20000000000000001</x:v>
      </x:c>
      <x:c r="E257" s="1">
        <x:f>IF(C257=D257,1,0)</x:f>
        <x:v>1</x:v>
      </x:c>
      <x:c r="F257" s="1"/>
      <x:c r="G257" s="1"/>
    </x:row>
    <x:row r="258" ht="26" customHeight="1">
      <x:c r="A258" s="1" t="str">
        <x:v>Входы H</x:v>
      </x:c>
      <x:c r="B258" s="1" t="str">
        <x:v>P14</x:v>
      </x:c>
      <x:c r="C258" s="1">
        <x:v>1</x:v>
      </x:c>
      <x:c r="D258" s="1">
        <x:f>'Входы H'!P14</x:f>
        <x:v>1</x:v>
      </x:c>
      <x:c r="E258" s="1">
        <x:f>IF(C258=D258,1,0)</x:f>
        <x:v>1</x:v>
      </x:c>
      <x:c r="F258" s="1"/>
      <x:c r="G258" s="1"/>
    </x:row>
    <x:row r="259" ht="26" customHeight="1">
      <x:c r="A259" s="1" t="str">
        <x:v>Входы H</x:v>
      </x:c>
      <x:c r="B259" s="1" t="str">
        <x:v>Q14</x:v>
      </x:c>
      <x:c r="C259" s="1">
        <x:v>0.29999999999999999</x:v>
      </x:c>
      <x:c r="D259" s="1">
        <x:f>'Входы H'!Q14</x:f>
        <x:v>0.29999999999999999</x:v>
      </x:c>
      <x:c r="E259" s="1">
        <x:f>IF(C259=D259,1,0)</x:f>
        <x:v>1</x:v>
      </x:c>
      <x:c r="F259" s="1"/>
      <x:c r="G259" s="1"/>
    </x:row>
    <x:row r="260" ht="26" customHeight="1">
      <x:c r="A260" s="1" t="str">
        <x:v>Входы H</x:v>
      </x:c>
      <x:c r="B260" s="1" t="str">
        <x:v>N15</x:v>
      </x:c>
      <x:c r="C260" s="1">
        <x:v>1.5</x:v>
      </x:c>
      <x:c r="D260" s="1">
        <x:f>'Входы H'!N15</x:f>
        <x:v>1.5</x:v>
      </x:c>
      <x:c r="E260" s="1">
        <x:f>IF(C260=D260,1,0)</x:f>
        <x:v>1</x:v>
      </x:c>
      <x:c r="F260" s="1"/>
      <x:c r="G260" s="1"/>
    </x:row>
    <x:row r="261" ht="26" customHeight="1">
      <x:c r="A261" s="1" t="str">
        <x:v>Входы H</x:v>
      </x:c>
      <x:c r="B261" s="1" t="str">
        <x:v>O15</x:v>
      </x:c>
      <x:c r="C261" s="1">
        <x:v>0.20000000000000001</x:v>
      </x:c>
      <x:c r="D261" s="1">
        <x:f>'Входы H'!O15</x:f>
        <x:v>0.20000000000000001</x:v>
      </x:c>
      <x:c r="E261" s="1">
        <x:f>IF(C261=D261,1,0)</x:f>
        <x:v>1</x:v>
      </x:c>
      <x:c r="F261" s="1"/>
      <x:c r="G261" s="1"/>
    </x:row>
    <x:row r="262" ht="26" customHeight="1">
      <x:c r="A262" s="1" t="str">
        <x:v>Входы H</x:v>
      </x:c>
      <x:c r="B262" s="1" t="str">
        <x:v>P15</x:v>
      </x:c>
      <x:c r="C262" s="1">
        <x:v>1</x:v>
      </x:c>
      <x:c r="D262" s="1">
        <x:f>'Входы H'!P15</x:f>
        <x:v>1</x:v>
      </x:c>
      <x:c r="E262" s="1">
        <x:f>IF(C262=D262,1,0)</x:f>
        <x:v>1</x:v>
      </x:c>
      <x:c r="F262" s="1"/>
      <x:c r="G262" s="1"/>
    </x:row>
    <x:row r="263" ht="26" customHeight="1">
      <x:c r="A263" s="1" t="str">
        <x:v>Входы H</x:v>
      </x:c>
      <x:c r="B263" s="1" t="str">
        <x:v>Q15</x:v>
      </x:c>
      <x:c r="C263" s="1">
        <x:v>0.29999999999999999</x:v>
      </x:c>
      <x:c r="D263" s="1">
        <x:f>'Входы H'!Q15</x:f>
        <x:v>0.29999999999999999</x:v>
      </x:c>
      <x:c r="E263" s="1">
        <x:f>IF(C263=D263,1,0)</x:f>
        <x:v>1</x:v>
      </x:c>
      <x:c r="F263" s="1"/>
      <x:c r="G263" s="1"/>
    </x:row>
    <x:row r="264" ht="26" customHeight="1">
      <x:c r="A264" s="1" t="str">
        <x:v>Входы H</x:v>
      </x:c>
      <x:c r="B264" s="1" t="str">
        <x:v>N16</x:v>
      </x:c>
      <x:c r="C264" s="1">
        <x:v>1.5</x:v>
      </x:c>
      <x:c r="D264" s="1">
        <x:f>'Входы H'!N16</x:f>
        <x:v>1.5</x:v>
      </x:c>
      <x:c r="E264" s="1">
        <x:f>IF(C264=D264,1,0)</x:f>
        <x:v>1</x:v>
      </x:c>
      <x:c r="F264" s="1"/>
      <x:c r="G264" s="1"/>
    </x:row>
    <x:row r="265" ht="26" customHeight="1">
      <x:c r="A265" s="1" t="str">
        <x:v>Входы H</x:v>
      </x:c>
      <x:c r="B265" s="1" t="str">
        <x:v>O16</x:v>
      </x:c>
      <x:c r="C265" s="1">
        <x:v>0.20000000000000001</x:v>
      </x:c>
      <x:c r="D265" s="1">
        <x:f>'Входы H'!O16</x:f>
        <x:v>0.20000000000000001</x:v>
      </x:c>
      <x:c r="E265" s="1">
        <x:f>IF(C265=D265,1,0)</x:f>
        <x:v>1</x:v>
      </x:c>
      <x:c r="F265" s="1"/>
      <x:c r="G265" s="1"/>
    </x:row>
    <x:row r="266" ht="26" customHeight="1">
      <x:c r="A266" s="1" t="str">
        <x:v>Входы H</x:v>
      </x:c>
      <x:c r="B266" s="1" t="str">
        <x:v>P16</x:v>
      </x:c>
      <x:c r="C266" s="1">
        <x:v>1</x:v>
      </x:c>
      <x:c r="D266" s="1">
        <x:f>'Входы H'!P16</x:f>
        <x:v>1</x:v>
      </x:c>
      <x:c r="E266" s="1">
        <x:f>IF(C266=D266,1,0)</x:f>
        <x:v>1</x:v>
      </x:c>
      <x:c r="F266" s="1"/>
      <x:c r="G266" s="1"/>
    </x:row>
    <x:row r="267" ht="26" customHeight="1">
      <x:c r="A267" s="1" t="str">
        <x:v>Входы H</x:v>
      </x:c>
      <x:c r="B267" s="1" t="str">
        <x:v>Q16</x:v>
      </x:c>
      <x:c r="C267" s="1">
        <x:v>0.29999999999999999</x:v>
      </x:c>
      <x:c r="D267" s="1">
        <x:f>'Входы H'!Q16</x:f>
        <x:v>0.29999999999999999</x:v>
      </x:c>
      <x:c r="E267" s="1">
        <x:f>IF(C267=D267,1,0)</x:f>
        <x:v>1</x:v>
      </x:c>
      <x:c r="F267" s="1"/>
      <x:c r="G267" s="1"/>
    </x:row>
    <x:row r="268" ht="26" customHeight="1">
      <x:c r="A268" s="1" t="str">
        <x:v>Входы H</x:v>
      </x:c>
      <x:c r="B268" s="1" t="str">
        <x:v>N17</x:v>
      </x:c>
      <x:c r="C268" s="1">
        <x:v>1.5</x:v>
      </x:c>
      <x:c r="D268" s="1">
        <x:f>'Входы H'!N17</x:f>
        <x:v>1.5</x:v>
      </x:c>
      <x:c r="E268" s="1">
        <x:f>IF(C268=D268,1,0)</x:f>
        <x:v>1</x:v>
      </x:c>
      <x:c r="F268" s="1"/>
      <x:c r="G268" s="1"/>
    </x:row>
    <x:row r="269" ht="26" customHeight="1">
      <x:c r="A269" s="1" t="str">
        <x:v>Входы H</x:v>
      </x:c>
      <x:c r="B269" s="1" t="str">
        <x:v>O17</x:v>
      </x:c>
      <x:c r="C269" s="1">
        <x:v>0.20000000000000001</x:v>
      </x:c>
      <x:c r="D269" s="1">
        <x:f>'Входы H'!O17</x:f>
        <x:v>0.20000000000000001</x:v>
      </x:c>
      <x:c r="E269" s="1">
        <x:f>IF(C269=D269,1,0)</x:f>
        <x:v>1</x:v>
      </x:c>
      <x:c r="F269" s="1"/>
      <x:c r="G269" s="1"/>
    </x:row>
    <x:row r="270" ht="26" customHeight="1">
      <x:c r="A270" s="1" t="str">
        <x:v>Входы H</x:v>
      </x:c>
      <x:c r="B270" s="1" t="str">
        <x:v>P17</x:v>
      </x:c>
      <x:c r="C270" s="1">
        <x:v>1</x:v>
      </x:c>
      <x:c r="D270" s="1">
        <x:f>'Входы H'!P17</x:f>
        <x:v>1</x:v>
      </x:c>
      <x:c r="E270" s="1">
        <x:f>IF(C270=D270,1,0)</x:f>
        <x:v>1</x:v>
      </x:c>
      <x:c r="F270" s="1"/>
      <x:c r="G270" s="1"/>
    </x:row>
    <x:row r="271" ht="26" customHeight="1">
      <x:c r="A271" s="1" t="str">
        <x:v>Входы H</x:v>
      </x:c>
      <x:c r="B271" s="1" t="str">
        <x:v>Q17</x:v>
      </x:c>
      <x:c r="C271" s="1">
        <x:v>0.29999999999999999</x:v>
      </x:c>
      <x:c r="D271" s="1">
        <x:f>'Входы H'!Q17</x:f>
        <x:v>0.29999999999999999</x:v>
      </x:c>
      <x:c r="E271" s="1">
        <x:f>IF(C271=D271,1,0)</x:f>
        <x:v>1</x:v>
      </x:c>
      <x:c r="F271" s="1"/>
      <x:c r="G271" s="1"/>
    </x:row>
    <x:row r="272" ht="26" customHeight="1">
      <x:c r="A272" s="1" t="str">
        <x:v>Входы H</x:v>
      </x:c>
      <x:c r="B272" s="1" t="str">
        <x:v>N18</x:v>
      </x:c>
      <x:c r="C272" s="1">
        <x:v>1.5</x:v>
      </x:c>
      <x:c r="D272" s="1">
        <x:f>'Входы H'!N18</x:f>
        <x:v>1.5</x:v>
      </x:c>
      <x:c r="E272" s="1">
        <x:f>IF(C272=D272,1,0)</x:f>
        <x:v>1</x:v>
      </x:c>
      <x:c r="F272" s="1"/>
      <x:c r="G272" s="1"/>
    </x:row>
    <x:row r="273" ht="26" customHeight="1">
      <x:c r="A273" s="1" t="str">
        <x:v>Входы H</x:v>
      </x:c>
      <x:c r="B273" s="1" t="str">
        <x:v>O18</x:v>
      </x:c>
      <x:c r="C273" s="1">
        <x:v>0.20000000000000001</x:v>
      </x:c>
      <x:c r="D273" s="1">
        <x:f>'Входы H'!O18</x:f>
        <x:v>0.20000000000000001</x:v>
      </x:c>
      <x:c r="E273" s="1">
        <x:f>IF(C273=D273,1,0)</x:f>
        <x:v>1</x:v>
      </x:c>
      <x:c r="F273" s="1"/>
      <x:c r="G273" s="1"/>
    </x:row>
    <x:row r="274" ht="26" customHeight="1">
      <x:c r="A274" s="1" t="str">
        <x:v>Входы H</x:v>
      </x:c>
      <x:c r="B274" s="1" t="str">
        <x:v>P18</x:v>
      </x:c>
      <x:c r="C274" s="1">
        <x:v>1</x:v>
      </x:c>
      <x:c r="D274" s="1">
        <x:f>'Входы H'!P18</x:f>
        <x:v>1</x:v>
      </x:c>
      <x:c r="E274" s="1">
        <x:f>IF(C274=D274,1,0)</x:f>
        <x:v>1</x:v>
      </x:c>
      <x:c r="F274" s="1"/>
      <x:c r="G274" s="1"/>
    </x:row>
    <x:row r="275" ht="26" customHeight="1">
      <x:c r="A275" s="1" t="str">
        <x:v>Входы H</x:v>
      </x:c>
      <x:c r="B275" s="1" t="str">
        <x:v>Q18</x:v>
      </x:c>
      <x:c r="C275" s="1">
        <x:v>0.29999999999999999</x:v>
      </x:c>
      <x:c r="D275" s="1">
        <x:f>'Входы H'!Q18</x:f>
        <x:v>0.29999999999999999</x:v>
      </x:c>
      <x:c r="E275" s="1">
        <x:f>IF(C275=D275,1,0)</x:f>
        <x:v>1</x:v>
      </x:c>
      <x:c r="F275" s="1"/>
      <x:c r="G275" s="1"/>
    </x:row>
    <x:row r="276" ht="26" customHeight="1">
      <x:c r="A276" s="1" t="str">
        <x:v>Входы H</x:v>
      </x:c>
      <x:c r="B276" s="1" t="str">
        <x:v>N19</x:v>
      </x:c>
      <x:c r="C276" s="1">
        <x:v>1.5</x:v>
      </x:c>
      <x:c r="D276" s="1">
        <x:f>'Входы H'!N19</x:f>
        <x:v>1.5</x:v>
      </x:c>
      <x:c r="E276" s="1">
        <x:f>IF(C276=D276,1,0)</x:f>
        <x:v>1</x:v>
      </x:c>
      <x:c r="F276" s="1"/>
      <x:c r="G276" s="1"/>
    </x:row>
    <x:row r="277" ht="26" customHeight="1">
      <x:c r="A277" s="1" t="str">
        <x:v>Входы H</x:v>
      </x:c>
      <x:c r="B277" s="1" t="str">
        <x:v>O19</x:v>
      </x:c>
      <x:c r="C277" s="1">
        <x:v>0.20000000000000001</x:v>
      </x:c>
      <x:c r="D277" s="1">
        <x:f>'Входы H'!O19</x:f>
        <x:v>0.20000000000000001</x:v>
      </x:c>
      <x:c r="E277" s="1">
        <x:f>IF(C277=D277,1,0)</x:f>
        <x:v>1</x:v>
      </x:c>
      <x:c r="F277" s="1"/>
      <x:c r="G277" s="1"/>
    </x:row>
    <x:row r="278" ht="26" customHeight="1">
      <x:c r="A278" s="1" t="str">
        <x:v>Входы H</x:v>
      </x:c>
      <x:c r="B278" s="1" t="str">
        <x:v>P19</x:v>
      </x:c>
      <x:c r="C278" s="1">
        <x:v>1</x:v>
      </x:c>
      <x:c r="D278" s="1">
        <x:f>'Входы H'!P19</x:f>
        <x:v>1</x:v>
      </x:c>
      <x:c r="E278" s="1">
        <x:f>IF(C278=D278,1,0)</x:f>
        <x:v>1</x:v>
      </x:c>
      <x:c r="F278" s="1"/>
      <x:c r="G278" s="1"/>
    </x:row>
    <x:row r="279" ht="26" customHeight="1">
      <x:c r="A279" s="1" t="str">
        <x:v>Входы H</x:v>
      </x:c>
      <x:c r="B279" s="1" t="str">
        <x:v>Q19</x:v>
      </x:c>
      <x:c r="C279" s="1">
        <x:v>0.29999999999999999</x:v>
      </x:c>
      <x:c r="D279" s="1">
        <x:f>'Входы H'!Q19</x:f>
        <x:v>0.29999999999999999</x:v>
      </x:c>
      <x:c r="E279" s="1">
        <x:f>IF(C279=D279,1,0)</x:f>
        <x:v>1</x:v>
      </x:c>
      <x:c r="F279" s="1"/>
      <x:c r="G279" s="1"/>
    </x:row>
    <x:row r="280" ht="26" customHeight="1">
      <x:c r="A280" s="1" t="str">
        <x:v>Входы H</x:v>
      </x:c>
      <x:c r="B280" s="1" t="str">
        <x:v>N20</x:v>
      </x:c>
      <x:c r="C280" s="1">
        <x:v>1.5</x:v>
      </x:c>
      <x:c r="D280" s="1">
        <x:f>'Входы H'!N20</x:f>
        <x:v>1.5</x:v>
      </x:c>
      <x:c r="E280" s="1">
        <x:f>IF(C280=D280,1,0)</x:f>
        <x:v>1</x:v>
      </x:c>
      <x:c r="F280" s="1"/>
      <x:c r="G280" s="1"/>
    </x:row>
    <x:row r="281" ht="26" customHeight="1">
      <x:c r="A281" s="1" t="str">
        <x:v>Входы H</x:v>
      </x:c>
      <x:c r="B281" s="1" t="str">
        <x:v>O20</x:v>
      </x:c>
      <x:c r="C281" s="1">
        <x:v>0.20000000000000001</x:v>
      </x:c>
      <x:c r="D281" s="1">
        <x:f>'Входы H'!O20</x:f>
        <x:v>0.20000000000000001</x:v>
      </x:c>
      <x:c r="E281" s="1">
        <x:f>IF(C281=D281,1,0)</x:f>
        <x:v>1</x:v>
      </x:c>
      <x:c r="F281" s="1"/>
      <x:c r="G281" s="1"/>
    </x:row>
    <x:row r="282" ht="26" customHeight="1">
      <x:c r="A282" s="1" t="str">
        <x:v>Входы H</x:v>
      </x:c>
      <x:c r="B282" s="1" t="str">
        <x:v>P20</x:v>
      </x:c>
      <x:c r="C282" s="1">
        <x:v>1</x:v>
      </x:c>
      <x:c r="D282" s="1">
        <x:f>'Входы H'!P20</x:f>
        <x:v>1</x:v>
      </x:c>
      <x:c r="E282" s="1">
        <x:f>IF(C282=D282,1,0)</x:f>
        <x:v>1</x:v>
      </x:c>
      <x:c r="F282" s="1"/>
      <x:c r="G282" s="1"/>
    </x:row>
    <x:row r="283" ht="26" customHeight="1">
      <x:c r="A283" s="1" t="str">
        <x:v>Входы H</x:v>
      </x:c>
      <x:c r="B283" s="1" t="str">
        <x:v>Q20</x:v>
      </x:c>
      <x:c r="C283" s="1">
        <x:v>0.29999999999999999</x:v>
      </x:c>
      <x:c r="D283" s="1">
        <x:f>'Входы H'!Q20</x:f>
        <x:v>0.29999999999999999</x:v>
      </x:c>
      <x:c r="E283" s="1">
        <x:f>IF(C283=D283,1,0)</x:f>
        <x:v>1</x:v>
      </x:c>
      <x:c r="F283" s="1"/>
      <x:c r="G283" s="1"/>
    </x:row>
    <x:row r="284" ht="26" customHeight="1">
      <x:c r="A284" s="1" t="str">
        <x:v>Входы H</x:v>
      </x:c>
      <x:c r="B284" s="1" t="str">
        <x:v>N21</x:v>
      </x:c>
      <x:c r="C284" s="1">
        <x:v>1.5</x:v>
      </x:c>
      <x:c r="D284" s="1">
        <x:f>'Входы H'!N21</x:f>
        <x:v>1.5</x:v>
      </x:c>
      <x:c r="E284" s="1">
        <x:f>IF(C284=D284,1,0)</x:f>
        <x:v>1</x:v>
      </x:c>
      <x:c r="F284" s="1"/>
      <x:c r="G284" s="1"/>
    </x:row>
    <x:row r="285" ht="26" customHeight="1">
      <x:c r="A285" s="1" t="str">
        <x:v>Входы H</x:v>
      </x:c>
      <x:c r="B285" s="1" t="str">
        <x:v>O21</x:v>
      </x:c>
      <x:c r="C285" s="1">
        <x:v>0.20000000000000001</x:v>
      </x:c>
      <x:c r="D285" s="1">
        <x:f>'Входы H'!O21</x:f>
        <x:v>0.20000000000000001</x:v>
      </x:c>
      <x:c r="E285" s="1">
        <x:f>IF(C285=D285,1,0)</x:f>
        <x:v>1</x:v>
      </x:c>
      <x:c r="F285" s="1"/>
      <x:c r="G285" s="1"/>
    </x:row>
    <x:row r="286" ht="26" customHeight="1">
      <x:c r="A286" s="1" t="str">
        <x:v>Входы H</x:v>
      </x:c>
      <x:c r="B286" s="1" t="str">
        <x:v>P21</x:v>
      </x:c>
      <x:c r="C286" s="1">
        <x:v>1</x:v>
      </x:c>
      <x:c r="D286" s="1">
        <x:f>'Входы H'!P21</x:f>
        <x:v>1</x:v>
      </x:c>
      <x:c r="E286" s="1">
        <x:f>IF(C286=D286,1,0)</x:f>
        <x:v>1</x:v>
      </x:c>
      <x:c r="F286" s="1"/>
      <x:c r="G286" s="1"/>
    </x:row>
    <x:row r="287" ht="26" customHeight="1">
      <x:c r="A287" s="1" t="str">
        <x:v>Входы H</x:v>
      </x:c>
      <x:c r="B287" s="1" t="str">
        <x:v>Q21</x:v>
      </x:c>
      <x:c r="C287" s="1">
        <x:v>0.29999999999999999</x:v>
      </x:c>
      <x:c r="D287" s="1">
        <x:f>'Входы H'!Q21</x:f>
        <x:v>0.29999999999999999</x:v>
      </x:c>
      <x:c r="E287" s="1">
        <x:f>IF(C287=D287,1,0)</x:f>
        <x:v>1</x:v>
      </x:c>
      <x:c r="F287" s="1"/>
      <x:c r="G287" s="1"/>
    </x:row>
    <x:row r="288" ht="26" customHeight="1">
      <x:c r="A288" s="1" t="str">
        <x:v>Входы H</x:v>
      </x:c>
      <x:c r="B288" s="1" t="str">
        <x:v>N22</x:v>
      </x:c>
      <x:c r="C288" s="1">
        <x:v>1.5</x:v>
      </x:c>
      <x:c r="D288" s="1">
        <x:f>'Входы H'!N22</x:f>
        <x:v>1.5</x:v>
      </x:c>
      <x:c r="E288" s="1">
        <x:f>IF(C288=D288,1,0)</x:f>
        <x:v>1</x:v>
      </x:c>
      <x:c r="F288" s="1"/>
      <x:c r="G288" s="1"/>
    </x:row>
    <x:row r="289" ht="26" customHeight="1">
      <x:c r="A289" s="1" t="str">
        <x:v>Входы H</x:v>
      </x:c>
      <x:c r="B289" s="1" t="str">
        <x:v>O22</x:v>
      </x:c>
      <x:c r="C289" s="1">
        <x:v>0.20000000000000001</x:v>
      </x:c>
      <x:c r="D289" s="1">
        <x:f>'Входы H'!O22</x:f>
        <x:v>0.20000000000000001</x:v>
      </x:c>
      <x:c r="E289" s="1">
        <x:f>IF(C289=D289,1,0)</x:f>
        <x:v>1</x:v>
      </x:c>
      <x:c r="F289" s="1"/>
      <x:c r="G289" s="1"/>
    </x:row>
    <x:row r="290" ht="26" customHeight="1">
      <x:c r="A290" s="1" t="str">
        <x:v>Входы H</x:v>
      </x:c>
      <x:c r="B290" s="1" t="str">
        <x:v>P22</x:v>
      </x:c>
      <x:c r="C290" s="1">
        <x:v>1</x:v>
      </x:c>
      <x:c r="D290" s="1">
        <x:f>'Входы H'!P22</x:f>
        <x:v>1</x:v>
      </x:c>
      <x:c r="E290" s="1">
        <x:f>IF(C290=D290,1,0)</x:f>
        <x:v>1</x:v>
      </x:c>
      <x:c r="F290" s="1"/>
      <x:c r="G290" s="1"/>
    </x:row>
    <x:row r="291" ht="26" customHeight="1">
      <x:c r="A291" s="1" t="str">
        <x:v>Входы H</x:v>
      </x:c>
      <x:c r="B291" s="1" t="str">
        <x:v>Q22</x:v>
      </x:c>
      <x:c r="C291" s="1">
        <x:v>0.29999999999999999</x:v>
      </x:c>
      <x:c r="D291" s="1">
        <x:f>'Входы H'!Q22</x:f>
        <x:v>0.29999999999999999</x:v>
      </x:c>
      <x:c r="E291" s="1">
        <x:f>IF(C291=D291,1,0)</x:f>
        <x:v>1</x:v>
      </x:c>
      <x:c r="F291" s="1"/>
      <x:c r="G291" s="1"/>
    </x:row>
    <x:row r="292" ht="26" customHeight="1">
      <x:c r="A292" s="1" t="str">
        <x:v>Входы H</x:v>
      </x:c>
      <x:c r="B292" s="1" t="str">
        <x:v>N23</x:v>
      </x:c>
      <x:c r="C292" s="1">
        <x:v>1.5</x:v>
      </x:c>
      <x:c r="D292" s="1">
        <x:f>'Входы H'!N23</x:f>
        <x:v>1.5</x:v>
      </x:c>
      <x:c r="E292" s="1">
        <x:f>IF(C292=D292,1,0)</x:f>
        <x:v>1</x:v>
      </x:c>
      <x:c r="F292" s="1"/>
      <x:c r="G292" s="1"/>
    </x:row>
    <x:row r="293" ht="26" customHeight="1">
      <x:c r="A293" s="1" t="str">
        <x:v>Входы H</x:v>
      </x:c>
      <x:c r="B293" s="1" t="str">
        <x:v>O23</x:v>
      </x:c>
      <x:c r="C293" s="1">
        <x:v>0.20000000000000001</x:v>
      </x:c>
      <x:c r="D293" s="1">
        <x:f>'Входы H'!O23</x:f>
        <x:v>0.20000000000000001</x:v>
      </x:c>
      <x:c r="E293" s="1">
        <x:f>IF(C293=D293,1,0)</x:f>
        <x:v>1</x:v>
      </x:c>
      <x:c r="F293" s="1"/>
      <x:c r="G293" s="1"/>
    </x:row>
    <x:row r="294" ht="26" customHeight="1">
      <x:c r="A294" s="1" t="str">
        <x:v>Входы H</x:v>
      </x:c>
      <x:c r="B294" s="1" t="str">
        <x:v>P23</x:v>
      </x:c>
      <x:c r="C294" s="1">
        <x:v>1</x:v>
      </x:c>
      <x:c r="D294" s="1">
        <x:f>'Входы H'!P23</x:f>
        <x:v>1</x:v>
      </x:c>
      <x:c r="E294" s="1">
        <x:f>IF(C294=D294,1,0)</x:f>
        <x:v>1</x:v>
      </x:c>
      <x:c r="F294" s="1"/>
      <x:c r="G294" s="1"/>
    </x:row>
    <x:row r="295" ht="26" customHeight="1">
      <x:c r="A295" s="1" t="str">
        <x:v>Входы H</x:v>
      </x:c>
      <x:c r="B295" s="1" t="str">
        <x:v>Q23</x:v>
      </x:c>
      <x:c r="C295" s="1">
        <x:v>0.29999999999999999</x:v>
      </x:c>
      <x:c r="D295" s="1">
        <x:f>'Входы H'!Q23</x:f>
        <x:v>0.29999999999999999</x:v>
      </x:c>
      <x:c r="E295" s="1">
        <x:f>IF(C295=D295,1,0)</x:f>
        <x:v>1</x:v>
      </x:c>
      <x:c r="F295" s="1"/>
      <x:c r="G295" s="1"/>
    </x:row>
    <x:row r="296" ht="26" customHeight="1">
      <x:c r="A296" s="1" t="str">
        <x:v>Входы H</x:v>
      </x:c>
      <x:c r="B296" s="1" t="str">
        <x:v>N24</x:v>
      </x:c>
      <x:c r="C296" s="1">
        <x:v>1.5</x:v>
      </x:c>
      <x:c r="D296" s="1">
        <x:f>'Входы H'!N24</x:f>
        <x:v>1.5</x:v>
      </x:c>
      <x:c r="E296" s="1">
        <x:f>IF(C296=D296,1,0)</x:f>
        <x:v>1</x:v>
      </x:c>
      <x:c r="F296" s="1"/>
      <x:c r="G296" s="1"/>
    </x:row>
    <x:row r="297" ht="26" customHeight="1">
      <x:c r="A297" s="1" t="str">
        <x:v>Входы H</x:v>
      </x:c>
      <x:c r="B297" s="1" t="str">
        <x:v>O24</x:v>
      </x:c>
      <x:c r="C297" s="1">
        <x:v>0.20000000000000001</x:v>
      </x:c>
      <x:c r="D297" s="1">
        <x:f>'Входы H'!O24</x:f>
        <x:v>0.20000000000000001</x:v>
      </x:c>
      <x:c r="E297" s="1">
        <x:f>IF(C297=D297,1,0)</x:f>
        <x:v>1</x:v>
      </x:c>
      <x:c r="F297" s="1"/>
      <x:c r="G297" s="1"/>
    </x:row>
    <x:row r="298" ht="26" customHeight="1">
      <x:c r="A298" s="1" t="str">
        <x:v>Входы H</x:v>
      </x:c>
      <x:c r="B298" s="1" t="str">
        <x:v>P24</x:v>
      </x:c>
      <x:c r="C298" s="1">
        <x:v>1</x:v>
      </x:c>
      <x:c r="D298" s="1">
        <x:f>'Входы H'!P24</x:f>
        <x:v>1</x:v>
      </x:c>
      <x:c r="E298" s="1">
        <x:f>IF(C298=D298,1,0)</x:f>
        <x:v>1</x:v>
      </x:c>
      <x:c r="F298" s="1"/>
      <x:c r="G298" s="1"/>
    </x:row>
    <x:row r="299" ht="26" customHeight="1">
      <x:c r="A299" s="1" t="str">
        <x:v>Входы H</x:v>
      </x:c>
      <x:c r="B299" s="1" t="str">
        <x:v>Q24</x:v>
      </x:c>
      <x:c r="C299" s="1">
        <x:v>0.29999999999999999</x:v>
      </x:c>
      <x:c r="D299" s="1">
        <x:f>'Входы H'!Q24</x:f>
        <x:v>0.29999999999999999</x:v>
      </x:c>
      <x:c r="E299" s="1">
        <x:f>IF(C299=D299,1,0)</x:f>
        <x:v>1</x:v>
      </x:c>
      <x:c r="F299" s="1"/>
      <x:c r="G299" s="1"/>
    </x:row>
    <x:row r="300" ht="26" customHeight="1">
      <x:c r="A300" s="1" t="str">
        <x:v>Входы H</x:v>
      </x:c>
      <x:c r="B300" s="1" t="str">
        <x:v>N25</x:v>
      </x:c>
      <x:c r="C300" s="1">
        <x:v>1.5</x:v>
      </x:c>
      <x:c r="D300" s="1">
        <x:f>'Входы H'!N25</x:f>
        <x:v>1.5</x:v>
      </x:c>
      <x:c r="E300" s="1">
        <x:f>IF(C300=D300,1,0)</x:f>
        <x:v>1</x:v>
      </x:c>
      <x:c r="F300" s="1"/>
      <x:c r="G300" s="1"/>
    </x:row>
    <x:row r="301" ht="26" customHeight="1">
      <x:c r="A301" s="1" t="str">
        <x:v>Входы H</x:v>
      </x:c>
      <x:c r="B301" s="1" t="str">
        <x:v>O25</x:v>
      </x:c>
      <x:c r="C301" s="1">
        <x:v>0.20000000000000001</x:v>
      </x:c>
      <x:c r="D301" s="1">
        <x:f>'Входы H'!O25</x:f>
        <x:v>0.20000000000000001</x:v>
      </x:c>
      <x:c r="E301" s="1">
        <x:f>IF(C301=D301,1,0)</x:f>
        <x:v>1</x:v>
      </x:c>
      <x:c r="F301" s="1"/>
      <x:c r="G301" s="1"/>
    </x:row>
    <x:row r="302" ht="26" customHeight="1">
      <x:c r="A302" s="1" t="str">
        <x:v>Входы H</x:v>
      </x:c>
      <x:c r="B302" s="1" t="str">
        <x:v>P25</x:v>
      </x:c>
      <x:c r="C302" s="1">
        <x:v>1</x:v>
      </x:c>
      <x:c r="D302" s="1">
        <x:f>'Входы H'!P25</x:f>
        <x:v>1</x:v>
      </x:c>
      <x:c r="E302" s="1">
        <x:f>IF(C302=D302,1,0)</x:f>
        <x:v>1</x:v>
      </x:c>
      <x:c r="F302" s="1"/>
      <x:c r="G302" s="1"/>
    </x:row>
    <x:row r="303" ht="26" customHeight="1">
      <x:c r="A303" s="1" t="str">
        <x:v>Входы H</x:v>
      </x:c>
      <x:c r="B303" s="1" t="str">
        <x:v>Q25</x:v>
      </x:c>
      <x:c r="C303" s="1">
        <x:v>0.29999999999999999</x:v>
      </x:c>
      <x:c r="D303" s="1">
        <x:f>'Входы H'!Q25</x:f>
        <x:v>0.29999999999999999</x:v>
      </x:c>
      <x:c r="E303" s="1">
        <x:f>IF(C303=D303,1,0)</x:f>
        <x:v>1</x:v>
      </x:c>
      <x:c r="F303" s="1"/>
      <x:c r="G303" s="1"/>
    </x:row>
    <x:row r="304" ht="26" customHeight="1">
      <x:c r="A304" s="1" t="str">
        <x:v>Входы H</x:v>
      </x:c>
      <x:c r="B304" s="1" t="str">
        <x:v>N26</x:v>
      </x:c>
      <x:c r="C304" s="1">
        <x:v>1.5</x:v>
      </x:c>
      <x:c r="D304" s="1">
        <x:f>'Входы H'!N26</x:f>
        <x:v>1.5</x:v>
      </x:c>
      <x:c r="E304" s="1">
        <x:f>IF(C304=D304,1,0)</x:f>
        <x:v>1</x:v>
      </x:c>
      <x:c r="F304" s="1"/>
      <x:c r="G304" s="1"/>
    </x:row>
    <x:row r="305" ht="26" customHeight="1">
      <x:c r="A305" s="1" t="str">
        <x:v>Входы H</x:v>
      </x:c>
      <x:c r="B305" s="1" t="str">
        <x:v>O26</x:v>
      </x:c>
      <x:c r="C305" s="1">
        <x:v>0.20000000000000001</x:v>
      </x:c>
      <x:c r="D305" s="1">
        <x:f>'Входы H'!O26</x:f>
        <x:v>0.20000000000000001</x:v>
      </x:c>
      <x:c r="E305" s="1">
        <x:f>IF(C305=D305,1,0)</x:f>
        <x:v>1</x:v>
      </x:c>
      <x:c r="F305" s="1"/>
      <x:c r="G305" s="1"/>
    </x:row>
    <x:row r="306" ht="26" customHeight="1">
      <x:c r="A306" s="1" t="str">
        <x:v>Входы H</x:v>
      </x:c>
      <x:c r="B306" s="1" t="str">
        <x:v>P26</x:v>
      </x:c>
      <x:c r="C306" s="1">
        <x:v>1</x:v>
      </x:c>
      <x:c r="D306" s="1">
        <x:f>'Входы H'!P26</x:f>
        <x:v>1</x:v>
      </x:c>
      <x:c r="E306" s="1">
        <x:f>IF(C306=D306,1,0)</x:f>
        <x:v>1</x:v>
      </x:c>
      <x:c r="F306" s="1"/>
      <x:c r="G306" s="1"/>
    </x:row>
    <x:row r="307" ht="26" customHeight="1">
      <x:c r="A307" s="1" t="str">
        <x:v>Входы H</x:v>
      </x:c>
      <x:c r="B307" s="1" t="str">
        <x:v>Q26</x:v>
      </x:c>
      <x:c r="C307" s="1">
        <x:v>0.29999999999999999</x:v>
      </x:c>
      <x:c r="D307" s="1">
        <x:f>'Входы H'!Q26</x:f>
        <x:v>0.29999999999999999</x:v>
      </x:c>
      <x:c r="E307" s="1">
        <x:f>IF(C307=D307,1,0)</x:f>
        <x:v>1</x:v>
      </x:c>
      <x:c r="F307" s="1"/>
      <x:c r="G307" s="1"/>
    </x:row>
    <x:row r="308" ht="26" customHeight="1">
      <x:c r="A308" s="1" t="str">
        <x:v>Входы H</x:v>
      </x:c>
      <x:c r="B308" s="1" t="str">
        <x:v>N27</x:v>
      </x:c>
      <x:c r="C308" s="1">
        <x:v>1.5</x:v>
      </x:c>
      <x:c r="D308" s="1">
        <x:f>'Входы H'!N27</x:f>
        <x:v>1.5</x:v>
      </x:c>
      <x:c r="E308" s="1">
        <x:f>IF(C308=D308,1,0)</x:f>
        <x:v>1</x:v>
      </x:c>
      <x:c r="F308" s="1"/>
      <x:c r="G308" s="1"/>
    </x:row>
    <x:row r="309" ht="26" customHeight="1">
      <x:c r="A309" s="1" t="str">
        <x:v>Входы H</x:v>
      </x:c>
      <x:c r="B309" s="1" t="str">
        <x:v>O27</x:v>
      </x:c>
      <x:c r="C309" s="1">
        <x:v>0.20000000000000001</x:v>
      </x:c>
      <x:c r="D309" s="1">
        <x:f>'Входы H'!O27</x:f>
        <x:v>0.20000000000000001</x:v>
      </x:c>
      <x:c r="E309" s="1">
        <x:f>IF(C309=D309,1,0)</x:f>
        <x:v>1</x:v>
      </x:c>
      <x:c r="F309" s="1"/>
      <x:c r="G309" s="1"/>
    </x:row>
    <x:row r="310" ht="26" customHeight="1">
      <x:c r="A310" s="1" t="str">
        <x:v>Входы H</x:v>
      </x:c>
      <x:c r="B310" s="1" t="str">
        <x:v>P27</x:v>
      </x:c>
      <x:c r="C310" s="1">
        <x:v>1</x:v>
      </x:c>
      <x:c r="D310" s="1">
        <x:f>'Входы H'!P27</x:f>
        <x:v>1</x:v>
      </x:c>
      <x:c r="E310" s="1">
        <x:f>IF(C310=D310,1,0)</x:f>
        <x:v>1</x:v>
      </x:c>
      <x:c r="F310" s="1"/>
      <x:c r="G310" s="1"/>
    </x:row>
    <x:row r="311" ht="26" customHeight="1">
      <x:c r="A311" s="1" t="str">
        <x:v>Входы H</x:v>
      </x:c>
      <x:c r="B311" s="1" t="str">
        <x:v>Q27</x:v>
      </x:c>
      <x:c r="C311" s="1">
        <x:v>0.29999999999999999</x:v>
      </x:c>
      <x:c r="D311" s="1">
        <x:f>'Входы H'!Q27</x:f>
        <x:v>0.29999999999999999</x:v>
      </x:c>
      <x:c r="E311" s="1">
        <x:f>IF(C311=D311,1,0)</x:f>
        <x:v>1</x:v>
      </x:c>
      <x:c r="F311" s="1"/>
      <x:c r="G311" s="1"/>
    </x:row>
    <x:row r="312" ht="26" customHeight="1">
      <x:c r="A312" s="1" t="str">
        <x:v>Входы H</x:v>
      </x:c>
      <x:c r="B312" s="1" t="str">
        <x:v>N28</x:v>
      </x:c>
      <x:c r="C312" s="1">
        <x:v>1.5</x:v>
      </x:c>
      <x:c r="D312" s="1">
        <x:f>'Входы H'!N28</x:f>
        <x:v>1.5</x:v>
      </x:c>
      <x:c r="E312" s="1">
        <x:f>IF(C312=D312,1,0)</x:f>
        <x:v>1</x:v>
      </x:c>
      <x:c r="F312" s="1"/>
      <x:c r="G312" s="1"/>
    </x:row>
    <x:row r="313" ht="26" customHeight="1">
      <x:c r="A313" s="1" t="str">
        <x:v>Входы H</x:v>
      </x:c>
      <x:c r="B313" s="1" t="str">
        <x:v>O28</x:v>
      </x:c>
      <x:c r="C313" s="1">
        <x:v>0.20000000000000001</x:v>
      </x:c>
      <x:c r="D313" s="1">
        <x:f>'Входы H'!O28</x:f>
        <x:v>0.20000000000000001</x:v>
      </x:c>
      <x:c r="E313" s="1">
        <x:f>IF(C313=D313,1,0)</x:f>
        <x:v>1</x:v>
      </x:c>
      <x:c r="F313" s="1"/>
      <x:c r="G313" s="1"/>
    </x:row>
    <x:row r="314" ht="26" customHeight="1">
      <x:c r="A314" s="1" t="str">
        <x:v>Входы H</x:v>
      </x:c>
      <x:c r="B314" s="1" t="str">
        <x:v>P28</x:v>
      </x:c>
      <x:c r="C314" s="1">
        <x:v>1</x:v>
      </x:c>
      <x:c r="D314" s="1">
        <x:f>'Входы H'!P28</x:f>
        <x:v>1</x:v>
      </x:c>
      <x:c r="E314" s="1">
        <x:f>IF(C314=D314,1,0)</x:f>
        <x:v>1</x:v>
      </x:c>
      <x:c r="F314" s="1"/>
      <x:c r="G314" s="1"/>
    </x:row>
    <x:row r="315" ht="26" customHeight="1">
      <x:c r="A315" s="1" t="str">
        <x:v>Входы H</x:v>
      </x:c>
      <x:c r="B315" s="1" t="str">
        <x:v>Q28</x:v>
      </x:c>
      <x:c r="C315" s="1">
        <x:v>0.29999999999999999</x:v>
      </x:c>
      <x:c r="D315" s="1">
        <x:f>'Входы H'!Q28</x:f>
        <x:v>0.29999999999999999</x:v>
      </x:c>
      <x:c r="E315" s="1">
        <x:f>IF(C315=D315,1,0)</x:f>
        <x:v>1</x:v>
      </x:c>
      <x:c r="F315" s="1"/>
      <x:c r="G315" s="1"/>
    </x:row>
    <x:row r="316" ht="26" customHeight="1">
      <x:c r="A316" s="1" t="str">
        <x:v>Входы H</x:v>
      </x:c>
      <x:c r="B316" s="1" t="str">
        <x:v>N29</x:v>
      </x:c>
      <x:c r="C316" s="1">
        <x:v>1.5</x:v>
      </x:c>
      <x:c r="D316" s="1">
        <x:f>'Входы H'!N29</x:f>
        <x:v>1.5</x:v>
      </x:c>
      <x:c r="E316" s="1">
        <x:f>IF(C316=D316,1,0)</x:f>
        <x:v>1</x:v>
      </x:c>
      <x:c r="F316" s="1"/>
      <x:c r="G316" s="1"/>
    </x:row>
    <x:row r="317" ht="26" customHeight="1">
      <x:c r="A317" s="1" t="str">
        <x:v>Входы H</x:v>
      </x:c>
      <x:c r="B317" s="1" t="str">
        <x:v>O29</x:v>
      </x:c>
      <x:c r="C317" s="1">
        <x:v>0.20000000000000001</x:v>
      </x:c>
      <x:c r="D317" s="1">
        <x:f>'Входы H'!O29</x:f>
        <x:v>0.20000000000000001</x:v>
      </x:c>
      <x:c r="E317" s="1">
        <x:f>IF(C317=D317,1,0)</x:f>
        <x:v>1</x:v>
      </x:c>
      <x:c r="F317" s="1"/>
      <x:c r="G317" s="1"/>
    </x:row>
    <x:row r="318" ht="26" customHeight="1">
      <x:c r="A318" s="1" t="str">
        <x:v>Входы H</x:v>
      </x:c>
      <x:c r="B318" s="1" t="str">
        <x:v>P29</x:v>
      </x:c>
      <x:c r="C318" s="1">
        <x:v>1</x:v>
      </x:c>
      <x:c r="D318" s="1">
        <x:f>'Входы H'!P29</x:f>
        <x:v>1</x:v>
      </x:c>
      <x:c r="E318" s="1">
        <x:f>IF(C318=D318,1,0)</x:f>
        <x:v>1</x:v>
      </x:c>
      <x:c r="F318" s="1"/>
      <x:c r="G318" s="1"/>
    </x:row>
    <x:row r="319" ht="26" customHeight="1">
      <x:c r="A319" s="1" t="str">
        <x:v>Входы H</x:v>
      </x:c>
      <x:c r="B319" s="1" t="str">
        <x:v>Q29</x:v>
      </x:c>
      <x:c r="C319" s="1">
        <x:v>0.29999999999999999</x:v>
      </x:c>
      <x:c r="D319" s="1">
        <x:f>'Входы H'!Q29</x:f>
        <x:v>0.29999999999999999</x:v>
      </x:c>
      <x:c r="E319" s="1">
        <x:f>IF(C319=D319,1,0)</x:f>
        <x:v>1</x:v>
      </x:c>
      <x:c r="F319" s="1"/>
      <x:c r="G319" s="1"/>
    </x:row>
    <x:row r="320" ht="26" customHeight="1">
      <x:c r="A320" s="1" t="str">
        <x:v>Входы H</x:v>
      </x:c>
      <x:c r="B320" s="1" t="str">
        <x:v>N30</x:v>
      </x:c>
      <x:c r="C320" s="1">
        <x:v>1.5</x:v>
      </x:c>
      <x:c r="D320" s="1">
        <x:f>'Входы H'!N30</x:f>
        <x:v>1.5</x:v>
      </x:c>
      <x:c r="E320" s="1">
        <x:f>IF(C320=D320,1,0)</x:f>
        <x:v>1</x:v>
      </x:c>
      <x:c r="F320" s="1"/>
      <x:c r="G320" s="1"/>
    </x:row>
    <x:row r="321" ht="26" customHeight="1">
      <x:c r="A321" s="1" t="str">
        <x:v>Входы H</x:v>
      </x:c>
      <x:c r="B321" s="1" t="str">
        <x:v>O30</x:v>
      </x:c>
      <x:c r="C321" s="1">
        <x:v>0.20000000000000001</x:v>
      </x:c>
      <x:c r="D321" s="1">
        <x:f>'Входы H'!O30</x:f>
        <x:v>0.20000000000000001</x:v>
      </x:c>
      <x:c r="E321" s="1">
        <x:f>IF(C321=D321,1,0)</x:f>
        <x:v>1</x:v>
      </x:c>
      <x:c r="F321" s="1"/>
      <x:c r="G321" s="1"/>
    </x:row>
    <x:row r="322" ht="26" customHeight="1">
      <x:c r="A322" s="1" t="str">
        <x:v>Входы H</x:v>
      </x:c>
      <x:c r="B322" s="1" t="str">
        <x:v>P30</x:v>
      </x:c>
      <x:c r="C322" s="1">
        <x:v>1</x:v>
      </x:c>
      <x:c r="D322" s="1">
        <x:f>'Входы H'!P30</x:f>
        <x:v>1</x:v>
      </x:c>
      <x:c r="E322" s="1">
        <x:f>IF(C322=D322,1,0)</x:f>
        <x:v>1</x:v>
      </x:c>
      <x:c r="F322" s="1"/>
      <x:c r="G322" s="1"/>
    </x:row>
    <x:row r="323" ht="26" customHeight="1">
      <x:c r="A323" s="1" t="str">
        <x:v>Входы H</x:v>
      </x:c>
      <x:c r="B323" s="1" t="str">
        <x:v>Q30</x:v>
      </x:c>
      <x:c r="C323" s="1">
        <x:v>0.29999999999999999</x:v>
      </x:c>
      <x:c r="D323" s="1">
        <x:f>'Входы H'!Q30</x:f>
        <x:v>0.29999999999999999</x:v>
      </x:c>
      <x:c r="E323" s="1">
        <x:f>IF(C323=D323,1,0)</x:f>
        <x:v>1</x:v>
      </x:c>
      <x:c r="F323" s="1"/>
      <x:c r="G323" s="1"/>
    </x:row>
    <x:row r="324" ht="26" customHeight="1">
      <x:c r="A324" s="1" t="str">
        <x:v>Входы H</x:v>
      </x:c>
      <x:c r="B324" s="1" t="str">
        <x:v>N31</x:v>
      </x:c>
      <x:c r="C324" s="1">
        <x:v>1.5</x:v>
      </x:c>
      <x:c r="D324" s="1">
        <x:f>'Входы H'!N31</x:f>
        <x:v>1.5</x:v>
      </x:c>
      <x:c r="E324" s="1">
        <x:f>IF(C324=D324,1,0)</x:f>
        <x:v>1</x:v>
      </x:c>
      <x:c r="F324" s="1"/>
      <x:c r="G324" s="1"/>
    </x:row>
    <x:row r="325" ht="26" customHeight="1">
      <x:c r="A325" s="1" t="str">
        <x:v>Входы H</x:v>
      </x:c>
      <x:c r="B325" s="1" t="str">
        <x:v>O31</x:v>
      </x:c>
      <x:c r="C325" s="1">
        <x:v>0.20000000000000001</x:v>
      </x:c>
      <x:c r="D325" s="1">
        <x:f>'Входы H'!O31</x:f>
        <x:v>0.20000000000000001</x:v>
      </x:c>
      <x:c r="E325" s="1">
        <x:f>IF(C325=D325,1,0)</x:f>
        <x:v>1</x:v>
      </x:c>
      <x:c r="F325" s="1"/>
      <x:c r="G325" s="1"/>
    </x:row>
    <x:row r="326" ht="26" customHeight="1">
      <x:c r="A326" s="1" t="str">
        <x:v>Входы H</x:v>
      </x:c>
      <x:c r="B326" s="1" t="str">
        <x:v>P31</x:v>
      </x:c>
      <x:c r="C326" s="1">
        <x:v>1</x:v>
      </x:c>
      <x:c r="D326" s="1">
        <x:f>'Входы H'!P31</x:f>
        <x:v>1</x:v>
      </x:c>
      <x:c r="E326" s="1">
        <x:f>IF(C326=D326,1,0)</x:f>
        <x:v>1</x:v>
      </x:c>
      <x:c r="F326" s="1"/>
      <x:c r="G326" s="1"/>
    </x:row>
    <x:row r="327" ht="26" customHeight="1">
      <x:c r="A327" s="1" t="str">
        <x:v>Входы H</x:v>
      </x:c>
      <x:c r="B327" s="1" t="str">
        <x:v>Q31</x:v>
      </x:c>
      <x:c r="C327" s="1">
        <x:v>0.29999999999999999</x:v>
      </x:c>
      <x:c r="D327" s="1">
        <x:f>'Входы H'!Q31</x:f>
        <x:v>0.29999999999999999</x:v>
      </x:c>
      <x:c r="E327" s="1">
        <x:f>IF(C327=D327,1,0)</x:f>
        <x:v>1</x:v>
      </x:c>
      <x:c r="F327" s="1"/>
      <x:c r="G327" s="1"/>
    </x:row>
    <x:row r="328" ht="26" customHeight="1">
      <x:c r="A328" s="1" t="str">
        <x:v>Входы H</x:v>
      </x:c>
      <x:c r="B328" s="1" t="str">
        <x:v>N32</x:v>
      </x:c>
      <x:c r="C328" s="1">
        <x:v>1.5</x:v>
      </x:c>
      <x:c r="D328" s="1">
        <x:f>'Входы H'!N32</x:f>
        <x:v>1.5</x:v>
      </x:c>
      <x:c r="E328" s="1">
        <x:f>IF(C328=D328,1,0)</x:f>
        <x:v>1</x:v>
      </x:c>
      <x:c r="F328" s="1"/>
      <x:c r="G328" s="1"/>
    </x:row>
    <x:row r="329" ht="26" customHeight="1">
      <x:c r="A329" s="1" t="str">
        <x:v>Входы H</x:v>
      </x:c>
      <x:c r="B329" s="1" t="str">
        <x:v>O32</x:v>
      </x:c>
      <x:c r="C329" s="1">
        <x:v>0.20000000000000001</x:v>
      </x:c>
      <x:c r="D329" s="1">
        <x:f>'Входы H'!O32</x:f>
        <x:v>0.20000000000000001</x:v>
      </x:c>
      <x:c r="E329" s="1">
        <x:f>IF(C329=D329,1,0)</x:f>
        <x:v>1</x:v>
      </x:c>
      <x:c r="F329" s="1"/>
      <x:c r="G329" s="1"/>
    </x:row>
    <x:row r="330" ht="26" customHeight="1">
      <x:c r="A330" s="1" t="str">
        <x:v>Входы H</x:v>
      </x:c>
      <x:c r="B330" s="1" t="str">
        <x:v>P32</x:v>
      </x:c>
      <x:c r="C330" s="1">
        <x:v>1</x:v>
      </x:c>
      <x:c r="D330" s="1">
        <x:f>'Входы H'!P32</x:f>
        <x:v>1</x:v>
      </x:c>
      <x:c r="E330" s="1">
        <x:f>IF(C330=D330,1,0)</x:f>
        <x:v>1</x:v>
      </x:c>
      <x:c r="F330" s="1"/>
      <x:c r="G330" s="1"/>
    </x:row>
    <x:row r="331" ht="26" customHeight="1">
      <x:c r="A331" s="1" t="str">
        <x:v>Входы H</x:v>
      </x:c>
      <x:c r="B331" s="1" t="str">
        <x:v>Q32</x:v>
      </x:c>
      <x:c r="C331" s="1">
        <x:v>0.29999999999999999</x:v>
      </x:c>
      <x:c r="D331" s="1">
        <x:f>'Входы H'!Q32</x:f>
        <x:v>0.29999999999999999</x:v>
      </x:c>
      <x:c r="E331" s="1">
        <x:f>IF(C331=D331,1,0)</x:f>
        <x:v>1</x:v>
      </x:c>
      <x:c r="F331" s="1"/>
      <x:c r="G331" s="1"/>
    </x:row>
    <x:row r="332" ht="26" customHeight="1">
      <x:c r="A332" s="1" t="str">
        <x:v>Входы H</x:v>
      </x:c>
      <x:c r="B332" s="1" t="str">
        <x:v>N33</x:v>
      </x:c>
      <x:c r="C332" s="1">
        <x:v>1.5</x:v>
      </x:c>
      <x:c r="D332" s="1">
        <x:f>'Входы H'!N33</x:f>
        <x:v>1.5</x:v>
      </x:c>
      <x:c r="E332" s="1">
        <x:f>IF(C332=D332,1,0)</x:f>
        <x:v>1</x:v>
      </x:c>
      <x:c r="F332" s="1"/>
      <x:c r="G332" s="1"/>
    </x:row>
    <x:row r="333" ht="26" customHeight="1">
      <x:c r="A333" s="1" t="str">
        <x:v>Входы H</x:v>
      </x:c>
      <x:c r="B333" s="1" t="str">
        <x:v>O33</x:v>
      </x:c>
      <x:c r="C333" s="1">
        <x:v>0.20000000000000001</x:v>
      </x:c>
      <x:c r="D333" s="1">
        <x:f>'Входы H'!O33</x:f>
        <x:v>0.20000000000000001</x:v>
      </x:c>
      <x:c r="E333" s="1">
        <x:f>IF(C333=D333,1,0)</x:f>
        <x:v>1</x:v>
      </x:c>
      <x:c r="F333" s="1"/>
      <x:c r="G333" s="1"/>
    </x:row>
    <x:row r="334" ht="26" customHeight="1">
      <x:c r="A334" s="1" t="str">
        <x:v>Входы H</x:v>
      </x:c>
      <x:c r="B334" s="1" t="str">
        <x:v>P33</x:v>
      </x:c>
      <x:c r="C334" s="1">
        <x:v>1</x:v>
      </x:c>
      <x:c r="D334" s="1">
        <x:f>'Входы H'!P33</x:f>
        <x:v>1</x:v>
      </x:c>
      <x:c r="E334" s="1">
        <x:f>IF(C334=D334,1,0)</x:f>
        <x:v>1</x:v>
      </x:c>
      <x:c r="F334" s="1"/>
      <x:c r="G334" s="1"/>
    </x:row>
    <x:row r="335" ht="26" customHeight="1">
      <x:c r="A335" s="1" t="str">
        <x:v>Входы H</x:v>
      </x:c>
      <x:c r="B335" s="1" t="str">
        <x:v>Q33</x:v>
      </x:c>
      <x:c r="C335" s="1">
        <x:v>0.29999999999999999</x:v>
      </x:c>
      <x:c r="D335" s="1">
        <x:f>'Входы H'!Q33</x:f>
        <x:v>0.29999999999999999</x:v>
      </x:c>
      <x:c r="E335" s="1">
        <x:f>IF(C335=D335,1,0)</x:f>
        <x:v>1</x:v>
      </x:c>
      <x:c r="F335" s="1"/>
      <x:c r="G335" s="1"/>
    </x:row>
    <x:row r="336" ht="26" customHeight="1">
      <x:c r="A336" s="1" t="str">
        <x:v>Входы H</x:v>
      </x:c>
      <x:c r="B336" s="1" t="str">
        <x:v>N34</x:v>
      </x:c>
      <x:c r="C336" s="1">
        <x:v>1.5</x:v>
      </x:c>
      <x:c r="D336" s="1">
        <x:f>'Входы H'!N34</x:f>
        <x:v>1.5</x:v>
      </x:c>
      <x:c r="E336" s="1">
        <x:f>IF(C336=D336,1,0)</x:f>
        <x:v>1</x:v>
      </x:c>
      <x:c r="F336" s="1"/>
      <x:c r="G336" s="1"/>
    </x:row>
    <x:row r="337" ht="26" customHeight="1">
      <x:c r="A337" s="1" t="str">
        <x:v>Входы H</x:v>
      </x:c>
      <x:c r="B337" s="1" t="str">
        <x:v>O34</x:v>
      </x:c>
      <x:c r="C337" s="1">
        <x:v>0.20000000000000001</x:v>
      </x:c>
      <x:c r="D337" s="1">
        <x:f>'Входы H'!O34</x:f>
        <x:v>0.20000000000000001</x:v>
      </x:c>
      <x:c r="E337" s="1">
        <x:f>IF(C337=D337,1,0)</x:f>
        <x:v>1</x:v>
      </x:c>
      <x:c r="F337" s="1"/>
      <x:c r="G337" s="1"/>
    </x:row>
    <x:row r="338" ht="26" customHeight="1">
      <x:c r="A338" s="1" t="str">
        <x:v>Входы H</x:v>
      </x:c>
      <x:c r="B338" s="1" t="str">
        <x:v>P34</x:v>
      </x:c>
      <x:c r="C338" s="1">
        <x:v>1</x:v>
      </x:c>
      <x:c r="D338" s="1">
        <x:f>'Входы H'!P34</x:f>
        <x:v>1</x:v>
      </x:c>
      <x:c r="E338" s="1">
        <x:f>IF(C338=D338,1,0)</x:f>
        <x:v>1</x:v>
      </x:c>
      <x:c r="F338" s="1"/>
      <x:c r="G338" s="1"/>
    </x:row>
    <x:row r="339" ht="26" customHeight="1">
      <x:c r="A339" s="1" t="str">
        <x:v>Входы H</x:v>
      </x:c>
      <x:c r="B339" s="1" t="str">
        <x:v>Q34</x:v>
      </x:c>
      <x:c r="C339" s="1">
        <x:v>0.29999999999999999</x:v>
      </x:c>
      <x:c r="D339" s="1">
        <x:f>'Входы H'!Q34</x:f>
        <x:v>0.29999999999999999</x:v>
      </x:c>
      <x:c r="E339" s="1">
        <x:f>IF(C339=D339,1,0)</x:f>
        <x:v>1</x:v>
      </x:c>
      <x:c r="F339" s="1"/>
      <x:c r="G339" s="1"/>
    </x:row>
    <x:row r="340" ht="26" customHeight="1">
      <x:c r="A340" s="1" t="str">
        <x:v>Входы H</x:v>
      </x:c>
      <x:c r="B340" s="1" t="str">
        <x:v>N35</x:v>
      </x:c>
      <x:c r="C340" s="1">
        <x:v>1.5</x:v>
      </x:c>
      <x:c r="D340" s="1">
        <x:f>'Входы H'!N35</x:f>
        <x:v>1.5</x:v>
      </x:c>
      <x:c r="E340" s="1">
        <x:f>IF(C340=D340,1,0)</x:f>
        <x:v>1</x:v>
      </x:c>
      <x:c r="F340" s="1"/>
      <x:c r="G340" s="1"/>
    </x:row>
    <x:row r="341" ht="26" customHeight="1">
      <x:c r="A341" s="1" t="str">
        <x:v>Входы H</x:v>
      </x:c>
      <x:c r="B341" s="1" t="str">
        <x:v>O35</x:v>
      </x:c>
      <x:c r="C341" s="1">
        <x:v>0.20000000000000001</x:v>
      </x:c>
      <x:c r="D341" s="1">
        <x:f>'Входы H'!O35</x:f>
        <x:v>0.20000000000000001</x:v>
      </x:c>
      <x:c r="E341" s="1">
        <x:f>IF(C341=D341,1,0)</x:f>
        <x:v>1</x:v>
      </x:c>
      <x:c r="F341" s="1"/>
      <x:c r="G341" s="1"/>
    </x:row>
    <x:row r="342" ht="26" customHeight="1">
      <x:c r="A342" s="1" t="str">
        <x:v>Входы H</x:v>
      </x:c>
      <x:c r="B342" s="1" t="str">
        <x:v>P35</x:v>
      </x:c>
      <x:c r="C342" s="1">
        <x:v>1</x:v>
      </x:c>
      <x:c r="D342" s="1">
        <x:f>'Входы H'!P35</x:f>
        <x:v>1</x:v>
      </x:c>
      <x:c r="E342" s="1">
        <x:f>IF(C342=D342,1,0)</x:f>
        <x:v>1</x:v>
      </x:c>
      <x:c r="F342" s="1"/>
      <x:c r="G342" s="1"/>
    </x:row>
    <x:row r="343" ht="26" customHeight="1">
      <x:c r="A343" s="1" t="str">
        <x:v>Входы H</x:v>
      </x:c>
      <x:c r="B343" s="1" t="str">
        <x:v>Q35</x:v>
      </x:c>
      <x:c r="C343" s="1">
        <x:v>0.29999999999999999</x:v>
      </x:c>
      <x:c r="D343" s="1">
        <x:f>'Входы H'!Q35</x:f>
        <x:v>0.29999999999999999</x:v>
      </x:c>
      <x:c r="E343" s="1">
        <x:f>IF(C343=D343,1,0)</x:f>
        <x:v>1</x:v>
      </x:c>
      <x:c r="F343" s="1"/>
      <x:c r="G343" s="1"/>
    </x:row>
    <x:row r="344" ht="26" customHeight="1">
      <x:c r="A344" s="1" t="str">
        <x:v>Входы H</x:v>
      </x:c>
      <x:c r="B344" s="1" t="str">
        <x:v>N36</x:v>
      </x:c>
      <x:c r="C344" s="1">
        <x:v>1.5</x:v>
      </x:c>
      <x:c r="D344" s="1">
        <x:f>'Входы H'!N36</x:f>
        <x:v>1.5</x:v>
      </x:c>
      <x:c r="E344" s="1">
        <x:f>IF(C344=D344,1,0)</x:f>
        <x:v>1</x:v>
      </x:c>
      <x:c r="F344" s="1"/>
      <x:c r="G344" s="1"/>
    </x:row>
    <x:row r="345" ht="26" customHeight="1">
      <x:c r="A345" s="1" t="str">
        <x:v>Входы H</x:v>
      </x:c>
      <x:c r="B345" s="1" t="str">
        <x:v>O36</x:v>
      </x:c>
      <x:c r="C345" s="1">
        <x:v>0.20000000000000001</x:v>
      </x:c>
      <x:c r="D345" s="1">
        <x:f>'Входы H'!O36</x:f>
        <x:v>0.20000000000000001</x:v>
      </x:c>
      <x:c r="E345" s="1">
        <x:f>IF(C345=D345,1,0)</x:f>
        <x:v>1</x:v>
      </x:c>
      <x:c r="F345" s="1"/>
      <x:c r="G345" s="1"/>
    </x:row>
    <x:row r="346" ht="26" customHeight="1">
      <x:c r="A346" s="1" t="str">
        <x:v>Входы H</x:v>
      </x:c>
      <x:c r="B346" s="1" t="str">
        <x:v>P36</x:v>
      </x:c>
      <x:c r="C346" s="1">
        <x:v>1</x:v>
      </x:c>
      <x:c r="D346" s="1">
        <x:f>'Входы H'!P36</x:f>
        <x:v>1</x:v>
      </x:c>
      <x:c r="E346" s="1">
        <x:f>IF(C346=D346,1,0)</x:f>
        <x:v>1</x:v>
      </x:c>
      <x:c r="F346" s="1"/>
      <x:c r="G346" s="1"/>
    </x:row>
    <x:row r="347" ht="26" customHeight="1">
      <x:c r="A347" s="1" t="str">
        <x:v>Входы H</x:v>
      </x:c>
      <x:c r="B347" s="1" t="str">
        <x:v>Q36</x:v>
      </x:c>
      <x:c r="C347" s="1">
        <x:v>0.29999999999999999</x:v>
      </x:c>
      <x:c r="D347" s="1">
        <x:f>'Входы H'!Q36</x:f>
        <x:v>0.29999999999999999</x:v>
      </x:c>
      <x:c r="E347" s="1">
        <x:f>IF(C347=D347,1,0)</x:f>
        <x:v>1</x:v>
      </x:c>
      <x:c r="F347" s="1"/>
      <x:c r="G347" s="1"/>
    </x:row>
    <x:row r="348" ht="26" customHeight="1">
      <x:c r="A348" s="1" t="str">
        <x:v>Входы H</x:v>
      </x:c>
      <x:c r="B348" s="1" t="str">
        <x:v>N37</x:v>
      </x:c>
      <x:c r="C348" s="1">
        <x:v>1.5</x:v>
      </x:c>
      <x:c r="D348" s="1">
        <x:f>'Входы H'!N37</x:f>
        <x:v>1.5</x:v>
      </x:c>
      <x:c r="E348" s="1">
        <x:f>IF(C348=D348,1,0)</x:f>
        <x:v>1</x:v>
      </x:c>
      <x:c r="F348" s="1"/>
      <x:c r="G348" s="1"/>
    </x:row>
    <x:row r="349" ht="26" customHeight="1">
      <x:c r="A349" s="1" t="str">
        <x:v>Входы H</x:v>
      </x:c>
      <x:c r="B349" s="1" t="str">
        <x:v>O37</x:v>
      </x:c>
      <x:c r="C349" s="1">
        <x:v>0.20000000000000001</x:v>
      </x:c>
      <x:c r="D349" s="1">
        <x:f>'Входы H'!O37</x:f>
        <x:v>0.20000000000000001</x:v>
      </x:c>
      <x:c r="E349" s="1">
        <x:f>IF(C349=D349,1,0)</x:f>
        <x:v>1</x:v>
      </x:c>
      <x:c r="F349" s="1"/>
      <x:c r="G349" s="1"/>
    </x:row>
    <x:row r="350" ht="26" customHeight="1">
      <x:c r="A350" s="1" t="str">
        <x:v>Входы H</x:v>
      </x:c>
      <x:c r="B350" s="1" t="str">
        <x:v>P37</x:v>
      </x:c>
      <x:c r="C350" s="1">
        <x:v>1</x:v>
      </x:c>
      <x:c r="D350" s="1">
        <x:f>'Входы H'!P37</x:f>
        <x:v>1</x:v>
      </x:c>
      <x:c r="E350" s="1">
        <x:f>IF(C350=D350,1,0)</x:f>
        <x:v>1</x:v>
      </x:c>
      <x:c r="F350" s="1"/>
      <x:c r="G350" s="1"/>
    </x:row>
    <x:row r="351" ht="26" customHeight="1">
      <x:c r="A351" s="1" t="str">
        <x:v>Входы H</x:v>
      </x:c>
      <x:c r="B351" s="1" t="str">
        <x:v>Q37</x:v>
      </x:c>
      <x:c r="C351" s="1">
        <x:v>0.29999999999999999</x:v>
      </x:c>
      <x:c r="D351" s="1">
        <x:f>'Входы H'!Q37</x:f>
        <x:v>0.29999999999999999</x:v>
      </x:c>
      <x:c r="E351" s="1">
        <x:f>IF(C351=D351,1,0)</x:f>
        <x:v>1</x:v>
      </x:c>
      <x:c r="F351" s="1"/>
      <x:c r="G351" s="1"/>
    </x:row>
    <x:row r="352" ht="26" customHeight="1">
      <x:c r="A352" s="1" t="str">
        <x:v>Входы H</x:v>
      </x:c>
      <x:c r="B352" s="1" t="str">
        <x:v>N38</x:v>
      </x:c>
      <x:c r="C352" s="1">
        <x:v>1.5</x:v>
      </x:c>
      <x:c r="D352" s="1">
        <x:f>'Входы H'!N38</x:f>
        <x:v>1.5</x:v>
      </x:c>
      <x:c r="E352" s="1">
        <x:f>IF(C352=D352,1,0)</x:f>
        <x:v>1</x:v>
      </x:c>
      <x:c r="F352" s="1"/>
      <x:c r="G352" s="1"/>
    </x:row>
    <x:row r="353" ht="26" customHeight="1">
      <x:c r="A353" s="1" t="str">
        <x:v>Входы H</x:v>
      </x:c>
      <x:c r="B353" s="1" t="str">
        <x:v>O38</x:v>
      </x:c>
      <x:c r="C353" s="1">
        <x:v>0.20000000000000001</x:v>
      </x:c>
      <x:c r="D353" s="1">
        <x:f>'Входы H'!O38</x:f>
        <x:v>0.20000000000000001</x:v>
      </x:c>
      <x:c r="E353" s="1">
        <x:f>IF(C353=D353,1,0)</x:f>
        <x:v>1</x:v>
      </x:c>
      <x:c r="F353" s="1"/>
      <x:c r="G353" s="1"/>
    </x:row>
    <x:row r="354" ht="26" customHeight="1">
      <x:c r="A354" s="1" t="str">
        <x:v>Входы H</x:v>
      </x:c>
      <x:c r="B354" s="1" t="str">
        <x:v>P38</x:v>
      </x:c>
      <x:c r="C354" s="1">
        <x:v>1</x:v>
      </x:c>
      <x:c r="D354" s="1">
        <x:f>'Входы H'!P38</x:f>
        <x:v>1</x:v>
      </x:c>
      <x:c r="E354" s="1">
        <x:f>IF(C354=D354,1,0)</x:f>
        <x:v>1</x:v>
      </x:c>
      <x:c r="F354" s="1"/>
      <x:c r="G354" s="1"/>
    </x:row>
    <x:row r="355" ht="26" customHeight="1">
      <x:c r="A355" s="1" t="str">
        <x:v>Входы H</x:v>
      </x:c>
      <x:c r="B355" s="1" t="str">
        <x:v>Q38</x:v>
      </x:c>
      <x:c r="C355" s="1">
        <x:v>0.29999999999999999</x:v>
      </x:c>
      <x:c r="D355" s="1">
        <x:f>'Входы H'!Q38</x:f>
        <x:v>0.29999999999999999</x:v>
      </x:c>
      <x:c r="E355" s="1">
        <x:f>IF(C355=D355,1,0)</x:f>
        <x:v>1</x:v>
      </x:c>
      <x:c r="F355" s="1"/>
      <x:c r="G355" s="1"/>
    </x:row>
    <x:row r="356" ht="26" customHeight="1">
      <x:c r="A356" s="1" t="str">
        <x:v>Входы H</x:v>
      </x:c>
      <x:c r="B356" s="1" t="str">
        <x:v>N39</x:v>
      </x:c>
      <x:c r="C356" s="1">
        <x:v>1.5</x:v>
      </x:c>
      <x:c r="D356" s="1">
        <x:f>'Входы H'!N39</x:f>
        <x:v>1.5</x:v>
      </x:c>
      <x:c r="E356" s="1">
        <x:f>IF(C356=D356,1,0)</x:f>
        <x:v>1</x:v>
      </x:c>
      <x:c r="F356" s="1"/>
      <x:c r="G356" s="1"/>
    </x:row>
    <x:row r="357" ht="26" customHeight="1">
      <x:c r="A357" s="1" t="str">
        <x:v>Входы H</x:v>
      </x:c>
      <x:c r="B357" s="1" t="str">
        <x:v>O39</x:v>
      </x:c>
      <x:c r="C357" s="1">
        <x:v>0.20000000000000001</x:v>
      </x:c>
      <x:c r="D357" s="1">
        <x:f>'Входы H'!O39</x:f>
        <x:v>0.20000000000000001</x:v>
      </x:c>
      <x:c r="E357" s="1">
        <x:f>IF(C357=D357,1,0)</x:f>
        <x:v>1</x:v>
      </x:c>
      <x:c r="F357" s="1"/>
      <x:c r="G357" s="1"/>
    </x:row>
    <x:row r="358" ht="26" customHeight="1">
      <x:c r="A358" s="1" t="str">
        <x:v>Входы H</x:v>
      </x:c>
      <x:c r="B358" s="1" t="str">
        <x:v>P39</x:v>
      </x:c>
      <x:c r="C358" s="1">
        <x:v>1</x:v>
      </x:c>
      <x:c r="D358" s="1">
        <x:f>'Входы H'!P39</x:f>
        <x:v>1</x:v>
      </x:c>
      <x:c r="E358" s="1">
        <x:f>IF(C358=D358,1,0)</x:f>
        <x:v>1</x:v>
      </x:c>
      <x:c r="F358" s="1"/>
      <x:c r="G358" s="1"/>
    </x:row>
    <x:row r="359" ht="26" customHeight="1">
      <x:c r="A359" s="1" t="str">
        <x:v>Входы H</x:v>
      </x:c>
      <x:c r="B359" s="1" t="str">
        <x:v>Q39</x:v>
      </x:c>
      <x:c r="C359" s="1">
        <x:v>0.29999999999999999</x:v>
      </x:c>
      <x:c r="D359" s="1">
        <x:f>'Входы H'!Q39</x:f>
        <x:v>0.29999999999999999</x:v>
      </x:c>
      <x:c r="E359" s="1">
        <x:f>IF(C359=D359,1,0)</x:f>
        <x:v>1</x:v>
      </x:c>
      <x:c r="F359" s="1"/>
      <x:c r="G359" s="1"/>
    </x:row>
    <x:row r="360" ht="26" customHeight="1">
      <x:c r="A360" s="1" t="str">
        <x:v>Входы H</x:v>
      </x:c>
      <x:c r="B360" s="1" t="str">
        <x:v>N40</x:v>
      </x:c>
      <x:c r="C360" s="1">
        <x:v>1.5</x:v>
      </x:c>
      <x:c r="D360" s="1">
        <x:f>'Входы H'!N40</x:f>
        <x:v>1.5</x:v>
      </x:c>
      <x:c r="E360" s="1">
        <x:f>IF(C360=D360,1,0)</x:f>
        <x:v>1</x:v>
      </x:c>
      <x:c r="F360" s="1"/>
      <x:c r="G360" s="1"/>
    </x:row>
    <x:row r="361" ht="26" customHeight="1">
      <x:c r="A361" s="1" t="str">
        <x:v>Входы H</x:v>
      </x:c>
      <x:c r="B361" s="1" t="str">
        <x:v>O40</x:v>
      </x:c>
      <x:c r="C361" s="1">
        <x:v>0.20000000000000001</x:v>
      </x:c>
      <x:c r="D361" s="1">
        <x:f>'Входы H'!O40</x:f>
        <x:v>0.20000000000000001</x:v>
      </x:c>
      <x:c r="E361" s="1">
        <x:f>IF(C361=D361,1,0)</x:f>
        <x:v>1</x:v>
      </x:c>
      <x:c r="F361" s="1"/>
      <x:c r="G361" s="1"/>
    </x:row>
    <x:row r="362" ht="26" customHeight="1">
      <x:c r="A362" s="1" t="str">
        <x:v>Входы H</x:v>
      </x:c>
      <x:c r="B362" s="1" t="str">
        <x:v>P40</x:v>
      </x:c>
      <x:c r="C362" s="1">
        <x:v>1</x:v>
      </x:c>
      <x:c r="D362" s="1">
        <x:f>'Входы H'!P40</x:f>
        <x:v>1</x:v>
      </x:c>
      <x:c r="E362" s="1">
        <x:f>IF(C362=D362,1,0)</x:f>
        <x:v>1</x:v>
      </x:c>
      <x:c r="F362" s="1"/>
      <x:c r="G362" s="1"/>
    </x:row>
    <x:row r="363" ht="26" customHeight="1">
      <x:c r="A363" s="1" t="str">
        <x:v>Входы H</x:v>
      </x:c>
      <x:c r="B363" s="1" t="str">
        <x:v>Q40</x:v>
      </x:c>
      <x:c r="C363" s="1">
        <x:v>0.29999999999999999</x:v>
      </x:c>
      <x:c r="D363" s="1">
        <x:f>'Входы H'!Q40</x:f>
        <x:v>0.29999999999999999</x:v>
      </x:c>
      <x:c r="E363" s="1">
        <x:f>IF(C363=D363,1,0)</x:f>
        <x:v>1</x:v>
      </x:c>
      <x:c r="F363" s="1"/>
      <x:c r="G363" s="1"/>
    </x:row>
    <x:row r="364" ht="26" customHeight="1">
      <x:c r="A364" s="1" t="str">
        <x:v>Входы H</x:v>
      </x:c>
      <x:c r="B364" s="1" t="str">
        <x:v>N41</x:v>
      </x:c>
      <x:c r="C364" s="1">
        <x:v>1.5</x:v>
      </x:c>
      <x:c r="D364" s="1">
        <x:f>'Входы H'!N41</x:f>
        <x:v>1.5</x:v>
      </x:c>
      <x:c r="E364" s="1">
        <x:f>IF(C364=D364,1,0)</x:f>
        <x:v>1</x:v>
      </x:c>
      <x:c r="F364" s="1"/>
      <x:c r="G364" s="1"/>
    </x:row>
    <x:row r="365" ht="26" customHeight="1">
      <x:c r="A365" s="1" t="str">
        <x:v>Входы H</x:v>
      </x:c>
      <x:c r="B365" s="1" t="str">
        <x:v>O41</x:v>
      </x:c>
      <x:c r="C365" s="1">
        <x:v>0.20000000000000001</x:v>
      </x:c>
      <x:c r="D365" s="1">
        <x:f>'Входы H'!O41</x:f>
        <x:v>0.20000000000000001</x:v>
      </x:c>
      <x:c r="E365" s="1">
        <x:f>IF(C365=D365,1,0)</x:f>
        <x:v>1</x:v>
      </x:c>
      <x:c r="F365" s="1"/>
      <x:c r="G365" s="1"/>
    </x:row>
    <x:row r="366" ht="26" customHeight="1">
      <x:c r="A366" s="1" t="str">
        <x:v>Входы H</x:v>
      </x:c>
      <x:c r="B366" s="1" t="str">
        <x:v>P41</x:v>
      </x:c>
      <x:c r="C366" s="1">
        <x:v>1</x:v>
      </x:c>
      <x:c r="D366" s="1">
        <x:f>'Входы H'!P41</x:f>
        <x:v>1</x:v>
      </x:c>
      <x:c r="E366" s="1">
        <x:f>IF(C366=D366,1,0)</x:f>
        <x:v>1</x:v>
      </x:c>
      <x:c r="F366" s="1"/>
      <x:c r="G366" s="1"/>
    </x:row>
    <x:row r="367" ht="26" customHeight="1">
      <x:c r="A367" s="1" t="str">
        <x:v>Входы H</x:v>
      </x:c>
      <x:c r="B367" s="1" t="str">
        <x:v>Q41</x:v>
      </x:c>
      <x:c r="C367" s="1">
        <x:v>0.29999999999999999</x:v>
      </x:c>
      <x:c r="D367" s="1">
        <x:f>'Входы H'!Q41</x:f>
        <x:v>0.29999999999999999</x:v>
      </x:c>
      <x:c r="E367" s="1">
        <x:f>IF(C367=D367,1,0)</x:f>
        <x:v>1</x:v>
      </x:c>
      <x:c r="F367" s="1"/>
      <x:c r="G367" s="1"/>
    </x:row>
    <x:row r="368" ht="26" customHeight="1">
      <x:c r="A368" s="1" t="str">
        <x:v>Входы H</x:v>
      </x:c>
      <x:c r="B368" s="1" t="str">
        <x:v>N42</x:v>
      </x:c>
      <x:c r="C368" s="1">
        <x:v>1.5</x:v>
      </x:c>
      <x:c r="D368" s="1">
        <x:f>'Входы H'!N42</x:f>
        <x:v>1.5</x:v>
      </x:c>
      <x:c r="E368" s="1">
        <x:f>IF(C368=D368,1,0)</x:f>
        <x:v>1</x:v>
      </x:c>
      <x:c r="F368" s="1"/>
      <x:c r="G368" s="1"/>
    </x:row>
    <x:row r="369" ht="26" customHeight="1">
      <x:c r="A369" s="1" t="str">
        <x:v>Входы H</x:v>
      </x:c>
      <x:c r="B369" s="1" t="str">
        <x:v>O42</x:v>
      </x:c>
      <x:c r="C369" s="1">
        <x:v>0.20000000000000001</x:v>
      </x:c>
      <x:c r="D369" s="1">
        <x:f>'Входы H'!O42</x:f>
        <x:v>0.20000000000000001</x:v>
      </x:c>
      <x:c r="E369" s="1">
        <x:f>IF(C369=D369,1,0)</x:f>
        <x:v>1</x:v>
      </x:c>
      <x:c r="F369" s="1"/>
      <x:c r="G369" s="1"/>
    </x:row>
    <x:row r="370" ht="26" customHeight="1">
      <x:c r="A370" s="1" t="str">
        <x:v>Входы H</x:v>
      </x:c>
      <x:c r="B370" s="1" t="str">
        <x:v>P42</x:v>
      </x:c>
      <x:c r="C370" s="1">
        <x:v>1</x:v>
      </x:c>
      <x:c r="D370" s="1">
        <x:f>'Входы H'!P42</x:f>
        <x:v>1</x:v>
      </x:c>
      <x:c r="E370" s="1">
        <x:f>IF(C370=D370,1,0)</x:f>
        <x:v>1</x:v>
      </x:c>
      <x:c r="F370" s="1"/>
      <x:c r="G370" s="1"/>
    </x:row>
    <x:row r="371" ht="26" customHeight="1">
      <x:c r="A371" s="1" t="str">
        <x:v>Входы H</x:v>
      </x:c>
      <x:c r="B371" s="1" t="str">
        <x:v>Q42</x:v>
      </x:c>
      <x:c r="C371" s="1">
        <x:v>0.29999999999999999</x:v>
      </x:c>
      <x:c r="D371" s="1">
        <x:f>'Входы H'!Q42</x:f>
        <x:v>0.29999999999999999</x:v>
      </x:c>
      <x:c r="E371" s="1">
        <x:f>IF(C371=D371,1,0)</x:f>
        <x:v>1</x:v>
      </x:c>
      <x:c r="F371" s="1"/>
      <x:c r="G371" s="1"/>
    </x:row>
    <x:row r="372" ht="26" customHeight="1">
      <x:c r="A372" s="1" t="str">
        <x:v>Входы H</x:v>
      </x:c>
      <x:c r="B372" s="1" t="str">
        <x:v>N43</x:v>
      </x:c>
      <x:c r="C372" s="1">
        <x:v>1.5</x:v>
      </x:c>
      <x:c r="D372" s="1">
        <x:f>'Входы H'!N43</x:f>
        <x:v>1.5</x:v>
      </x:c>
      <x:c r="E372" s="1">
        <x:f>IF(C372=D372,1,0)</x:f>
        <x:v>1</x:v>
      </x:c>
      <x:c r="F372" s="1"/>
      <x:c r="G372" s="1"/>
    </x:row>
    <x:row r="373" ht="26" customHeight="1">
      <x:c r="A373" s="1" t="str">
        <x:v>Входы H</x:v>
      </x:c>
      <x:c r="B373" s="1" t="str">
        <x:v>O43</x:v>
      </x:c>
      <x:c r="C373" s="1">
        <x:v>0.20000000000000001</x:v>
      </x:c>
      <x:c r="D373" s="1">
        <x:f>'Входы H'!O43</x:f>
        <x:v>0.20000000000000001</x:v>
      </x:c>
      <x:c r="E373" s="1">
        <x:f>IF(C373=D373,1,0)</x:f>
        <x:v>1</x:v>
      </x:c>
      <x:c r="F373" s="1"/>
      <x:c r="G373" s="1"/>
    </x:row>
    <x:row r="374" ht="26" customHeight="1">
      <x:c r="A374" s="1" t="str">
        <x:v>Входы H</x:v>
      </x:c>
      <x:c r="B374" s="1" t="str">
        <x:v>P43</x:v>
      </x:c>
      <x:c r="C374" s="1">
        <x:v>1</x:v>
      </x:c>
      <x:c r="D374" s="1">
        <x:f>'Входы H'!P43</x:f>
        <x:v>1</x:v>
      </x:c>
      <x:c r="E374" s="1">
        <x:f>IF(C374=D374,1,0)</x:f>
        <x:v>1</x:v>
      </x:c>
      <x:c r="F374" s="1"/>
      <x:c r="G374" s="1"/>
    </x:row>
    <x:row r="375" ht="26" customHeight="1">
      <x:c r="A375" s="1" t="str">
        <x:v>Входы H</x:v>
      </x:c>
      <x:c r="B375" s="1" t="str">
        <x:v>Q43</x:v>
      </x:c>
      <x:c r="C375" s="1">
        <x:v>0.29999999999999999</x:v>
      </x:c>
      <x:c r="D375" s="1">
        <x:f>'Входы H'!Q43</x:f>
        <x:v>0.29999999999999999</x:v>
      </x:c>
      <x:c r="E375" s="1">
        <x:f>IF(C375=D375,1,0)</x:f>
        <x:v>1</x:v>
      </x:c>
      <x:c r="F375" s="1"/>
      <x:c r="G375" s="1"/>
    </x:row>
    <x:row r="376" ht="26" customHeight="1">
      <x:c r="A376" s="1" t="str">
        <x:v>Входы H</x:v>
      </x:c>
      <x:c r="B376" s="1" t="str">
        <x:v>N44</x:v>
      </x:c>
      <x:c r="C376" s="1">
        <x:v>1.5</x:v>
      </x:c>
      <x:c r="D376" s="1">
        <x:f>'Входы H'!N44</x:f>
        <x:v>1.5</x:v>
      </x:c>
      <x:c r="E376" s="1">
        <x:f>IF(C376=D376,1,0)</x:f>
        <x:v>1</x:v>
      </x:c>
      <x:c r="F376" s="1"/>
      <x:c r="G376" s="1"/>
    </x:row>
    <x:row r="377" ht="26" customHeight="1">
      <x:c r="A377" s="1" t="str">
        <x:v>Входы H</x:v>
      </x:c>
      <x:c r="B377" s="1" t="str">
        <x:v>O44</x:v>
      </x:c>
      <x:c r="C377" s="1">
        <x:v>0.20000000000000001</x:v>
      </x:c>
      <x:c r="D377" s="1">
        <x:f>'Входы H'!O44</x:f>
        <x:v>0.20000000000000001</x:v>
      </x:c>
      <x:c r="E377" s="1">
        <x:f>IF(C377=D377,1,0)</x:f>
        <x:v>1</x:v>
      </x:c>
      <x:c r="F377" s="1"/>
      <x:c r="G377" s="1"/>
    </x:row>
    <x:row r="378" ht="26" customHeight="1">
      <x:c r="A378" s="1" t="str">
        <x:v>Входы H</x:v>
      </x:c>
      <x:c r="B378" s="1" t="str">
        <x:v>P44</x:v>
      </x:c>
      <x:c r="C378" s="1">
        <x:v>1</x:v>
      </x:c>
      <x:c r="D378" s="1">
        <x:f>'Входы H'!P44</x:f>
        <x:v>1</x:v>
      </x:c>
      <x:c r="E378" s="1">
        <x:f>IF(C378=D378,1,0)</x:f>
        <x:v>1</x:v>
      </x:c>
      <x:c r="F378" s="1"/>
      <x:c r="G378" s="1"/>
    </x:row>
    <x:row r="379" ht="26" customHeight="1">
      <x:c r="A379" s="1" t="str">
        <x:v>Входы H</x:v>
      </x:c>
      <x:c r="B379" s="1" t="str">
        <x:v>Q44</x:v>
      </x:c>
      <x:c r="C379" s="1">
        <x:v>0.29999999999999999</x:v>
      </x:c>
      <x:c r="D379" s="1">
        <x:f>'Входы H'!Q44</x:f>
        <x:v>0.29999999999999999</x:v>
      </x:c>
      <x:c r="E379" s="1">
        <x:f>IF(C379=D379,1,0)</x:f>
        <x:v>1</x:v>
      </x:c>
      <x:c r="F379" s="1"/>
      <x:c r="G379" s="1"/>
    </x:row>
    <x:row r="380" ht="26" customHeight="1">
      <x:c r="A380" s="1" t="str">
        <x:v>Входы H</x:v>
      </x:c>
      <x:c r="B380" s="1" t="str">
        <x:v>N45</x:v>
      </x:c>
      <x:c r="C380" s="1">
        <x:v>1.5</x:v>
      </x:c>
      <x:c r="D380" s="1">
        <x:f>'Входы H'!N45</x:f>
        <x:v>1.5</x:v>
      </x:c>
      <x:c r="E380" s="1">
        <x:f>IF(C380=D380,1,0)</x:f>
        <x:v>1</x:v>
      </x:c>
      <x:c r="F380" s="1"/>
      <x:c r="G380" s="1"/>
    </x:row>
    <x:row r="381" ht="26" customHeight="1">
      <x:c r="A381" s="1" t="str">
        <x:v>Входы H</x:v>
      </x:c>
      <x:c r="B381" s="1" t="str">
        <x:v>O45</x:v>
      </x:c>
      <x:c r="C381" s="1">
        <x:v>0.20000000000000001</x:v>
      </x:c>
      <x:c r="D381" s="1">
        <x:f>'Входы H'!O45</x:f>
        <x:v>0.20000000000000001</x:v>
      </x:c>
      <x:c r="E381" s="1">
        <x:f>IF(C381=D381,1,0)</x:f>
        <x:v>1</x:v>
      </x:c>
      <x:c r="F381" s="1"/>
      <x:c r="G381" s="1"/>
    </x:row>
    <x:row r="382" ht="26" customHeight="1">
      <x:c r="A382" s="1" t="str">
        <x:v>Входы H</x:v>
      </x:c>
      <x:c r="B382" s="1" t="str">
        <x:v>P45</x:v>
      </x:c>
      <x:c r="C382" s="1">
        <x:v>1</x:v>
      </x:c>
      <x:c r="D382" s="1">
        <x:f>'Входы H'!P45</x:f>
        <x:v>1</x:v>
      </x:c>
      <x:c r="E382" s="1">
        <x:f>IF(C382=D382,1,0)</x:f>
        <x:v>1</x:v>
      </x:c>
      <x:c r="F382" s="1"/>
      <x:c r="G382" s="1"/>
    </x:row>
    <x:row r="383" ht="26" customHeight="1">
      <x:c r="A383" s="1" t="str">
        <x:v>Входы H</x:v>
      </x:c>
      <x:c r="B383" s="1" t="str">
        <x:v>Q45</x:v>
      </x:c>
      <x:c r="C383" s="1">
        <x:v>0.29999999999999999</x:v>
      </x:c>
      <x:c r="D383" s="1">
        <x:f>'Входы H'!Q45</x:f>
        <x:v>0.29999999999999999</x:v>
      </x:c>
      <x:c r="E383" s="1">
        <x:f>IF(C383=D383,1,0)</x:f>
        <x:v>1</x:v>
      </x:c>
      <x:c r="F383" s="1"/>
      <x:c r="G383" s="1"/>
    </x:row>
    <x:row r="384" ht="26" customHeight="1">
      <x:c r="A384" s="1" t="str">
        <x:v>Входы H</x:v>
      </x:c>
      <x:c r="B384" s="1" t="str">
        <x:v>N46</x:v>
      </x:c>
      <x:c r="C384" s="1">
        <x:v>1.5</x:v>
      </x:c>
      <x:c r="D384" s="1">
        <x:f>'Входы H'!N46</x:f>
        <x:v>1.5</x:v>
      </x:c>
      <x:c r="E384" s="1">
        <x:f>IF(C384=D384,1,0)</x:f>
        <x:v>1</x:v>
      </x:c>
      <x:c r="F384" s="1"/>
      <x:c r="G384" s="1"/>
    </x:row>
    <x:row r="385" ht="26" customHeight="1">
      <x:c r="A385" s="1" t="str">
        <x:v>Входы H</x:v>
      </x:c>
      <x:c r="B385" s="1" t="str">
        <x:v>O46</x:v>
      </x:c>
      <x:c r="C385" s="1">
        <x:v>0.20000000000000001</x:v>
      </x:c>
      <x:c r="D385" s="1">
        <x:f>'Входы H'!O46</x:f>
        <x:v>0.20000000000000001</x:v>
      </x:c>
      <x:c r="E385" s="1">
        <x:f>IF(C385=D385,1,0)</x:f>
        <x:v>1</x:v>
      </x:c>
      <x:c r="F385" s="1"/>
      <x:c r="G385" s="1"/>
    </x:row>
    <x:row r="386" ht="26" customHeight="1">
      <x:c r="A386" s="1" t="str">
        <x:v>Входы H</x:v>
      </x:c>
      <x:c r="B386" s="1" t="str">
        <x:v>P46</x:v>
      </x:c>
      <x:c r="C386" s="1">
        <x:v>1</x:v>
      </x:c>
      <x:c r="D386" s="1">
        <x:f>'Входы H'!P46</x:f>
        <x:v>1</x:v>
      </x:c>
      <x:c r="E386" s="1">
        <x:f>IF(C386=D386,1,0)</x:f>
        <x:v>1</x:v>
      </x:c>
      <x:c r="F386" s="1"/>
      <x:c r="G386" s="1"/>
    </x:row>
    <x:row r="387" ht="26" customHeight="1">
      <x:c r="A387" s="1" t="str">
        <x:v>Входы H</x:v>
      </x:c>
      <x:c r="B387" s="1" t="str">
        <x:v>Q46</x:v>
      </x:c>
      <x:c r="C387" s="1">
        <x:v>0.29999999999999999</x:v>
      </x:c>
      <x:c r="D387" s="1">
        <x:f>'Входы H'!Q46</x:f>
        <x:v>0.29999999999999999</x:v>
      </x:c>
      <x:c r="E387" s="1">
        <x:f>IF(C387=D387,1,0)</x:f>
        <x:v>1</x:v>
      </x:c>
      <x:c r="F387" s="1"/>
      <x:c r="G387" s="1"/>
    </x:row>
    <x:row r="388" ht="26" customHeight="1">
      <x:c r="A388" s="1" t="str">
        <x:v>Входы H</x:v>
      </x:c>
      <x:c r="B388" s="1" t="str">
        <x:v>N47</x:v>
      </x:c>
      <x:c r="C388" s="1">
        <x:v>1.5</x:v>
      </x:c>
      <x:c r="D388" s="1">
        <x:f>'Входы H'!N47</x:f>
        <x:v>1.5</x:v>
      </x:c>
      <x:c r="E388" s="1">
        <x:f>IF(C388=D388,1,0)</x:f>
        <x:v>1</x:v>
      </x:c>
      <x:c r="F388" s="1"/>
      <x:c r="G388" s="1"/>
    </x:row>
    <x:row r="389" ht="26" customHeight="1">
      <x:c r="A389" s="1" t="str">
        <x:v>Входы H</x:v>
      </x:c>
      <x:c r="B389" s="1" t="str">
        <x:v>O47</x:v>
      </x:c>
      <x:c r="C389" s="1">
        <x:v>0.20000000000000001</x:v>
      </x:c>
      <x:c r="D389" s="1">
        <x:f>'Входы H'!O47</x:f>
        <x:v>0.20000000000000001</x:v>
      </x:c>
      <x:c r="E389" s="1">
        <x:f>IF(C389=D389,1,0)</x:f>
        <x:v>1</x:v>
      </x:c>
      <x:c r="F389" s="1"/>
      <x:c r="G389" s="1"/>
    </x:row>
    <x:row r="390" ht="26" customHeight="1">
      <x:c r="A390" s="1" t="str">
        <x:v>Входы H</x:v>
      </x:c>
      <x:c r="B390" s="1" t="str">
        <x:v>P47</x:v>
      </x:c>
      <x:c r="C390" s="1">
        <x:v>1</x:v>
      </x:c>
      <x:c r="D390" s="1">
        <x:f>'Входы H'!P47</x:f>
        <x:v>1</x:v>
      </x:c>
      <x:c r="E390" s="1">
        <x:f>IF(C390=D390,1,0)</x:f>
        <x:v>1</x:v>
      </x:c>
      <x:c r="F390" s="1"/>
      <x:c r="G390" s="1"/>
    </x:row>
    <x:row r="391" ht="26" customHeight="1">
      <x:c r="A391" s="1" t="str">
        <x:v>Входы H</x:v>
      </x:c>
      <x:c r="B391" s="1" t="str">
        <x:v>Q47</x:v>
      </x:c>
      <x:c r="C391" s="1">
        <x:v>0.29999999999999999</x:v>
      </x:c>
      <x:c r="D391" s="1">
        <x:f>'Входы H'!Q47</x:f>
        <x:v>0.29999999999999999</x:v>
      </x:c>
      <x:c r="E391" s="1">
        <x:f>IF(C391=D391,1,0)</x:f>
        <x:v>1</x:v>
      </x:c>
      <x:c r="F391" s="1"/>
      <x:c r="G391" s="1"/>
    </x:row>
    <x:row r="392" ht="26" customHeight="1">
      <x:c r="A392" s="1" t="str">
        <x:v>Входы H</x:v>
      </x:c>
      <x:c r="B392" s="1" t="str">
        <x:v>N48</x:v>
      </x:c>
      <x:c r="C392" s="1">
        <x:v>1.5</x:v>
      </x:c>
      <x:c r="D392" s="1">
        <x:f>'Входы H'!N48</x:f>
        <x:v>1.5</x:v>
      </x:c>
      <x:c r="E392" s="1">
        <x:f>IF(C392=D392,1,0)</x:f>
        <x:v>1</x:v>
      </x:c>
      <x:c r="F392" s="1"/>
      <x:c r="G392" s="1"/>
    </x:row>
    <x:row r="393" ht="26" customHeight="1">
      <x:c r="A393" s="1" t="str">
        <x:v>Входы H</x:v>
      </x:c>
      <x:c r="B393" s="1" t="str">
        <x:v>O48</x:v>
      </x:c>
      <x:c r="C393" s="1">
        <x:v>0.20000000000000001</x:v>
      </x:c>
      <x:c r="D393" s="1">
        <x:f>'Входы H'!O48</x:f>
        <x:v>0.20000000000000001</x:v>
      </x:c>
      <x:c r="E393" s="1">
        <x:f>IF(C393=D393,1,0)</x:f>
        <x:v>1</x:v>
      </x:c>
      <x:c r="F393" s="1"/>
      <x:c r="G393" s="1"/>
    </x:row>
    <x:row r="394" ht="26" customHeight="1">
      <x:c r="A394" s="1" t="str">
        <x:v>Входы H</x:v>
      </x:c>
      <x:c r="B394" s="1" t="str">
        <x:v>P48</x:v>
      </x:c>
      <x:c r="C394" s="1">
        <x:v>1</x:v>
      </x:c>
      <x:c r="D394" s="1">
        <x:f>'Входы H'!P48</x:f>
        <x:v>1</x:v>
      </x:c>
      <x:c r="E394" s="1">
        <x:f>IF(C394=D394,1,0)</x:f>
        <x:v>1</x:v>
      </x:c>
      <x:c r="F394" s="1"/>
      <x:c r="G394" s="1"/>
    </x:row>
    <x:row r="395" ht="26" customHeight="1">
      <x:c r="A395" s="1" t="str">
        <x:v>Входы H</x:v>
      </x:c>
      <x:c r="B395" s="1" t="str">
        <x:v>Q48</x:v>
      </x:c>
      <x:c r="C395" s="1">
        <x:v>0.29999999999999999</x:v>
      </x:c>
      <x:c r="D395" s="1">
        <x:f>'Входы H'!Q48</x:f>
        <x:v>0.29999999999999999</x:v>
      </x:c>
      <x:c r="E395" s="1">
        <x:f>IF(C395=D395,1,0)</x:f>
        <x:v>1</x:v>
      </x:c>
      <x:c r="F395" s="1"/>
      <x:c r="G395" s="1"/>
    </x:row>
    <x:row r="396" ht="26" customHeight="1">
      <x:c r="A396" s="1" t="str">
        <x:v>Входы H</x:v>
      </x:c>
      <x:c r="B396" s="1" t="str">
        <x:v>N49</x:v>
      </x:c>
      <x:c r="C396" s="1">
        <x:v>1.5</x:v>
      </x:c>
      <x:c r="D396" s="1">
        <x:f>'Входы H'!N49</x:f>
        <x:v>1.5</x:v>
      </x:c>
      <x:c r="E396" s="1">
        <x:f>IF(C396=D396,1,0)</x:f>
        <x:v>1</x:v>
      </x:c>
      <x:c r="F396" s="1"/>
      <x:c r="G396" s="1"/>
    </x:row>
    <x:row r="397" ht="26" customHeight="1">
      <x:c r="A397" s="1" t="str">
        <x:v>Входы H</x:v>
      </x:c>
      <x:c r="B397" s="1" t="str">
        <x:v>O49</x:v>
      </x:c>
      <x:c r="C397" s="1">
        <x:v>0.20000000000000001</x:v>
      </x:c>
      <x:c r="D397" s="1">
        <x:f>'Входы H'!O49</x:f>
        <x:v>0.20000000000000001</x:v>
      </x:c>
      <x:c r="E397" s="1">
        <x:f>IF(C397=D397,1,0)</x:f>
        <x:v>1</x:v>
      </x:c>
      <x:c r="F397" s="1"/>
      <x:c r="G397" s="1"/>
    </x:row>
    <x:row r="398" ht="26" customHeight="1">
      <x:c r="A398" s="1" t="str">
        <x:v>Входы H</x:v>
      </x:c>
      <x:c r="B398" s="1" t="str">
        <x:v>P49</x:v>
      </x:c>
      <x:c r="C398" s="1">
        <x:v>1</x:v>
      </x:c>
      <x:c r="D398" s="1">
        <x:f>'Входы H'!P49</x:f>
        <x:v>1</x:v>
      </x:c>
      <x:c r="E398" s="1">
        <x:f>IF(C398=D398,1,0)</x:f>
        <x:v>1</x:v>
      </x:c>
      <x:c r="F398" s="1"/>
      <x:c r="G398" s="1"/>
    </x:row>
    <x:row r="399" ht="26" customHeight="1">
      <x:c r="A399" s="1" t="str">
        <x:v>Входы H</x:v>
      </x:c>
      <x:c r="B399" s="1" t="str">
        <x:v>Q49</x:v>
      </x:c>
      <x:c r="C399" s="1">
        <x:v>0.29999999999999999</x:v>
      </x:c>
      <x:c r="D399" s="1">
        <x:f>'Входы H'!Q49</x:f>
        <x:v>0.29999999999999999</x:v>
      </x:c>
      <x:c r="E399" s="1">
        <x:f>IF(C399=D399,1,0)</x:f>
        <x:v>1</x:v>
      </x:c>
      <x:c r="F399" s="1"/>
      <x:c r="G399" s="1"/>
    </x:row>
    <x:row r="400" ht="26" customHeight="1">
      <x:c r="A400" s="1" t="str">
        <x:v>Входы H</x:v>
      </x:c>
      <x:c r="B400" s="1" t="str">
        <x:v>N50</x:v>
      </x:c>
      <x:c r="C400" s="1">
        <x:v>1.5</x:v>
      </x:c>
      <x:c r="D400" s="1">
        <x:f>'Входы H'!N50</x:f>
        <x:v>1.5</x:v>
      </x:c>
      <x:c r="E400" s="1">
        <x:f>IF(C400=D400,1,0)</x:f>
        <x:v>1</x:v>
      </x:c>
      <x:c r="F400" s="1"/>
      <x:c r="G400" s="1"/>
    </x:row>
    <x:row r="401" ht="26" customHeight="1">
      <x:c r="A401" s="1" t="str">
        <x:v>Входы H</x:v>
      </x:c>
      <x:c r="B401" s="1" t="str">
        <x:v>O50</x:v>
      </x:c>
      <x:c r="C401" s="1">
        <x:v>0.20000000000000001</x:v>
      </x:c>
      <x:c r="D401" s="1">
        <x:f>'Входы H'!O50</x:f>
        <x:v>0.20000000000000001</x:v>
      </x:c>
      <x:c r="E401" s="1">
        <x:f>IF(C401=D401,1,0)</x:f>
        <x:v>1</x:v>
      </x:c>
      <x:c r="F401" s="1"/>
      <x:c r="G401" s="1"/>
    </x:row>
    <x:row r="402" ht="26" customHeight="1">
      <x:c r="A402" s="1" t="str">
        <x:v>Входы H</x:v>
      </x:c>
      <x:c r="B402" s="1" t="str">
        <x:v>P50</x:v>
      </x:c>
      <x:c r="C402" s="1">
        <x:v>1</x:v>
      </x:c>
      <x:c r="D402" s="1">
        <x:f>'Входы H'!P50</x:f>
        <x:v>1</x:v>
      </x:c>
      <x:c r="E402" s="1">
        <x:f>IF(C402=D402,1,0)</x:f>
        <x:v>1</x:v>
      </x:c>
      <x:c r="F402" s="1"/>
      <x:c r="G402" s="1"/>
    </x:row>
    <x:row r="403" ht="26" customHeight="1">
      <x:c r="A403" s="1" t="str">
        <x:v>Входы H</x:v>
      </x:c>
      <x:c r="B403" s="1" t="str">
        <x:v>Q50</x:v>
      </x:c>
      <x:c r="C403" s="1">
        <x:v>0.29999999999999999</x:v>
      </x:c>
      <x:c r="D403" s="1">
        <x:f>'Входы H'!Q50</x:f>
        <x:v>0.29999999999999999</x:v>
      </x:c>
      <x:c r="E403" s="1">
        <x:f>IF(C403=D403,1,0)</x:f>
        <x:v>1</x:v>
      </x:c>
      <x:c r="F403" s="1"/>
      <x:c r="G403" s="1"/>
    </x:row>
    <x:row r="404" ht="26" customHeight="1">
      <x:c r="A404" s="1" t="str">
        <x:v>Входы H</x:v>
      </x:c>
      <x:c r="B404" s="1" t="str">
        <x:v>N51</x:v>
      </x:c>
      <x:c r="C404" s="1">
        <x:v>1.5</x:v>
      </x:c>
      <x:c r="D404" s="1">
        <x:f>'Входы H'!N51</x:f>
        <x:v>1.5</x:v>
      </x:c>
      <x:c r="E404" s="1">
        <x:f>IF(C404=D404,1,0)</x:f>
        <x:v>1</x:v>
      </x:c>
      <x:c r="F404" s="1"/>
      <x:c r="G404" s="1"/>
    </x:row>
    <x:row r="405" ht="26" customHeight="1">
      <x:c r="A405" s="1" t="str">
        <x:v>Входы H</x:v>
      </x:c>
      <x:c r="B405" s="1" t="str">
        <x:v>O51</x:v>
      </x:c>
      <x:c r="C405" s="1">
        <x:v>0.20000000000000001</x:v>
      </x:c>
      <x:c r="D405" s="1">
        <x:f>'Входы H'!O51</x:f>
        <x:v>0.20000000000000001</x:v>
      </x:c>
      <x:c r="E405" s="1">
        <x:f>IF(C405=D405,1,0)</x:f>
        <x:v>1</x:v>
      </x:c>
      <x:c r="F405" s="1"/>
      <x:c r="G405" s="1"/>
    </x:row>
    <x:row r="406" ht="26" customHeight="1">
      <x:c r="A406" s="1" t="str">
        <x:v>Входы H</x:v>
      </x:c>
      <x:c r="B406" s="1" t="str">
        <x:v>P51</x:v>
      </x:c>
      <x:c r="C406" s="1">
        <x:v>1</x:v>
      </x:c>
      <x:c r="D406" s="1">
        <x:f>'Входы H'!P51</x:f>
        <x:v>1</x:v>
      </x:c>
      <x:c r="E406" s="1">
        <x:f>IF(C406=D406,1,0)</x:f>
        <x:v>1</x:v>
      </x:c>
      <x:c r="F406" s="1"/>
      <x:c r="G406" s="1"/>
    </x:row>
    <x:row r="407" ht="26" customHeight="1">
      <x:c r="A407" s="1" t="str">
        <x:v>Входы H</x:v>
      </x:c>
      <x:c r="B407" s="1" t="str">
        <x:v>Q51</x:v>
      </x:c>
      <x:c r="C407" s="1">
        <x:v>0.29999999999999999</x:v>
      </x:c>
      <x:c r="D407" s="1">
        <x:f>'Входы H'!Q51</x:f>
        <x:v>0.29999999999999999</x:v>
      </x:c>
      <x:c r="E407" s="1">
        <x:f>IF(C407=D407,1,0)</x:f>
        <x:v>1</x:v>
      </x:c>
      <x:c r="F407" s="1"/>
      <x:c r="G407" s="1"/>
    </x:row>
    <x:row r="408" ht="26" customHeight="1">
      <x:c r="A408" s="1" t="str">
        <x:v>Входы H</x:v>
      </x:c>
      <x:c r="B408" s="1" t="str">
        <x:v>N52</x:v>
      </x:c>
      <x:c r="C408" s="1">
        <x:v>1.5</x:v>
      </x:c>
      <x:c r="D408" s="1">
        <x:f>'Входы H'!N52</x:f>
        <x:v>1.5</x:v>
      </x:c>
      <x:c r="E408" s="1">
        <x:f>IF(C408=D408,1,0)</x:f>
        <x:v>1</x:v>
      </x:c>
      <x:c r="F408" s="1"/>
      <x:c r="G408" s="1"/>
    </x:row>
    <x:row r="409" ht="26" customHeight="1">
      <x:c r="A409" s="1" t="str">
        <x:v>Входы H</x:v>
      </x:c>
      <x:c r="B409" s="1" t="str">
        <x:v>O52</x:v>
      </x:c>
      <x:c r="C409" s="1">
        <x:v>0.20000000000000001</x:v>
      </x:c>
      <x:c r="D409" s="1">
        <x:f>'Входы H'!O52</x:f>
        <x:v>0.20000000000000001</x:v>
      </x:c>
      <x:c r="E409" s="1">
        <x:f>IF(C409=D409,1,0)</x:f>
        <x:v>1</x:v>
      </x:c>
      <x:c r="F409" s="1"/>
      <x:c r="G409" s="1"/>
    </x:row>
    <x:row r="410" ht="26" customHeight="1">
      <x:c r="A410" s="1" t="str">
        <x:v>Входы H</x:v>
      </x:c>
      <x:c r="B410" s="1" t="str">
        <x:v>P52</x:v>
      </x:c>
      <x:c r="C410" s="1">
        <x:v>1</x:v>
      </x:c>
      <x:c r="D410" s="1">
        <x:f>'Входы H'!P52</x:f>
        <x:v>1</x:v>
      </x:c>
      <x:c r="E410" s="1">
        <x:f>IF(C410=D410,1,0)</x:f>
        <x:v>1</x:v>
      </x:c>
      <x:c r="F410" s="1"/>
      <x:c r="G410" s="1"/>
    </x:row>
    <x:row r="411" ht="26" customHeight="1">
      <x:c r="A411" s="1" t="str">
        <x:v>Входы H</x:v>
      </x:c>
      <x:c r="B411" s="1" t="str">
        <x:v>Q52</x:v>
      </x:c>
      <x:c r="C411" s="1">
        <x:v>0.29999999999999999</x:v>
      </x:c>
      <x:c r="D411" s="1">
        <x:f>'Входы H'!Q52</x:f>
        <x:v>0.29999999999999999</x:v>
      </x:c>
      <x:c r="E411" s="1">
        <x:f>IF(C411=D411,1,0)</x:f>
        <x:v>1</x:v>
      </x:c>
      <x:c r="F411" s="1"/>
      <x:c r="G411" s="1"/>
    </x:row>
    <x:row r="412" ht="26" customHeight="1">
      <x:c r="A412" s="1" t="str">
        <x:v>Входы H</x:v>
      </x:c>
      <x:c r="B412" s="1" t="str">
        <x:v>N53</x:v>
      </x:c>
      <x:c r="C412" s="1">
        <x:v>1.5</x:v>
      </x:c>
      <x:c r="D412" s="1">
        <x:f>'Входы H'!N53</x:f>
        <x:v>1.5</x:v>
      </x:c>
      <x:c r="E412" s="1">
        <x:f>IF(C412=D412,1,0)</x:f>
        <x:v>1</x:v>
      </x:c>
      <x:c r="F412" s="1"/>
      <x:c r="G412" s="1"/>
    </x:row>
    <x:row r="413" ht="26" customHeight="1">
      <x:c r="A413" s="1" t="str">
        <x:v>Входы H</x:v>
      </x:c>
      <x:c r="B413" s="1" t="str">
        <x:v>O53</x:v>
      </x:c>
      <x:c r="C413" s="1">
        <x:v>0.20000000000000001</x:v>
      </x:c>
      <x:c r="D413" s="1">
        <x:f>'Входы H'!O53</x:f>
        <x:v>0.20000000000000001</x:v>
      </x:c>
      <x:c r="E413" s="1">
        <x:f>IF(C413=D413,1,0)</x:f>
        <x:v>1</x:v>
      </x:c>
      <x:c r="F413" s="1"/>
      <x:c r="G413" s="1"/>
    </x:row>
    <x:row r="414" ht="26" customHeight="1">
      <x:c r="A414" s="1" t="str">
        <x:v>Входы H</x:v>
      </x:c>
      <x:c r="B414" s="1" t="str">
        <x:v>P53</x:v>
      </x:c>
      <x:c r="C414" s="1">
        <x:v>1</x:v>
      </x:c>
      <x:c r="D414" s="1">
        <x:f>'Входы H'!P53</x:f>
        <x:v>1</x:v>
      </x:c>
      <x:c r="E414" s="1">
        <x:f>IF(C414=D414,1,0)</x:f>
        <x:v>1</x:v>
      </x:c>
      <x:c r="F414" s="1"/>
      <x:c r="G414" s="1"/>
    </x:row>
    <x:row r="415" ht="26" customHeight="1">
      <x:c r="A415" s="1" t="str">
        <x:v>Входы H</x:v>
      </x:c>
      <x:c r="B415" s="1" t="str">
        <x:v>Q53</x:v>
      </x:c>
      <x:c r="C415" s="1">
        <x:v>0.29999999999999999</x:v>
      </x:c>
      <x:c r="D415" s="1">
        <x:f>'Входы H'!Q53</x:f>
        <x:v>0.29999999999999999</x:v>
      </x:c>
      <x:c r="E415" s="1">
        <x:f>IF(C415=D415,1,0)</x:f>
        <x:v>1</x:v>
      </x:c>
      <x:c r="F415" s="1"/>
      <x:c r="G415" s="1"/>
    </x:row>
    <x:row r="416" ht="26" customHeight="1">
      <x:c r="A416" s="1" t="str">
        <x:v>Входы H</x:v>
      </x:c>
      <x:c r="B416" s="1" t="str">
        <x:v>N54</x:v>
      </x:c>
      <x:c r="C416" s="1">
        <x:v>1.5</x:v>
      </x:c>
      <x:c r="D416" s="1">
        <x:f>'Входы H'!N54</x:f>
        <x:v>1.5</x:v>
      </x:c>
      <x:c r="E416" s="1">
        <x:f>IF(C416=D416,1,0)</x:f>
        <x:v>1</x:v>
      </x:c>
      <x:c r="F416" s="1"/>
      <x:c r="G416" s="1"/>
    </x:row>
    <x:row r="417" ht="26" customHeight="1">
      <x:c r="A417" s="1" t="str">
        <x:v>Входы H</x:v>
      </x:c>
      <x:c r="B417" s="1" t="str">
        <x:v>O54</x:v>
      </x:c>
      <x:c r="C417" s="1">
        <x:v>0.20000000000000001</x:v>
      </x:c>
      <x:c r="D417" s="1">
        <x:f>'Входы H'!O54</x:f>
        <x:v>0.20000000000000001</x:v>
      </x:c>
      <x:c r="E417" s="1">
        <x:f>IF(C417=D417,1,0)</x:f>
        <x:v>1</x:v>
      </x:c>
      <x:c r="F417" s="1"/>
      <x:c r="G417" s="1"/>
    </x:row>
    <x:row r="418" ht="26" customHeight="1">
      <x:c r="A418" s="1" t="str">
        <x:v>Входы H</x:v>
      </x:c>
      <x:c r="B418" s="1" t="str">
        <x:v>P54</x:v>
      </x:c>
      <x:c r="C418" s="1">
        <x:v>1</x:v>
      </x:c>
      <x:c r="D418" s="1">
        <x:f>'Входы H'!P54</x:f>
        <x:v>1</x:v>
      </x:c>
      <x:c r="E418" s="1">
        <x:f>IF(C418=D418,1,0)</x:f>
        <x:v>1</x:v>
      </x:c>
      <x:c r="F418" s="1"/>
      <x:c r="G418" s="1"/>
    </x:row>
    <x:row r="419" ht="26" customHeight="1">
      <x:c r="A419" s="1" t="str">
        <x:v>Входы H</x:v>
      </x:c>
      <x:c r="B419" s="1" t="str">
        <x:v>Q54</x:v>
      </x:c>
      <x:c r="C419" s="1">
        <x:v>0.29999999999999999</x:v>
      </x:c>
      <x:c r="D419" s="1">
        <x:f>'Входы H'!Q54</x:f>
        <x:v>0.29999999999999999</x:v>
      </x:c>
      <x:c r="E419" s="1">
        <x:f>IF(C419=D419,1,0)</x:f>
        <x:v>1</x:v>
      </x:c>
      <x:c r="F419" s="1"/>
      <x:c r="G419" s="1"/>
    </x:row>
    <x:row r="420" ht="26" customHeight="1">
      <x:c r="A420" s="1" t="str">
        <x:v>Входы H</x:v>
      </x:c>
      <x:c r="B420" s="1" t="str">
        <x:v>N55</x:v>
      </x:c>
      <x:c r="C420" s="1">
        <x:v>1.5</x:v>
      </x:c>
      <x:c r="D420" s="1">
        <x:f>'Входы H'!N55</x:f>
        <x:v>1.5</x:v>
      </x:c>
      <x:c r="E420" s="1">
        <x:f>IF(C420=D420,1,0)</x:f>
        <x:v>1</x:v>
      </x:c>
      <x:c r="F420" s="1"/>
      <x:c r="G420" s="1"/>
    </x:row>
    <x:row r="421" ht="26" customHeight="1">
      <x:c r="A421" s="1" t="str">
        <x:v>Входы H</x:v>
      </x:c>
      <x:c r="B421" s="1" t="str">
        <x:v>O55</x:v>
      </x:c>
      <x:c r="C421" s="1">
        <x:v>0.20000000000000001</x:v>
      </x:c>
      <x:c r="D421" s="1">
        <x:f>'Входы H'!O55</x:f>
        <x:v>0.20000000000000001</x:v>
      </x:c>
      <x:c r="E421" s="1">
        <x:f>IF(C421=D421,1,0)</x:f>
        <x:v>1</x:v>
      </x:c>
      <x:c r="F421" s="1"/>
      <x:c r="G421" s="1"/>
    </x:row>
    <x:row r="422" ht="26" customHeight="1">
      <x:c r="A422" s="1" t="str">
        <x:v>Входы H</x:v>
      </x:c>
      <x:c r="B422" s="1" t="str">
        <x:v>P55</x:v>
      </x:c>
      <x:c r="C422" s="1">
        <x:v>1</x:v>
      </x:c>
      <x:c r="D422" s="1">
        <x:f>'Входы H'!P55</x:f>
        <x:v>1</x:v>
      </x:c>
      <x:c r="E422" s="1">
        <x:f>IF(C422=D422,1,0)</x:f>
        <x:v>1</x:v>
      </x:c>
      <x:c r="F422" s="1"/>
      <x:c r="G422" s="1"/>
    </x:row>
    <x:row r="423" ht="26" customHeight="1">
      <x:c r="A423" s="1" t="str">
        <x:v>Входы H</x:v>
      </x:c>
      <x:c r="B423" s="1" t="str">
        <x:v>Q55</x:v>
      </x:c>
      <x:c r="C423" s="1">
        <x:v>0.29999999999999999</x:v>
      </x:c>
      <x:c r="D423" s="1">
        <x:f>'Входы H'!Q55</x:f>
        <x:v>0.29999999999999999</x:v>
      </x:c>
      <x:c r="E423" s="1">
        <x:f>IF(C423=D423,1,0)</x:f>
        <x:v>1</x:v>
      </x:c>
      <x:c r="F423" s="1"/>
      <x:c r="G423" s="1"/>
    </x:row>
    <x:row r="424" ht="26" customHeight="1">
      <x:c r="A424" s="1" t="str">
        <x:v>Входы H</x:v>
      </x:c>
      <x:c r="B424" s="1" t="str">
        <x:v>N56</x:v>
      </x:c>
      <x:c r="C424" s="1">
        <x:v>1.5</x:v>
      </x:c>
      <x:c r="D424" s="1">
        <x:f>'Входы H'!N56</x:f>
        <x:v>1.5</x:v>
      </x:c>
      <x:c r="E424" s="1">
        <x:f>IF(C424=D424,1,0)</x:f>
        <x:v>1</x:v>
      </x:c>
      <x:c r="F424" s="1"/>
      <x:c r="G424" s="1"/>
    </x:row>
    <x:row r="425" ht="26" customHeight="1">
      <x:c r="A425" s="1" t="str">
        <x:v>Входы H</x:v>
      </x:c>
      <x:c r="B425" s="1" t="str">
        <x:v>O56</x:v>
      </x:c>
      <x:c r="C425" s="1">
        <x:v>0.20000000000000001</x:v>
      </x:c>
      <x:c r="D425" s="1">
        <x:f>'Входы H'!O56</x:f>
        <x:v>0.20000000000000001</x:v>
      </x:c>
      <x:c r="E425" s="1">
        <x:f>IF(C425=D425,1,0)</x:f>
        <x:v>1</x:v>
      </x:c>
      <x:c r="F425" s="1"/>
      <x:c r="G425" s="1"/>
    </x:row>
    <x:row r="426" ht="26" customHeight="1">
      <x:c r="A426" s="1" t="str">
        <x:v>Входы H</x:v>
      </x:c>
      <x:c r="B426" s="1" t="str">
        <x:v>P56</x:v>
      </x:c>
      <x:c r="C426" s="1">
        <x:v>1</x:v>
      </x:c>
      <x:c r="D426" s="1">
        <x:f>'Входы H'!P56</x:f>
        <x:v>1</x:v>
      </x:c>
      <x:c r="E426" s="1">
        <x:f>IF(C426=D426,1,0)</x:f>
        <x:v>1</x:v>
      </x:c>
      <x:c r="F426" s="1"/>
      <x:c r="G426" s="1"/>
    </x:row>
    <x:row r="427" ht="26" customHeight="1">
      <x:c r="A427" s="1" t="str">
        <x:v>Входы H</x:v>
      </x:c>
      <x:c r="B427" s="1" t="str">
        <x:v>Q56</x:v>
      </x:c>
      <x:c r="C427" s="1">
        <x:v>0.29999999999999999</x:v>
      </x:c>
      <x:c r="D427" s="1">
        <x:f>'Входы H'!Q56</x:f>
        <x:v>0.29999999999999999</x:v>
      </x:c>
      <x:c r="E427" s="1">
        <x:f>IF(C427=D427,1,0)</x:f>
        <x:v>1</x:v>
      </x:c>
      <x:c r="F427" s="1"/>
      <x:c r="G427" s="1"/>
    </x:row>
    <x:row r="428" ht="26" customHeight="1">
      <x:c r="A428" s="1" t="str">
        <x:v>Входы H</x:v>
      </x:c>
      <x:c r="B428" s="1" t="str">
        <x:v>N57</x:v>
      </x:c>
      <x:c r="C428" s="1">
        <x:v>1.5</x:v>
      </x:c>
      <x:c r="D428" s="1">
        <x:f>'Входы H'!N57</x:f>
        <x:v>1.5</x:v>
      </x:c>
      <x:c r="E428" s="1">
        <x:f>IF(C428=D428,1,0)</x:f>
        <x:v>1</x:v>
      </x:c>
      <x:c r="F428" s="1"/>
      <x:c r="G428" s="1"/>
    </x:row>
    <x:row r="429" ht="26" customHeight="1">
      <x:c r="A429" s="1" t="str">
        <x:v>Входы H</x:v>
      </x:c>
      <x:c r="B429" s="1" t="str">
        <x:v>O57</x:v>
      </x:c>
      <x:c r="C429" s="1">
        <x:v>0.20000000000000001</x:v>
      </x:c>
      <x:c r="D429" s="1">
        <x:f>'Входы H'!O57</x:f>
        <x:v>0.20000000000000001</x:v>
      </x:c>
      <x:c r="E429" s="1">
        <x:f>IF(C429=D429,1,0)</x:f>
        <x:v>1</x:v>
      </x:c>
      <x:c r="F429" s="1"/>
      <x:c r="G429" s="1"/>
    </x:row>
    <x:row r="430" ht="26" customHeight="1">
      <x:c r="A430" s="1" t="str">
        <x:v>Входы H</x:v>
      </x:c>
      <x:c r="B430" s="1" t="str">
        <x:v>P57</x:v>
      </x:c>
      <x:c r="C430" s="1">
        <x:v>1</x:v>
      </x:c>
      <x:c r="D430" s="1">
        <x:f>'Входы H'!P57</x:f>
        <x:v>1</x:v>
      </x:c>
      <x:c r="E430" s="1">
        <x:f>IF(C430=D430,1,0)</x:f>
        <x:v>1</x:v>
      </x:c>
      <x:c r="F430" s="1"/>
      <x:c r="G430" s="1"/>
    </x:row>
    <x:row r="431" ht="26" customHeight="1">
      <x:c r="A431" s="1" t="str">
        <x:v>Входы H</x:v>
      </x:c>
      <x:c r="B431" s="1" t="str">
        <x:v>Q57</x:v>
      </x:c>
      <x:c r="C431" s="1">
        <x:v>0.29999999999999999</x:v>
      </x:c>
      <x:c r="D431" s="1">
        <x:f>'Входы H'!Q57</x:f>
        <x:v>0.29999999999999999</x:v>
      </x:c>
      <x:c r="E431" s="1">
        <x:f>IF(C431=D431,1,0)</x:f>
        <x:v>1</x:v>
      </x:c>
      <x:c r="F431" s="1"/>
      <x:c r="G431" s="1"/>
    </x:row>
    <x:row r="432" ht="26" customHeight="1">
      <x:c r="A432" s="1" t="str">
        <x:v>Входы H</x:v>
      </x:c>
      <x:c r="B432" s="1" t="str">
        <x:v>N58</x:v>
      </x:c>
      <x:c r="C432" s="1">
        <x:v>1.5</x:v>
      </x:c>
      <x:c r="D432" s="1">
        <x:f>'Входы H'!N58</x:f>
        <x:v>1.5</x:v>
      </x:c>
      <x:c r="E432" s="1">
        <x:f>IF(C432=D432,1,0)</x:f>
        <x:v>1</x:v>
      </x:c>
      <x:c r="F432" s="1"/>
      <x:c r="G432" s="1"/>
    </x:row>
    <x:row r="433" ht="26" customHeight="1">
      <x:c r="A433" s="1" t="str">
        <x:v>Входы H</x:v>
      </x:c>
      <x:c r="B433" s="1" t="str">
        <x:v>O58</x:v>
      </x:c>
      <x:c r="C433" s="1">
        <x:v>0.20000000000000001</x:v>
      </x:c>
      <x:c r="D433" s="1">
        <x:f>'Входы H'!O58</x:f>
        <x:v>0.20000000000000001</x:v>
      </x:c>
      <x:c r="E433" s="1">
        <x:f>IF(C433=D433,1,0)</x:f>
        <x:v>1</x:v>
      </x:c>
      <x:c r="F433" s="1"/>
      <x:c r="G433" s="1"/>
    </x:row>
    <x:row r="434" ht="26" customHeight="1">
      <x:c r="A434" s="1" t="str">
        <x:v>Входы H</x:v>
      </x:c>
      <x:c r="B434" s="1" t="str">
        <x:v>P58</x:v>
      </x:c>
      <x:c r="C434" s="1">
        <x:v>1</x:v>
      </x:c>
      <x:c r="D434" s="1">
        <x:f>'Входы H'!P58</x:f>
        <x:v>1</x:v>
      </x:c>
      <x:c r="E434" s="1">
        <x:f>IF(C434=D434,1,0)</x:f>
        <x:v>1</x:v>
      </x:c>
      <x:c r="F434" s="1"/>
      <x:c r="G434" s="1"/>
    </x:row>
    <x:row r="435" ht="26" customHeight="1">
      <x:c r="A435" s="1" t="str">
        <x:v>Входы H</x:v>
      </x:c>
      <x:c r="B435" s="1" t="str">
        <x:v>Q58</x:v>
      </x:c>
      <x:c r="C435" s="1">
        <x:v>0.29999999999999999</x:v>
      </x:c>
      <x:c r="D435" s="1">
        <x:f>'Входы H'!Q58</x:f>
        <x:v>0.29999999999999999</x:v>
      </x:c>
      <x:c r="E435" s="1">
        <x:f>IF(C435=D435,1,0)</x:f>
        <x:v>1</x:v>
      </x:c>
      <x:c r="F435" s="1"/>
      <x:c r="G435" s="1"/>
    </x:row>
    <x:row r="436" ht="26" customHeight="1">
      <x:c r="A436" s="1" t="str">
        <x:v>Входы H</x:v>
      </x:c>
      <x:c r="B436" s="1" t="str">
        <x:v>N59</x:v>
      </x:c>
      <x:c r="C436" s="1">
        <x:v>1.5</x:v>
      </x:c>
      <x:c r="D436" s="1">
        <x:f>'Входы H'!N59</x:f>
        <x:v>1.5</x:v>
      </x:c>
      <x:c r="E436" s="1">
        <x:f>IF(C436=D436,1,0)</x:f>
        <x:v>1</x:v>
      </x:c>
      <x:c r="F436" s="1"/>
      <x:c r="G436" s="1"/>
    </x:row>
    <x:row r="437" ht="26" customHeight="1">
      <x:c r="A437" s="1" t="str">
        <x:v>Входы H</x:v>
      </x:c>
      <x:c r="B437" s="1" t="str">
        <x:v>O59</x:v>
      </x:c>
      <x:c r="C437" s="1">
        <x:v>0.20000000000000001</x:v>
      </x:c>
      <x:c r="D437" s="1">
        <x:f>'Входы H'!O59</x:f>
        <x:v>0.20000000000000001</x:v>
      </x:c>
      <x:c r="E437" s="1">
        <x:f>IF(C437=D437,1,0)</x:f>
        <x:v>1</x:v>
      </x:c>
      <x:c r="F437" s="1"/>
      <x:c r="G437" s="1"/>
    </x:row>
    <x:row r="438" ht="26" customHeight="1">
      <x:c r="A438" s="1" t="str">
        <x:v>Входы H</x:v>
      </x:c>
      <x:c r="B438" s="1" t="str">
        <x:v>P59</x:v>
      </x:c>
      <x:c r="C438" s="1">
        <x:v>1</x:v>
      </x:c>
      <x:c r="D438" s="1">
        <x:f>'Входы H'!P59</x:f>
        <x:v>1</x:v>
      </x:c>
      <x:c r="E438" s="1">
        <x:f>IF(C438=D438,1,0)</x:f>
        <x:v>1</x:v>
      </x:c>
      <x:c r="F438" s="1"/>
      <x:c r="G438" s="1"/>
    </x:row>
    <x:row r="439" ht="26" customHeight="1">
      <x:c r="A439" s="1" t="str">
        <x:v>Входы H</x:v>
      </x:c>
      <x:c r="B439" s="1" t="str">
        <x:v>Q59</x:v>
      </x:c>
      <x:c r="C439" s="1">
        <x:v>0.29999999999999999</x:v>
      </x:c>
      <x:c r="D439" s="1">
        <x:f>'Входы H'!Q59</x:f>
        <x:v>0.29999999999999999</x:v>
      </x:c>
      <x:c r="E439" s="1">
        <x:f>IF(C439=D439,1,0)</x:f>
        <x:v>1</x:v>
      </x:c>
      <x:c r="F439" s="1"/>
      <x:c r="G439" s="1"/>
    </x:row>
    <x:row r="440" ht="26" customHeight="1">
      <x:c r="A440" s="1" t="str">
        <x:v>Входы H</x:v>
      </x:c>
      <x:c r="B440" s="1" t="str">
        <x:v>N60</x:v>
      </x:c>
      <x:c r="C440" s="1">
        <x:v>1.5</x:v>
      </x:c>
      <x:c r="D440" s="1">
        <x:f>'Входы H'!N60</x:f>
        <x:v>1.5</x:v>
      </x:c>
      <x:c r="E440" s="1">
        <x:f>IF(C440=D440,1,0)</x:f>
        <x:v>1</x:v>
      </x:c>
      <x:c r="F440" s="1"/>
      <x:c r="G440" s="1"/>
    </x:row>
    <x:row r="441" ht="26" customHeight="1">
      <x:c r="A441" s="1" t="str">
        <x:v>Входы H</x:v>
      </x:c>
      <x:c r="B441" s="1" t="str">
        <x:v>O60</x:v>
      </x:c>
      <x:c r="C441" s="1">
        <x:v>0.20000000000000001</x:v>
      </x:c>
      <x:c r="D441" s="1">
        <x:f>'Входы H'!O60</x:f>
        <x:v>0.20000000000000001</x:v>
      </x:c>
      <x:c r="E441" s="1">
        <x:f>IF(C441=D441,1,0)</x:f>
        <x:v>1</x:v>
      </x:c>
      <x:c r="F441" s="1"/>
      <x:c r="G441" s="1"/>
    </x:row>
    <x:row r="442" ht="26" customHeight="1">
      <x:c r="A442" s="1" t="str">
        <x:v>Входы H</x:v>
      </x:c>
      <x:c r="B442" s="1" t="str">
        <x:v>P60</x:v>
      </x:c>
      <x:c r="C442" s="1">
        <x:v>1</x:v>
      </x:c>
      <x:c r="D442" s="1">
        <x:f>'Входы H'!P60</x:f>
        <x:v>1</x:v>
      </x:c>
      <x:c r="E442" s="1">
        <x:f>IF(C442=D442,1,0)</x:f>
        <x:v>1</x:v>
      </x:c>
      <x:c r="F442" s="1"/>
      <x:c r="G442" s="1"/>
    </x:row>
    <x:row r="443" ht="26" customHeight="1">
      <x:c r="A443" s="1" t="str">
        <x:v>Входы H</x:v>
      </x:c>
      <x:c r="B443" s="1" t="str">
        <x:v>Q60</x:v>
      </x:c>
      <x:c r="C443" s="1">
        <x:v>0.29999999999999999</x:v>
      </x:c>
      <x:c r="D443" s="1">
        <x:f>'Входы H'!Q60</x:f>
        <x:v>0.29999999999999999</x:v>
      </x:c>
      <x:c r="E443" s="1">
        <x:f>IF(C443=D443,1,0)</x:f>
        <x:v>1</x:v>
      </x:c>
      <x:c r="F443" s="1"/>
      <x:c r="G443" s="1"/>
    </x:row>
    <x:row r="444" ht="26" customHeight="1">
      <x:c r="A444" s="1" t="str">
        <x:v>Входы H</x:v>
      </x:c>
      <x:c r="B444" s="1" t="str">
        <x:v>N61</x:v>
      </x:c>
      <x:c r="C444" s="1">
        <x:v>1.5</x:v>
      </x:c>
      <x:c r="D444" s="1">
        <x:f>'Входы H'!N61</x:f>
        <x:v>1.5</x:v>
      </x:c>
      <x:c r="E444" s="1">
        <x:f>IF(C444=D444,1,0)</x:f>
        <x:v>1</x:v>
      </x:c>
      <x:c r="F444" s="1"/>
      <x:c r="G444" s="1"/>
    </x:row>
    <x:row r="445" ht="26" customHeight="1">
      <x:c r="A445" s="1" t="str">
        <x:v>Входы H</x:v>
      </x:c>
      <x:c r="B445" s="1" t="str">
        <x:v>O61</x:v>
      </x:c>
      <x:c r="C445" s="1">
        <x:v>0.20000000000000001</x:v>
      </x:c>
      <x:c r="D445" s="1">
        <x:f>'Входы H'!O61</x:f>
        <x:v>0.20000000000000001</x:v>
      </x:c>
      <x:c r="E445" s="1">
        <x:f>IF(C445=D445,1,0)</x:f>
        <x:v>1</x:v>
      </x:c>
      <x:c r="F445" s="1"/>
      <x:c r="G445" s="1"/>
    </x:row>
    <x:row r="446" ht="26" customHeight="1">
      <x:c r="A446" s="1" t="str">
        <x:v>Входы H</x:v>
      </x:c>
      <x:c r="B446" s="1" t="str">
        <x:v>P61</x:v>
      </x:c>
      <x:c r="C446" s="1">
        <x:v>1</x:v>
      </x:c>
      <x:c r="D446" s="1">
        <x:f>'Входы H'!P61</x:f>
        <x:v>1</x:v>
      </x:c>
      <x:c r="E446" s="1">
        <x:f>IF(C446=D446,1,0)</x:f>
        <x:v>1</x:v>
      </x:c>
      <x:c r="F446" s="1"/>
      <x:c r="G446" s="1"/>
    </x:row>
    <x:row r="447" ht="26" customHeight="1">
      <x:c r="A447" s="1" t="str">
        <x:v>Входы H</x:v>
      </x:c>
      <x:c r="B447" s="1" t="str">
        <x:v>Q61</x:v>
      </x:c>
      <x:c r="C447" s="1">
        <x:v>0.29999999999999999</x:v>
      </x:c>
      <x:c r="D447" s="1">
        <x:f>'Входы H'!Q61</x:f>
        <x:v>0.29999999999999999</x:v>
      </x:c>
      <x:c r="E447" s="1">
        <x:f>IF(C447=D447,1,0)</x:f>
        <x:v>1</x:v>
      </x:c>
      <x:c r="F447" s="1"/>
      <x:c r="G447" s="1"/>
    </x:row>
    <x:row r="448" ht="26" customHeight="1">
      <x:c r="A448" s="1" t="str">
        <x:v>Входы H</x:v>
      </x:c>
      <x:c r="B448" s="1" t="str">
        <x:v>N62</x:v>
      </x:c>
      <x:c r="C448" s="1">
        <x:v>1.5</x:v>
      </x:c>
      <x:c r="D448" s="1">
        <x:f>'Входы H'!N62</x:f>
        <x:v>1.5</x:v>
      </x:c>
      <x:c r="E448" s="1">
        <x:f>IF(C448=D448,1,0)</x:f>
        <x:v>1</x:v>
      </x:c>
      <x:c r="F448" s="1"/>
      <x:c r="G448" s="1"/>
    </x:row>
    <x:row r="449" ht="26" customHeight="1">
      <x:c r="A449" s="1" t="str">
        <x:v>Входы H</x:v>
      </x:c>
      <x:c r="B449" s="1" t="str">
        <x:v>O62</x:v>
      </x:c>
      <x:c r="C449" s="1">
        <x:v>0.20000000000000001</x:v>
      </x:c>
      <x:c r="D449" s="1">
        <x:f>'Входы H'!O62</x:f>
        <x:v>0.20000000000000001</x:v>
      </x:c>
      <x:c r="E449" s="1">
        <x:f>IF(C449=D449,1,0)</x:f>
        <x:v>1</x:v>
      </x:c>
      <x:c r="F449" s="1"/>
      <x:c r="G449" s="1"/>
    </x:row>
    <x:row r="450" ht="26" customHeight="1">
      <x:c r="A450" s="1" t="str">
        <x:v>Входы H</x:v>
      </x:c>
      <x:c r="B450" s="1" t="str">
        <x:v>P62</x:v>
      </x:c>
      <x:c r="C450" s="1">
        <x:v>1</x:v>
      </x:c>
      <x:c r="D450" s="1">
        <x:f>'Входы H'!P62</x:f>
        <x:v>1</x:v>
      </x:c>
      <x:c r="E450" s="1">
        <x:f>IF(C450=D450,1,0)</x:f>
        <x:v>1</x:v>
      </x:c>
      <x:c r="F450" s="1"/>
      <x:c r="G450" s="1"/>
    </x:row>
    <x:row r="451" ht="26" customHeight="1">
      <x:c r="A451" s="1" t="str">
        <x:v>Входы H</x:v>
      </x:c>
      <x:c r="B451" s="1" t="str">
        <x:v>Q62</x:v>
      </x:c>
      <x:c r="C451" s="1">
        <x:v>0.29999999999999999</x:v>
      </x:c>
      <x:c r="D451" s="1">
        <x:f>'Входы H'!Q62</x:f>
        <x:v>0.29999999999999999</x:v>
      </x:c>
      <x:c r="E451" s="1">
        <x:f>IF(C451=D451,1,0)</x:f>
        <x:v>1</x:v>
      </x:c>
      <x:c r="F451" s="1"/>
      <x:c r="G451" s="1"/>
    </x:row>
    <x:row r="452" ht="26" customHeight="1">
      <x:c r="A452" s="1" t="str">
        <x:v>Входы H</x:v>
      </x:c>
      <x:c r="B452" s="1" t="str">
        <x:v>N63</x:v>
      </x:c>
      <x:c r="C452" s="1">
        <x:v>1.5</x:v>
      </x:c>
      <x:c r="D452" s="1">
        <x:f>'Входы H'!N63</x:f>
        <x:v>1.5</x:v>
      </x:c>
      <x:c r="E452" s="1">
        <x:f>IF(C452=D452,1,0)</x:f>
        <x:v>1</x:v>
      </x:c>
      <x:c r="F452" s="1"/>
      <x:c r="G452" s="1"/>
    </x:row>
    <x:row r="453" ht="26" customHeight="1">
      <x:c r="A453" s="1" t="str">
        <x:v>Входы H</x:v>
      </x:c>
      <x:c r="B453" s="1" t="str">
        <x:v>O63</x:v>
      </x:c>
      <x:c r="C453" s="1">
        <x:v>0.20000000000000001</x:v>
      </x:c>
      <x:c r="D453" s="1">
        <x:f>'Входы H'!O63</x:f>
        <x:v>0.20000000000000001</x:v>
      </x:c>
      <x:c r="E453" s="1">
        <x:f>IF(C453=D453,1,0)</x:f>
        <x:v>1</x:v>
      </x:c>
      <x:c r="F453" s="1"/>
      <x:c r="G453" s="1"/>
    </x:row>
    <x:row r="454" ht="26" customHeight="1">
      <x:c r="A454" s="1" t="str">
        <x:v>Входы H</x:v>
      </x:c>
      <x:c r="B454" s="1" t="str">
        <x:v>P63</x:v>
      </x:c>
      <x:c r="C454" s="1">
        <x:v>1</x:v>
      </x:c>
      <x:c r="D454" s="1">
        <x:f>'Входы H'!P63</x:f>
        <x:v>1</x:v>
      </x:c>
      <x:c r="E454" s="1">
        <x:f>IF(C454=D454,1,0)</x:f>
        <x:v>1</x:v>
      </x:c>
      <x:c r="F454" s="1"/>
      <x:c r="G454" s="1"/>
    </x:row>
    <x:row r="455" ht="26" customHeight="1">
      <x:c r="A455" s="1" t="str">
        <x:v>Входы H</x:v>
      </x:c>
      <x:c r="B455" s="1" t="str">
        <x:v>Q63</x:v>
      </x:c>
      <x:c r="C455" s="1">
        <x:v>0.29999999999999999</x:v>
      </x:c>
      <x:c r="D455" s="1">
        <x:f>'Входы H'!Q63</x:f>
        <x:v>0.29999999999999999</x:v>
      </x:c>
      <x:c r="E455" s="1">
        <x:f>IF(C455=D455,1,0)</x:f>
        <x:v>1</x:v>
      </x:c>
      <x:c r="F455" s="1"/>
      <x:c r="G455" s="1"/>
    </x:row>
    <x:row r="456" ht="26" customHeight="1">
      <x:c r="A456" s="1" t="str">
        <x:v>Входы H</x:v>
      </x:c>
      <x:c r="B456" s="1" t="str">
        <x:v>N64</x:v>
      </x:c>
      <x:c r="C456" s="1">
        <x:v>1.5</x:v>
      </x:c>
      <x:c r="D456" s="1">
        <x:f>'Входы H'!N64</x:f>
        <x:v>1.5</x:v>
      </x:c>
      <x:c r="E456" s="1">
        <x:f>IF(C456=D456,1,0)</x:f>
        <x:v>1</x:v>
      </x:c>
      <x:c r="F456" s="1"/>
      <x:c r="G456" s="1"/>
    </x:row>
    <x:row r="457" ht="26" customHeight="1">
      <x:c r="A457" s="1" t="str">
        <x:v>Входы H</x:v>
      </x:c>
      <x:c r="B457" s="1" t="str">
        <x:v>O64</x:v>
      </x:c>
      <x:c r="C457" s="1">
        <x:v>0.20000000000000001</x:v>
      </x:c>
      <x:c r="D457" s="1">
        <x:f>'Входы H'!O64</x:f>
        <x:v>0.20000000000000001</x:v>
      </x:c>
      <x:c r="E457" s="1">
        <x:f>IF(C457=D457,1,0)</x:f>
        <x:v>1</x:v>
      </x:c>
      <x:c r="F457" s="1"/>
      <x:c r="G457" s="1"/>
    </x:row>
    <x:row r="458" ht="26" customHeight="1">
      <x:c r="A458" s="1" t="str">
        <x:v>Входы H</x:v>
      </x:c>
      <x:c r="B458" s="1" t="str">
        <x:v>P64</x:v>
      </x:c>
      <x:c r="C458" s="1">
        <x:v>1</x:v>
      </x:c>
      <x:c r="D458" s="1">
        <x:f>'Входы H'!P64</x:f>
        <x:v>1</x:v>
      </x:c>
      <x:c r="E458" s="1">
        <x:f>IF(C458=D458,1,0)</x:f>
        <x:v>1</x:v>
      </x:c>
      <x:c r="F458" s="1"/>
      <x:c r="G458" s="1"/>
    </x:row>
    <x:row r="459" ht="26" customHeight="1">
      <x:c r="A459" s="1" t="str">
        <x:v>Входы H</x:v>
      </x:c>
      <x:c r="B459" s="1" t="str">
        <x:v>Q64</x:v>
      </x:c>
      <x:c r="C459" s="1">
        <x:v>0.29999999999999999</x:v>
      </x:c>
      <x:c r="D459" s="1">
        <x:f>'Входы H'!Q64</x:f>
        <x:v>0.29999999999999999</x:v>
      </x:c>
      <x:c r="E459" s="1">
        <x:f>IF(C459=D459,1,0)</x:f>
        <x:v>1</x:v>
      </x:c>
      <x:c r="F459" s="1"/>
      <x:c r="G459" s="1"/>
    </x:row>
    <x:row r="460" ht="26" customHeight="1">
      <x:c r="A460" s="1" t="str">
        <x:v>Входы H</x:v>
      </x:c>
      <x:c r="B460" s="1" t="str">
        <x:v>N65</x:v>
      </x:c>
      <x:c r="C460" s="1">
        <x:v>1.5</x:v>
      </x:c>
      <x:c r="D460" s="1">
        <x:f>'Входы H'!N65</x:f>
        <x:v>1.5</x:v>
      </x:c>
      <x:c r="E460" s="1">
        <x:f>IF(C460=D460,1,0)</x:f>
        <x:v>1</x:v>
      </x:c>
      <x:c r="F460" s="1"/>
      <x:c r="G460" s="1"/>
    </x:row>
    <x:row r="461" ht="26" customHeight="1">
      <x:c r="A461" s="1" t="str">
        <x:v>Входы H</x:v>
      </x:c>
      <x:c r="B461" s="1" t="str">
        <x:v>O65</x:v>
      </x:c>
      <x:c r="C461" s="1">
        <x:v>0.20000000000000001</x:v>
      </x:c>
      <x:c r="D461" s="1">
        <x:f>'Входы H'!O65</x:f>
        <x:v>0.20000000000000001</x:v>
      </x:c>
      <x:c r="E461" s="1">
        <x:f>IF(C461=D461,1,0)</x:f>
        <x:v>1</x:v>
      </x:c>
      <x:c r="F461" s="1"/>
      <x:c r="G461" s="1"/>
    </x:row>
    <x:row r="462" ht="26" customHeight="1">
      <x:c r="A462" s="1" t="str">
        <x:v>Входы H</x:v>
      </x:c>
      <x:c r="B462" s="1" t="str">
        <x:v>P65</x:v>
      </x:c>
      <x:c r="C462" s="1">
        <x:v>1</x:v>
      </x:c>
      <x:c r="D462" s="1">
        <x:f>'Входы H'!P65</x:f>
        <x:v>1</x:v>
      </x:c>
      <x:c r="E462" s="1">
        <x:f>IF(C462=D462,1,0)</x:f>
        <x:v>1</x:v>
      </x:c>
      <x:c r="F462" s="1"/>
      <x:c r="G462" s="1"/>
    </x:row>
    <x:row r="463" ht="26" customHeight="1">
      <x:c r="A463" s="1" t="str">
        <x:v>Входы H</x:v>
      </x:c>
      <x:c r="B463" s="1" t="str">
        <x:v>Q65</x:v>
      </x:c>
      <x:c r="C463" s="1">
        <x:v>0.29999999999999999</x:v>
      </x:c>
      <x:c r="D463" s="1">
        <x:f>'Входы H'!Q65</x:f>
        <x:v>0.29999999999999999</x:v>
      </x:c>
      <x:c r="E463" s="1">
        <x:f>IF(C463=D463,1,0)</x:f>
        <x:v>1</x:v>
      </x:c>
      <x:c r="F463" s="1"/>
      <x:c r="G463" s="1"/>
    </x:row>
    <x:row r="464" ht="26" customHeight="1">
      <x:c r="A464" s="1" t="str">
        <x:v>Входы H</x:v>
      </x:c>
      <x:c r="B464" s="1" t="str">
        <x:v>N66</x:v>
      </x:c>
      <x:c r="C464" s="1">
        <x:v>1.5</x:v>
      </x:c>
      <x:c r="D464" s="1">
        <x:f>'Входы H'!N66</x:f>
        <x:v>1.5</x:v>
      </x:c>
      <x:c r="E464" s="1">
        <x:f>IF(C464=D464,1,0)</x:f>
        <x:v>1</x:v>
      </x:c>
      <x:c r="F464" s="1"/>
      <x:c r="G464" s="1"/>
    </x:row>
    <x:row r="465" ht="26" customHeight="1">
      <x:c r="A465" s="1" t="str">
        <x:v>Входы H</x:v>
      </x:c>
      <x:c r="B465" s="1" t="str">
        <x:v>O66</x:v>
      </x:c>
      <x:c r="C465" s="1">
        <x:v>0.20000000000000001</x:v>
      </x:c>
      <x:c r="D465" s="1">
        <x:f>'Входы H'!O66</x:f>
        <x:v>0.20000000000000001</x:v>
      </x:c>
      <x:c r="E465" s="1">
        <x:f>IF(C465=D465,1,0)</x:f>
        <x:v>1</x:v>
      </x:c>
      <x:c r="F465" s="1"/>
      <x:c r="G465" s="1"/>
    </x:row>
    <x:row r="466" ht="26" customHeight="1">
      <x:c r="A466" s="1" t="str">
        <x:v>Входы H</x:v>
      </x:c>
      <x:c r="B466" s="1" t="str">
        <x:v>P66</x:v>
      </x:c>
      <x:c r="C466" s="1">
        <x:v>1</x:v>
      </x:c>
      <x:c r="D466" s="1">
        <x:f>'Входы H'!P66</x:f>
        <x:v>1</x:v>
      </x:c>
      <x:c r="E466" s="1">
        <x:f>IF(C466=D466,1,0)</x:f>
        <x:v>1</x:v>
      </x:c>
      <x:c r="F466" s="1"/>
      <x:c r="G466" s="1"/>
    </x:row>
    <x:row r="467" ht="26" customHeight="1">
      <x:c r="A467" s="1" t="str">
        <x:v>Входы H</x:v>
      </x:c>
      <x:c r="B467" s="1" t="str">
        <x:v>Q66</x:v>
      </x:c>
      <x:c r="C467" s="1">
        <x:v>0.29999999999999999</x:v>
      </x:c>
      <x:c r="D467" s="1">
        <x:f>'Входы H'!Q66</x:f>
        <x:v>0.29999999999999999</x:v>
      </x:c>
      <x:c r="E467" s="1">
        <x:f>IF(C467=D467,1,0)</x:f>
        <x:v>1</x:v>
      </x:c>
      <x:c r="F467" s="1"/>
      <x:c r="G467" s="1"/>
    </x:row>
    <x:row r="468" ht="26" customHeight="1">
      <x:c r="A468" s="1" t="str">
        <x:v>Входы H</x:v>
      </x:c>
      <x:c r="B468" s="1" t="str">
        <x:v>N67</x:v>
      </x:c>
      <x:c r="C468" s="1">
        <x:v>1.5</x:v>
      </x:c>
      <x:c r="D468" s="1">
        <x:f>'Входы H'!N67</x:f>
        <x:v>1.5</x:v>
      </x:c>
      <x:c r="E468" s="1">
        <x:f>IF(C468=D468,1,0)</x:f>
        <x:v>1</x:v>
      </x:c>
      <x:c r="F468" s="1"/>
      <x:c r="G468" s="1"/>
    </x:row>
    <x:row r="469" ht="26" customHeight="1">
      <x:c r="A469" s="1" t="str">
        <x:v>Входы H</x:v>
      </x:c>
      <x:c r="B469" s="1" t="str">
        <x:v>O67</x:v>
      </x:c>
      <x:c r="C469" s="1">
        <x:v>0.20000000000000001</x:v>
      </x:c>
      <x:c r="D469" s="1">
        <x:f>'Входы H'!O67</x:f>
        <x:v>0.20000000000000001</x:v>
      </x:c>
      <x:c r="E469" s="1">
        <x:f>IF(C469=D469,1,0)</x:f>
        <x:v>1</x:v>
      </x:c>
      <x:c r="F469" s="1"/>
      <x:c r="G469" s="1"/>
    </x:row>
    <x:row r="470" ht="26" customHeight="1">
      <x:c r="A470" s="1" t="str">
        <x:v>Входы H</x:v>
      </x:c>
      <x:c r="B470" s="1" t="str">
        <x:v>P67</x:v>
      </x:c>
      <x:c r="C470" s="1">
        <x:v>1</x:v>
      </x:c>
      <x:c r="D470" s="1">
        <x:f>'Входы H'!P67</x:f>
        <x:v>1</x:v>
      </x:c>
      <x:c r="E470" s="1">
        <x:f>IF(C470=D470,1,0)</x:f>
        <x:v>1</x:v>
      </x:c>
      <x:c r="F470" s="1"/>
      <x:c r="G470" s="1"/>
    </x:row>
    <x:row r="471" ht="26" customHeight="1">
      <x:c r="A471" s="1" t="str">
        <x:v>Входы H</x:v>
      </x:c>
      <x:c r="B471" s="1" t="str">
        <x:v>Q67</x:v>
      </x:c>
      <x:c r="C471" s="1">
        <x:v>0.29999999999999999</x:v>
      </x:c>
      <x:c r="D471" s="1">
        <x:f>'Входы H'!Q67</x:f>
        <x:v>0.29999999999999999</x:v>
      </x:c>
      <x:c r="E471" s="1">
        <x:f>IF(C471=D471,1,0)</x:f>
        <x:v>1</x:v>
      </x:c>
      <x:c r="F471" s="1"/>
      <x:c r="G471" s="1"/>
    </x:row>
    <x:row r="472" ht="26" customHeight="1">
      <x:c r="A472" s="1" t="str">
        <x:v>Входы H</x:v>
      </x:c>
      <x:c r="B472" s="1" t="str">
        <x:v>N68</x:v>
      </x:c>
      <x:c r="C472" s="1">
        <x:v>1.5</x:v>
      </x:c>
      <x:c r="D472" s="1">
        <x:f>'Входы H'!N68</x:f>
        <x:v>1.5</x:v>
      </x:c>
      <x:c r="E472" s="1">
        <x:f>IF(C472=D472,1,0)</x:f>
        <x:v>1</x:v>
      </x:c>
      <x:c r="F472" s="1"/>
      <x:c r="G472" s="1"/>
    </x:row>
    <x:row r="473" ht="26" customHeight="1">
      <x:c r="A473" s="1" t="str">
        <x:v>Входы H</x:v>
      </x:c>
      <x:c r="B473" s="1" t="str">
        <x:v>O68</x:v>
      </x:c>
      <x:c r="C473" s="1">
        <x:v>0.20000000000000001</x:v>
      </x:c>
      <x:c r="D473" s="1">
        <x:f>'Входы H'!O68</x:f>
        <x:v>0.20000000000000001</x:v>
      </x:c>
      <x:c r="E473" s="1">
        <x:f>IF(C473=D473,1,0)</x:f>
        <x:v>1</x:v>
      </x:c>
      <x:c r="F473" s="1"/>
      <x:c r="G473" s="1"/>
    </x:row>
    <x:row r="474" ht="26" customHeight="1">
      <x:c r="A474" s="1" t="str">
        <x:v>Входы H</x:v>
      </x:c>
      <x:c r="B474" s="1" t="str">
        <x:v>P68</x:v>
      </x:c>
      <x:c r="C474" s="1">
        <x:v>1</x:v>
      </x:c>
      <x:c r="D474" s="1">
        <x:f>'Входы H'!P68</x:f>
        <x:v>1</x:v>
      </x:c>
      <x:c r="E474" s="1">
        <x:f>IF(C474=D474,1,0)</x:f>
        <x:v>1</x:v>
      </x:c>
      <x:c r="F474" s="1"/>
      <x:c r="G474" s="1"/>
    </x:row>
    <x:row r="475" ht="26" customHeight="1">
      <x:c r="A475" s="1" t="str">
        <x:v>Входы H</x:v>
      </x:c>
      <x:c r="B475" s="1" t="str">
        <x:v>Q68</x:v>
      </x:c>
      <x:c r="C475" s="1">
        <x:v>0.29999999999999999</x:v>
      </x:c>
      <x:c r="D475" s="1">
        <x:f>'Входы H'!Q68</x:f>
        <x:v>0.29999999999999999</x:v>
      </x:c>
      <x:c r="E475" s="1">
        <x:f>IF(C475=D475,1,0)</x:f>
        <x:v>1</x:v>
      </x:c>
      <x:c r="F475" s="1"/>
      <x:c r="G475" s="1"/>
    </x:row>
    <x:row r="476" ht="26" customHeight="1">
      <x:c r="A476" s="1" t="str">
        <x:v>Входы H</x:v>
      </x:c>
      <x:c r="B476" s="1" t="str">
        <x:v>N69</x:v>
      </x:c>
      <x:c r="C476" s="1">
        <x:v>1.5</x:v>
      </x:c>
      <x:c r="D476" s="1">
        <x:f>'Входы H'!N69</x:f>
        <x:v>1.5</x:v>
      </x:c>
      <x:c r="E476" s="1">
        <x:f>IF(C476=D476,1,0)</x:f>
        <x:v>1</x:v>
      </x:c>
      <x:c r="F476" s="1"/>
      <x:c r="G476" s="1"/>
    </x:row>
    <x:row r="477" ht="26" customHeight="1">
      <x:c r="A477" s="1" t="str">
        <x:v>Входы H</x:v>
      </x:c>
      <x:c r="B477" s="1" t="str">
        <x:v>O69</x:v>
      </x:c>
      <x:c r="C477" s="1">
        <x:v>0.20000000000000001</x:v>
      </x:c>
      <x:c r="D477" s="1">
        <x:f>'Входы H'!O69</x:f>
        <x:v>0.20000000000000001</x:v>
      </x:c>
      <x:c r="E477" s="1">
        <x:f>IF(C477=D477,1,0)</x:f>
        <x:v>1</x:v>
      </x:c>
      <x:c r="F477" s="1"/>
      <x:c r="G477" s="1"/>
    </x:row>
    <x:row r="478" ht="26" customHeight="1">
      <x:c r="A478" s="1" t="str">
        <x:v>Входы H</x:v>
      </x:c>
      <x:c r="B478" s="1" t="str">
        <x:v>P69</x:v>
      </x:c>
      <x:c r="C478" s="1">
        <x:v>1</x:v>
      </x:c>
      <x:c r="D478" s="1">
        <x:f>'Входы H'!P69</x:f>
        <x:v>1</x:v>
      </x:c>
      <x:c r="E478" s="1">
        <x:f>IF(C478=D478,1,0)</x:f>
        <x:v>1</x:v>
      </x:c>
      <x:c r="F478" s="1"/>
      <x:c r="G478" s="1"/>
    </x:row>
    <x:row r="479" ht="26" customHeight="1">
      <x:c r="A479" s="1" t="str">
        <x:v>Входы H</x:v>
      </x:c>
      <x:c r="B479" s="1" t="str">
        <x:v>Q69</x:v>
      </x:c>
      <x:c r="C479" s="1">
        <x:v>0.29999999999999999</x:v>
      </x:c>
      <x:c r="D479" s="1">
        <x:f>'Входы H'!Q69</x:f>
        <x:v>0.29999999999999999</x:v>
      </x:c>
      <x:c r="E479" s="1">
        <x:f>IF(C479=D479,1,0)</x:f>
        <x:v>1</x:v>
      </x:c>
      <x:c r="F479" s="1"/>
      <x:c r="G479" s="1"/>
    </x:row>
    <x:row r="480" ht="26" customHeight="1">
      <x:c r="A480" s="1" t="str">
        <x:v>Входы H</x:v>
      </x:c>
      <x:c r="B480" s="1" t="str">
        <x:v>N70</x:v>
      </x:c>
      <x:c r="C480" s="1">
        <x:v>1.5</x:v>
      </x:c>
      <x:c r="D480" s="1">
        <x:f>'Входы H'!N70</x:f>
        <x:v>1.5</x:v>
      </x:c>
      <x:c r="E480" s="1">
        <x:f>IF(C480=D480,1,0)</x:f>
        <x:v>1</x:v>
      </x:c>
      <x:c r="F480" s="1"/>
      <x:c r="G480" s="1"/>
    </x:row>
    <x:row r="481" ht="26" customHeight="1">
      <x:c r="A481" s="1" t="str">
        <x:v>Входы H</x:v>
      </x:c>
      <x:c r="B481" s="1" t="str">
        <x:v>O70</x:v>
      </x:c>
      <x:c r="C481" s="1">
        <x:v>0.20000000000000001</x:v>
      </x:c>
      <x:c r="D481" s="1">
        <x:f>'Входы H'!O70</x:f>
        <x:v>0.20000000000000001</x:v>
      </x:c>
      <x:c r="E481" s="1">
        <x:f>IF(C481=D481,1,0)</x:f>
        <x:v>1</x:v>
      </x:c>
      <x:c r="F481" s="1"/>
      <x:c r="G481" s="1"/>
    </x:row>
    <x:row r="482" ht="26" customHeight="1">
      <x:c r="A482" s="1" t="str">
        <x:v>Входы H</x:v>
      </x:c>
      <x:c r="B482" s="1" t="str">
        <x:v>P70</x:v>
      </x:c>
      <x:c r="C482" s="1">
        <x:v>1</x:v>
      </x:c>
      <x:c r="D482" s="1">
        <x:f>'Входы H'!P70</x:f>
        <x:v>1</x:v>
      </x:c>
      <x:c r="E482" s="1">
        <x:f>IF(C482=D482,1,0)</x:f>
        <x:v>1</x:v>
      </x:c>
      <x:c r="F482" s="1"/>
      <x:c r="G482" s="1"/>
    </x:row>
    <x:row r="483" ht="26" customHeight="1">
      <x:c r="A483" s="1" t="str">
        <x:v>Входы H</x:v>
      </x:c>
      <x:c r="B483" s="1" t="str">
        <x:v>Q70</x:v>
      </x:c>
      <x:c r="C483" s="1">
        <x:v>0.29999999999999999</x:v>
      </x:c>
      <x:c r="D483" s="1">
        <x:f>'Входы H'!Q70</x:f>
        <x:v>0.29999999999999999</x:v>
      </x:c>
      <x:c r="E483" s="1">
        <x:f>IF(C483=D483,1,0)</x:f>
        <x:v>1</x:v>
      </x:c>
      <x:c r="F483" s="1"/>
      <x:c r="G483" s="1"/>
    </x:row>
    <x:row r="484" ht="26" customHeight="1">
      <x:c r="A484" s="1" t="str">
        <x:v>Входы H</x:v>
      </x:c>
      <x:c r="B484" s="1" t="str">
        <x:v>N71</x:v>
      </x:c>
      <x:c r="C484" s="1">
        <x:v>1.5</x:v>
      </x:c>
      <x:c r="D484" s="1">
        <x:f>'Входы H'!N71</x:f>
        <x:v>1.5</x:v>
      </x:c>
      <x:c r="E484" s="1">
        <x:f>IF(C484=D484,1,0)</x:f>
        <x:v>1</x:v>
      </x:c>
      <x:c r="F484" s="1"/>
      <x:c r="G484" s="1"/>
    </x:row>
    <x:row r="485" ht="26" customHeight="1">
      <x:c r="A485" s="1" t="str">
        <x:v>Входы H</x:v>
      </x:c>
      <x:c r="B485" s="1" t="str">
        <x:v>O71</x:v>
      </x:c>
      <x:c r="C485" s="1">
        <x:v>0.20000000000000001</x:v>
      </x:c>
      <x:c r="D485" s="1">
        <x:f>'Входы H'!O71</x:f>
        <x:v>0.20000000000000001</x:v>
      </x:c>
      <x:c r="E485" s="1">
        <x:f>IF(C485=D485,1,0)</x:f>
        <x:v>1</x:v>
      </x:c>
      <x:c r="F485" s="1"/>
      <x:c r="G485" s="1"/>
    </x:row>
    <x:row r="486" ht="26" customHeight="1">
      <x:c r="A486" s="1" t="str">
        <x:v>Входы H</x:v>
      </x:c>
      <x:c r="B486" s="1" t="str">
        <x:v>P71</x:v>
      </x:c>
      <x:c r="C486" s="1">
        <x:v>1</x:v>
      </x:c>
      <x:c r="D486" s="1">
        <x:f>'Входы H'!P71</x:f>
        <x:v>1</x:v>
      </x:c>
      <x:c r="E486" s="1">
        <x:f>IF(C486=D486,1,0)</x:f>
        <x:v>1</x:v>
      </x:c>
      <x:c r="F486" s="1"/>
      <x:c r="G486" s="1"/>
    </x:row>
    <x:row r="487" ht="26" customHeight="1">
      <x:c r="A487" s="1" t="str">
        <x:v>Входы H</x:v>
      </x:c>
      <x:c r="B487" s="1" t="str">
        <x:v>Q71</x:v>
      </x:c>
      <x:c r="C487" s="1">
        <x:v>0.29999999999999999</x:v>
      </x:c>
      <x:c r="D487" s="1">
        <x:f>'Входы H'!Q71</x:f>
        <x:v>0.29999999999999999</x:v>
      </x:c>
      <x:c r="E487" s="1">
        <x:f>IF(C487=D487,1,0)</x:f>
        <x:v>1</x:v>
      </x:c>
      <x:c r="F487" s="1"/>
      <x:c r="G487" s="1"/>
    </x:row>
    <x:row r="488" ht="26" customHeight="1">
      <x:c r="A488" s="1" t="str">
        <x:v>Входы H</x:v>
      </x:c>
      <x:c r="B488" s="1" t="str">
        <x:v>N72</x:v>
      </x:c>
      <x:c r="C488" s="1">
        <x:v>1.5</x:v>
      </x:c>
      <x:c r="D488" s="1">
        <x:f>'Входы H'!N72</x:f>
        <x:v>1.5</x:v>
      </x:c>
      <x:c r="E488" s="1">
        <x:f>IF(C488=D488,1,0)</x:f>
        <x:v>1</x:v>
      </x:c>
      <x:c r="F488" s="1"/>
      <x:c r="G488" s="1"/>
    </x:row>
    <x:row r="489" ht="26" customHeight="1">
      <x:c r="A489" s="1" t="str">
        <x:v>Входы H</x:v>
      </x:c>
      <x:c r="B489" s="1" t="str">
        <x:v>O72</x:v>
      </x:c>
      <x:c r="C489" s="1">
        <x:v>0.20000000000000001</x:v>
      </x:c>
      <x:c r="D489" s="1">
        <x:f>'Входы H'!O72</x:f>
        <x:v>0.20000000000000001</x:v>
      </x:c>
      <x:c r="E489" s="1">
        <x:f>IF(C489=D489,1,0)</x:f>
        <x:v>1</x:v>
      </x:c>
      <x:c r="F489" s="1"/>
      <x:c r="G489" s="1"/>
    </x:row>
    <x:row r="490" ht="26" customHeight="1">
      <x:c r="A490" s="1" t="str">
        <x:v>Входы H</x:v>
      </x:c>
      <x:c r="B490" s="1" t="str">
        <x:v>P72</x:v>
      </x:c>
      <x:c r="C490" s="1">
        <x:v>1</x:v>
      </x:c>
      <x:c r="D490" s="1">
        <x:f>'Входы H'!P72</x:f>
        <x:v>1</x:v>
      </x:c>
      <x:c r="E490" s="1">
        <x:f>IF(C490=D490,1,0)</x:f>
        <x:v>1</x:v>
      </x:c>
      <x:c r="F490" s="1"/>
      <x:c r="G490" s="1"/>
    </x:row>
    <x:row r="491" ht="26" customHeight="1">
      <x:c r="A491" s="1" t="str">
        <x:v>Входы H</x:v>
      </x:c>
      <x:c r="B491" s="1" t="str">
        <x:v>Q72</x:v>
      </x:c>
      <x:c r="C491" s="1">
        <x:v>0.29999999999999999</x:v>
      </x:c>
      <x:c r="D491" s="1">
        <x:f>'Входы H'!Q72</x:f>
        <x:v>0.29999999999999999</x:v>
      </x:c>
      <x:c r="E491" s="1">
        <x:f>IF(C491=D491,1,0)</x:f>
        <x:v>1</x:v>
      </x:c>
      <x:c r="F491" s="1"/>
      <x:c r="G491" s="1"/>
    </x:row>
    <x:row r="492" ht="26" customHeight="1">
      <x:c r="A492" s="1" t="str">
        <x:v>Входы H</x:v>
      </x:c>
      <x:c r="B492" s="1" t="str">
        <x:v>N73</x:v>
      </x:c>
      <x:c r="C492" s="1">
        <x:v>1.5</x:v>
      </x:c>
      <x:c r="D492" s="1">
        <x:f>'Входы H'!N73</x:f>
        <x:v>1.5</x:v>
      </x:c>
      <x:c r="E492" s="1">
        <x:f>IF(C492=D492,1,0)</x:f>
        <x:v>1</x:v>
      </x:c>
      <x:c r="F492" s="1"/>
      <x:c r="G492" s="1"/>
    </x:row>
    <x:row r="493" ht="26" customHeight="1">
      <x:c r="A493" s="1" t="str">
        <x:v>Входы H</x:v>
      </x:c>
      <x:c r="B493" s="1" t="str">
        <x:v>O73</x:v>
      </x:c>
      <x:c r="C493" s="1">
        <x:v>0.20000000000000001</x:v>
      </x:c>
      <x:c r="D493" s="1">
        <x:f>'Входы H'!O73</x:f>
        <x:v>0.20000000000000001</x:v>
      </x:c>
      <x:c r="E493" s="1">
        <x:f>IF(C493=D493,1,0)</x:f>
        <x:v>1</x:v>
      </x:c>
      <x:c r="F493" s="1"/>
      <x:c r="G493" s="1"/>
    </x:row>
    <x:row r="494" ht="26" customHeight="1">
      <x:c r="A494" s="1" t="str">
        <x:v>Входы H</x:v>
      </x:c>
      <x:c r="B494" s="1" t="str">
        <x:v>P73</x:v>
      </x:c>
      <x:c r="C494" s="1">
        <x:v>1</x:v>
      </x:c>
      <x:c r="D494" s="1">
        <x:f>'Входы H'!P73</x:f>
        <x:v>1</x:v>
      </x:c>
      <x:c r="E494" s="1">
        <x:f>IF(C494=D494,1,0)</x:f>
        <x:v>1</x:v>
      </x:c>
      <x:c r="F494" s="1"/>
      <x:c r="G494" s="1"/>
    </x:row>
    <x:row r="495" ht="26" customHeight="1">
      <x:c r="A495" s="1" t="str">
        <x:v>Входы H</x:v>
      </x:c>
      <x:c r="B495" s="1" t="str">
        <x:v>Q73</x:v>
      </x:c>
      <x:c r="C495" s="1">
        <x:v>0.29999999999999999</x:v>
      </x:c>
      <x:c r="D495" s="1">
        <x:f>'Входы H'!Q73</x:f>
        <x:v>0.29999999999999999</x:v>
      </x:c>
      <x:c r="E495" s="1">
        <x:f>IF(C495=D495,1,0)</x:f>
        <x:v>1</x:v>
      </x:c>
      <x:c r="F495" s="1"/>
      <x:c r="G495" s="1"/>
    </x:row>
    <x:row r="496" ht="26" customHeight="1">
      <x:c r="A496" s="1" t="str">
        <x:v>Входы H</x:v>
      </x:c>
      <x:c r="B496" s="1" t="str">
        <x:v>N74</x:v>
      </x:c>
      <x:c r="C496" s="1">
        <x:v>1.5</x:v>
      </x:c>
      <x:c r="D496" s="1">
        <x:f>'Входы H'!N74</x:f>
        <x:v>1.5</x:v>
      </x:c>
      <x:c r="E496" s="1">
        <x:f>IF(C496=D496,1,0)</x:f>
        <x:v>1</x:v>
      </x:c>
      <x:c r="F496" s="1"/>
      <x:c r="G496" s="1"/>
    </x:row>
    <x:row r="497" ht="26" customHeight="1">
      <x:c r="A497" s="1" t="str">
        <x:v>Входы H</x:v>
      </x:c>
      <x:c r="B497" s="1" t="str">
        <x:v>O74</x:v>
      </x:c>
      <x:c r="C497" s="1">
        <x:v>0.20000000000000001</x:v>
      </x:c>
      <x:c r="D497" s="1">
        <x:f>'Входы H'!O74</x:f>
        <x:v>0.20000000000000001</x:v>
      </x:c>
      <x:c r="E497" s="1">
        <x:f>IF(C497=D497,1,0)</x:f>
        <x:v>1</x:v>
      </x:c>
      <x:c r="F497" s="1"/>
      <x:c r="G497" s="1"/>
    </x:row>
    <x:row r="498" ht="26" customHeight="1">
      <x:c r="A498" s="1" t="str">
        <x:v>Входы H</x:v>
      </x:c>
      <x:c r="B498" s="1" t="str">
        <x:v>P74</x:v>
      </x:c>
      <x:c r="C498" s="1">
        <x:v>1</x:v>
      </x:c>
      <x:c r="D498" s="1">
        <x:f>'Входы H'!P74</x:f>
        <x:v>1</x:v>
      </x:c>
      <x:c r="E498" s="1">
        <x:f>IF(C498=D498,1,0)</x:f>
        <x:v>1</x:v>
      </x:c>
      <x:c r="F498" s="1"/>
      <x:c r="G498" s="1"/>
    </x:row>
    <x:row r="499" ht="26" customHeight="1">
      <x:c r="A499" s="1" t="str">
        <x:v>Входы H</x:v>
      </x:c>
      <x:c r="B499" s="1" t="str">
        <x:v>Q74</x:v>
      </x:c>
      <x:c r="C499" s="1">
        <x:v>0.29999999999999999</x:v>
      </x:c>
      <x:c r="D499" s="1">
        <x:f>'Входы H'!Q74</x:f>
        <x:v>0.29999999999999999</x:v>
      </x:c>
      <x:c r="E499" s="1">
        <x:f>IF(C499=D499,1,0)</x:f>
        <x:v>1</x:v>
      </x:c>
      <x:c r="F499" s="1"/>
      <x:c r="G499" s="1"/>
    </x:row>
    <x:row r="500" ht="26" customHeight="1">
      <x:c r="A500" s="1" t="str">
        <x:v>Входы H</x:v>
      </x:c>
      <x:c r="B500" s="1" t="str">
        <x:v>N75</x:v>
      </x:c>
      <x:c r="C500" s="1">
        <x:v>1.5</x:v>
      </x:c>
      <x:c r="D500" s="1">
        <x:f>'Входы H'!N75</x:f>
        <x:v>1.5</x:v>
      </x:c>
      <x:c r="E500" s="1">
        <x:f>IF(C500=D500,1,0)</x:f>
        <x:v>1</x:v>
      </x:c>
      <x:c r="F500" s="1"/>
      <x:c r="G500" s="1"/>
    </x:row>
    <x:row r="501" ht="26" customHeight="1">
      <x:c r="A501" s="1" t="str">
        <x:v>Входы H</x:v>
      </x:c>
      <x:c r="B501" s="1" t="str">
        <x:v>O75</x:v>
      </x:c>
      <x:c r="C501" s="1">
        <x:v>0.20000000000000001</x:v>
      </x:c>
      <x:c r="D501" s="1">
        <x:f>'Входы H'!O75</x:f>
        <x:v>0.20000000000000001</x:v>
      </x:c>
      <x:c r="E501" s="1">
        <x:f>IF(C501=D501,1,0)</x:f>
        <x:v>1</x:v>
      </x:c>
      <x:c r="F501" s="1"/>
      <x:c r="G501" s="1"/>
    </x:row>
    <x:row r="502" ht="26" customHeight="1">
      <x:c r="A502" s="1" t="str">
        <x:v>Входы H</x:v>
      </x:c>
      <x:c r="B502" s="1" t="str">
        <x:v>P75</x:v>
      </x:c>
      <x:c r="C502" s="1">
        <x:v>1</x:v>
      </x:c>
      <x:c r="D502" s="1">
        <x:f>'Входы H'!P75</x:f>
        <x:v>1</x:v>
      </x:c>
      <x:c r="E502" s="1">
        <x:f>IF(C502=D502,1,0)</x:f>
        <x:v>1</x:v>
      </x:c>
      <x:c r="F502" s="1"/>
      <x:c r="G502" s="1"/>
    </x:row>
    <x:row r="503" ht="26" customHeight="1">
      <x:c r="A503" s="1" t="str">
        <x:v>Входы H</x:v>
      </x:c>
      <x:c r="B503" s="1" t="str">
        <x:v>Q75</x:v>
      </x:c>
      <x:c r="C503" s="1">
        <x:v>0.29999999999999999</x:v>
      </x:c>
      <x:c r="D503" s="1">
        <x:f>'Входы H'!Q75</x:f>
        <x:v>0.29999999999999999</x:v>
      </x:c>
      <x:c r="E503" s="1">
        <x:f>IF(C503=D503,1,0)</x:f>
        <x:v>1</x:v>
      </x:c>
      <x:c r="F503" s="1"/>
      <x:c r="G503" s="1"/>
    </x:row>
    <x:row r="504" ht="26" customHeight="1">
      <x:c r="A504" s="1" t="str">
        <x:v>Входы H</x:v>
      </x:c>
      <x:c r="B504" s="1" t="str">
        <x:v>N76</x:v>
      </x:c>
      <x:c r="C504" s="1">
        <x:v>1.5</x:v>
      </x:c>
      <x:c r="D504" s="1">
        <x:f>'Входы H'!N76</x:f>
        <x:v>1.5</x:v>
      </x:c>
      <x:c r="E504" s="1">
        <x:f>IF(C504=D504,1,0)</x:f>
        <x:v>1</x:v>
      </x:c>
      <x:c r="F504" s="1"/>
      <x:c r="G504" s="1"/>
    </x:row>
    <x:row r="505" ht="26" customHeight="1">
      <x:c r="A505" s="1" t="str">
        <x:v>Входы H</x:v>
      </x:c>
      <x:c r="B505" s="1" t="str">
        <x:v>O76</x:v>
      </x:c>
      <x:c r="C505" s="1">
        <x:v>0.20000000000000001</x:v>
      </x:c>
      <x:c r="D505" s="1">
        <x:f>'Входы H'!O76</x:f>
        <x:v>0.20000000000000001</x:v>
      </x:c>
      <x:c r="E505" s="1">
        <x:f>IF(C505=D505,1,0)</x:f>
        <x:v>1</x:v>
      </x:c>
      <x:c r="F505" s="1"/>
      <x:c r="G505" s="1"/>
    </x:row>
    <x:row r="506" ht="26" customHeight="1">
      <x:c r="A506" s="1" t="str">
        <x:v>Входы H</x:v>
      </x:c>
      <x:c r="B506" s="1" t="str">
        <x:v>P76</x:v>
      </x:c>
      <x:c r="C506" s="1">
        <x:v>1</x:v>
      </x:c>
      <x:c r="D506" s="1">
        <x:f>'Входы H'!P76</x:f>
        <x:v>1</x:v>
      </x:c>
      <x:c r="E506" s="1">
        <x:f>IF(C506=D506,1,0)</x:f>
        <x:v>1</x:v>
      </x:c>
      <x:c r="F506" s="1"/>
      <x:c r="G506" s="1"/>
    </x:row>
    <x:row r="507" ht="26" customHeight="1">
      <x:c r="A507" s="1" t="str">
        <x:v>Входы H</x:v>
      </x:c>
      <x:c r="B507" s="1" t="str">
        <x:v>Q76</x:v>
      </x:c>
      <x:c r="C507" s="1">
        <x:v>0.29999999999999999</x:v>
      </x:c>
      <x:c r="D507" s="1">
        <x:f>'Входы H'!Q76</x:f>
        <x:v>0.29999999999999999</x:v>
      </x:c>
      <x:c r="E507" s="1">
        <x:f>IF(C507=D507,1,0)</x:f>
        <x:v>1</x:v>
      </x:c>
      <x:c r="F507" s="1"/>
      <x:c r="G507" s="1"/>
    </x:row>
    <x:row r="508" ht="26" customHeight="1">
      <x:c r="A508" s="1" t="str">
        <x:v>Входы H</x:v>
      </x:c>
      <x:c r="B508" s="1" t="str">
        <x:v>N77</x:v>
      </x:c>
      <x:c r="C508" s="1">
        <x:v>1.5</x:v>
      </x:c>
      <x:c r="D508" s="1">
        <x:f>'Входы H'!N77</x:f>
        <x:v>1.5</x:v>
      </x:c>
      <x:c r="E508" s="1">
        <x:f>IF(C508=D508,1,0)</x:f>
        <x:v>1</x:v>
      </x:c>
      <x:c r="F508" s="1"/>
      <x:c r="G508" s="1"/>
    </x:row>
    <x:row r="509" ht="26" customHeight="1">
      <x:c r="A509" s="1" t="str">
        <x:v>Входы H</x:v>
      </x:c>
      <x:c r="B509" s="1" t="str">
        <x:v>O77</x:v>
      </x:c>
      <x:c r="C509" s="1">
        <x:v>0.20000000000000001</x:v>
      </x:c>
      <x:c r="D509" s="1">
        <x:f>'Входы H'!O77</x:f>
        <x:v>0.20000000000000001</x:v>
      </x:c>
      <x:c r="E509" s="1">
        <x:f>IF(C509=D509,1,0)</x:f>
        <x:v>1</x:v>
      </x:c>
      <x:c r="F509" s="1"/>
      <x:c r="G509" s="1"/>
    </x:row>
    <x:row r="510" ht="26" customHeight="1">
      <x:c r="A510" s="1" t="str">
        <x:v>Входы H</x:v>
      </x:c>
      <x:c r="B510" s="1" t="str">
        <x:v>P77</x:v>
      </x:c>
      <x:c r="C510" s="1">
        <x:v>1</x:v>
      </x:c>
      <x:c r="D510" s="1">
        <x:f>'Входы H'!P77</x:f>
        <x:v>1</x:v>
      </x:c>
      <x:c r="E510" s="1">
        <x:f>IF(C510=D510,1,0)</x:f>
        <x:v>1</x:v>
      </x:c>
      <x:c r="F510" s="1"/>
      <x:c r="G510" s="1"/>
    </x:row>
    <x:row r="511" ht="26" customHeight="1">
      <x:c r="A511" s="1" t="str">
        <x:v>Входы H</x:v>
      </x:c>
      <x:c r="B511" s="1" t="str">
        <x:v>Q77</x:v>
      </x:c>
      <x:c r="C511" s="1">
        <x:v>0.29999999999999999</x:v>
      </x:c>
      <x:c r="D511" s="1">
        <x:f>'Входы H'!Q77</x:f>
        <x:v>0.29999999999999999</x:v>
      </x:c>
      <x:c r="E511" s="1">
        <x:f>IF(C511=D511,1,0)</x:f>
        <x:v>1</x:v>
      </x:c>
      <x:c r="F511" s="1"/>
      <x:c r="G511" s="1"/>
    </x:row>
    <x:row r="512" ht="26" customHeight="1">
      <x:c r="A512" s="1" t="str">
        <x:v>Входы H</x:v>
      </x:c>
      <x:c r="B512" s="1" t="str">
        <x:v>N78</x:v>
      </x:c>
      <x:c r="C512" s="1">
        <x:v>1.5</x:v>
      </x:c>
      <x:c r="D512" s="1">
        <x:f>'Входы H'!N78</x:f>
        <x:v>1.5</x:v>
      </x:c>
      <x:c r="E512" s="1">
        <x:f>IF(C512=D512,1,0)</x:f>
        <x:v>1</x:v>
      </x:c>
      <x:c r="F512" s="1"/>
      <x:c r="G512" s="1"/>
    </x:row>
    <x:row r="513" ht="26" customHeight="1">
      <x:c r="A513" s="1" t="str">
        <x:v>Входы H</x:v>
      </x:c>
      <x:c r="B513" s="1" t="str">
        <x:v>O78</x:v>
      </x:c>
      <x:c r="C513" s="1">
        <x:v>0.20000000000000001</x:v>
      </x:c>
      <x:c r="D513" s="1">
        <x:f>'Входы H'!O78</x:f>
        <x:v>0.20000000000000001</x:v>
      </x:c>
      <x:c r="E513" s="1">
        <x:f>IF(C513=D513,1,0)</x:f>
        <x:v>1</x:v>
      </x:c>
      <x:c r="F513" s="1"/>
      <x:c r="G513" s="1"/>
    </x:row>
    <x:row r="514" ht="26" customHeight="1">
      <x:c r="A514" s="1" t="str">
        <x:v>Входы H</x:v>
      </x:c>
      <x:c r="B514" s="1" t="str">
        <x:v>P78</x:v>
      </x:c>
      <x:c r="C514" s="1">
        <x:v>1</x:v>
      </x:c>
      <x:c r="D514" s="1">
        <x:f>'Входы H'!P78</x:f>
        <x:v>1</x:v>
      </x:c>
      <x:c r="E514" s="1">
        <x:f>IF(C514=D514,1,0)</x:f>
        <x:v>1</x:v>
      </x:c>
      <x:c r="F514" s="1"/>
      <x:c r="G514" s="1"/>
    </x:row>
    <x:row r="515" ht="26" customHeight="1">
      <x:c r="A515" s="1" t="str">
        <x:v>Входы H</x:v>
      </x:c>
      <x:c r="B515" s="1" t="str">
        <x:v>Q78</x:v>
      </x:c>
      <x:c r="C515" s="1">
        <x:v>0.29999999999999999</x:v>
      </x:c>
      <x:c r="D515" s="1">
        <x:f>'Входы H'!Q78</x:f>
        <x:v>0.29999999999999999</x:v>
      </x:c>
      <x:c r="E515" s="1">
        <x:f>IF(C515=D515,1,0)</x:f>
        <x:v>1</x:v>
      </x:c>
      <x:c r="F515" s="1"/>
      <x:c r="G515" s="1"/>
    </x:row>
    <x:row r="516" ht="26" customHeight="1">
      <x:c r="A516" s="1" t="str">
        <x:v>Входы H</x:v>
      </x:c>
      <x:c r="B516" s="1" t="str">
        <x:v>N79</x:v>
      </x:c>
      <x:c r="C516" s="1">
        <x:v>1.5</x:v>
      </x:c>
      <x:c r="D516" s="1">
        <x:f>'Входы H'!N79</x:f>
        <x:v>1.5</x:v>
      </x:c>
      <x:c r="E516" s="1">
        <x:f>IF(C516=D516,1,0)</x:f>
        <x:v>1</x:v>
      </x:c>
      <x:c r="F516" s="1"/>
      <x:c r="G516" s="1"/>
    </x:row>
    <x:row r="517" ht="26" customHeight="1">
      <x:c r="A517" s="1" t="str">
        <x:v>Входы H</x:v>
      </x:c>
      <x:c r="B517" s="1" t="str">
        <x:v>O79</x:v>
      </x:c>
      <x:c r="C517" s="1">
        <x:v>0.20000000000000001</x:v>
      </x:c>
      <x:c r="D517" s="1">
        <x:f>'Входы H'!O79</x:f>
        <x:v>0.20000000000000001</x:v>
      </x:c>
      <x:c r="E517" s="1">
        <x:f>IF(C517=D517,1,0)</x:f>
        <x:v>1</x:v>
      </x:c>
      <x:c r="F517" s="1"/>
      <x:c r="G517" s="1"/>
    </x:row>
    <x:row r="518" ht="26" customHeight="1">
      <x:c r="A518" s="1" t="str">
        <x:v>Входы H</x:v>
      </x:c>
      <x:c r="B518" s="1" t="str">
        <x:v>P79</x:v>
      </x:c>
      <x:c r="C518" s="1">
        <x:v>1</x:v>
      </x:c>
      <x:c r="D518" s="1">
        <x:f>'Входы H'!P79</x:f>
        <x:v>1</x:v>
      </x:c>
      <x:c r="E518" s="1">
        <x:f>IF(C518=D518,1,0)</x:f>
        <x:v>1</x:v>
      </x:c>
      <x:c r="F518" s="1"/>
      <x:c r="G518" s="1"/>
    </x:row>
    <x:row r="519" ht="26" customHeight="1">
      <x:c r="A519" s="1" t="str">
        <x:v>Входы H</x:v>
      </x:c>
      <x:c r="B519" s="1" t="str">
        <x:v>Q79</x:v>
      </x:c>
      <x:c r="C519" s="1">
        <x:v>0.29999999999999999</x:v>
      </x:c>
      <x:c r="D519" s="1">
        <x:f>'Входы H'!Q79</x:f>
        <x:v>0.29999999999999999</x:v>
      </x:c>
      <x:c r="E519" s="1">
        <x:f>IF(C519=D519,1,0)</x:f>
        <x:v>1</x:v>
      </x:c>
      <x:c r="F519" s="1"/>
      <x:c r="G519" s="1"/>
    </x:row>
    <x:row r="520" ht="26" customHeight="1">
      <x:c r="A520" s="1" t="str">
        <x:v>Входы H</x:v>
      </x:c>
      <x:c r="B520" s="1" t="str">
        <x:v>N80</x:v>
      </x:c>
      <x:c r="C520" s="1">
        <x:v>1.5</x:v>
      </x:c>
      <x:c r="D520" s="1">
        <x:f>'Входы H'!N80</x:f>
        <x:v>1.5</x:v>
      </x:c>
      <x:c r="E520" s="1">
        <x:f>IF(C520=D520,1,0)</x:f>
        <x:v>1</x:v>
      </x:c>
      <x:c r="F520" s="1"/>
      <x:c r="G520" s="1"/>
    </x:row>
    <x:row r="521" ht="26" customHeight="1">
      <x:c r="A521" s="1" t="str">
        <x:v>Входы H</x:v>
      </x:c>
      <x:c r="B521" s="1" t="str">
        <x:v>O80</x:v>
      </x:c>
      <x:c r="C521" s="1">
        <x:v>0.20000000000000001</x:v>
      </x:c>
      <x:c r="D521" s="1">
        <x:f>'Входы H'!O80</x:f>
        <x:v>0.20000000000000001</x:v>
      </x:c>
      <x:c r="E521" s="1">
        <x:f>IF(C521=D521,1,0)</x:f>
        <x:v>1</x:v>
      </x:c>
      <x:c r="F521" s="1"/>
      <x:c r="G521" s="1"/>
    </x:row>
    <x:row r="522" ht="26" customHeight="1">
      <x:c r="A522" s="1" t="str">
        <x:v>Входы H</x:v>
      </x:c>
      <x:c r="B522" s="1" t="str">
        <x:v>P80</x:v>
      </x:c>
      <x:c r="C522" s="1">
        <x:v>1</x:v>
      </x:c>
      <x:c r="D522" s="1">
        <x:f>'Входы H'!P80</x:f>
        <x:v>1</x:v>
      </x:c>
      <x:c r="E522" s="1">
        <x:f>IF(C522=D522,1,0)</x:f>
        <x:v>1</x:v>
      </x:c>
      <x:c r="F522" s="1"/>
      <x:c r="G522" s="1"/>
    </x:row>
    <x:row r="523" ht="26" customHeight="1">
      <x:c r="A523" s="1" t="str">
        <x:v>Входы H</x:v>
      </x:c>
      <x:c r="B523" s="1" t="str">
        <x:v>Q80</x:v>
      </x:c>
      <x:c r="C523" s="1">
        <x:v>0.29999999999999999</x:v>
      </x:c>
      <x:c r="D523" s="1">
        <x:f>'Входы H'!Q80</x:f>
        <x:v>0.29999999999999999</x:v>
      </x:c>
      <x:c r="E523" s="1">
        <x:f>IF(C523=D523,1,0)</x:f>
        <x:v>1</x:v>
      </x:c>
      <x:c r="F523" s="1"/>
      <x:c r="G523" s="1"/>
    </x:row>
    <x:row r="524" ht="26" customHeight="1">
      <x:c r="A524" s="1" t="str">
        <x:v>Входы H</x:v>
      </x:c>
      <x:c r="B524" s="1" t="str">
        <x:v>N81</x:v>
      </x:c>
      <x:c r="C524" s="1">
        <x:v>1.5</x:v>
      </x:c>
      <x:c r="D524" s="1">
        <x:f>'Входы H'!N81</x:f>
        <x:v>1.5</x:v>
      </x:c>
      <x:c r="E524" s="1">
        <x:f>IF(C524=D524,1,0)</x:f>
        <x:v>1</x:v>
      </x:c>
      <x:c r="F524" s="1"/>
      <x:c r="G524" s="1"/>
    </x:row>
    <x:row r="525" ht="26" customHeight="1">
      <x:c r="A525" s="1" t="str">
        <x:v>Входы H</x:v>
      </x:c>
      <x:c r="B525" s="1" t="str">
        <x:v>O81</x:v>
      </x:c>
      <x:c r="C525" s="1">
        <x:v>0.20000000000000001</x:v>
      </x:c>
      <x:c r="D525" s="1">
        <x:f>'Входы H'!O81</x:f>
        <x:v>0.20000000000000001</x:v>
      </x:c>
      <x:c r="E525" s="1">
        <x:f>IF(C525=D525,1,0)</x:f>
        <x:v>1</x:v>
      </x:c>
      <x:c r="F525" s="1"/>
      <x:c r="G525" s="1"/>
    </x:row>
    <x:row r="526" ht="26" customHeight="1">
      <x:c r="A526" s="1" t="str">
        <x:v>Входы H</x:v>
      </x:c>
      <x:c r="B526" s="1" t="str">
        <x:v>P81</x:v>
      </x:c>
      <x:c r="C526" s="1">
        <x:v>1</x:v>
      </x:c>
      <x:c r="D526" s="1">
        <x:f>'Входы H'!P81</x:f>
        <x:v>1</x:v>
      </x:c>
      <x:c r="E526" s="1">
        <x:f>IF(C526=D526,1,0)</x:f>
        <x:v>1</x:v>
      </x:c>
      <x:c r="F526" s="1"/>
      <x:c r="G526" s="1"/>
    </x:row>
    <x:row r="527" ht="26" customHeight="1">
      <x:c r="A527" s="1" t="str">
        <x:v>Входы H</x:v>
      </x:c>
      <x:c r="B527" s="1" t="str">
        <x:v>Q81</x:v>
      </x:c>
      <x:c r="C527" s="1">
        <x:v>0.29999999999999999</x:v>
      </x:c>
      <x:c r="D527" s="1">
        <x:f>'Входы H'!Q81</x:f>
        <x:v>0.29999999999999999</x:v>
      </x:c>
      <x:c r="E527" s="1">
        <x:f>IF(C527=D527,1,0)</x:f>
        <x:v>1</x:v>
      </x:c>
      <x:c r="F527" s="1"/>
      <x:c r="G527" s="1"/>
    </x:row>
    <x:row r="528" ht="26" customHeight="1">
      <x:c r="A528" s="1" t="str">
        <x:v>Входы H</x:v>
      </x:c>
      <x:c r="B528" s="1" t="str">
        <x:v>N82</x:v>
      </x:c>
      <x:c r="C528" s="1">
        <x:v>1.5</x:v>
      </x:c>
      <x:c r="D528" s="1">
        <x:f>'Входы H'!N82</x:f>
        <x:v>1.5</x:v>
      </x:c>
      <x:c r="E528" s="1">
        <x:f>IF(C528=D528,1,0)</x:f>
        <x:v>1</x:v>
      </x:c>
      <x:c r="F528" s="1"/>
      <x:c r="G528" s="1"/>
    </x:row>
    <x:row r="529" ht="26" customHeight="1">
      <x:c r="A529" s="1" t="str">
        <x:v>Входы H</x:v>
      </x:c>
      <x:c r="B529" s="1" t="str">
        <x:v>O82</x:v>
      </x:c>
      <x:c r="C529" s="1">
        <x:v>0.20000000000000001</x:v>
      </x:c>
      <x:c r="D529" s="1">
        <x:f>'Входы H'!O82</x:f>
        <x:v>0.20000000000000001</x:v>
      </x:c>
      <x:c r="E529" s="1">
        <x:f>IF(C529=D529,1,0)</x:f>
        <x:v>1</x:v>
      </x:c>
      <x:c r="F529" s="1"/>
      <x:c r="G529" s="1"/>
    </x:row>
    <x:row r="530" ht="26" customHeight="1">
      <x:c r="A530" s="1" t="str">
        <x:v>Входы H</x:v>
      </x:c>
      <x:c r="B530" s="1" t="str">
        <x:v>P82</x:v>
      </x:c>
      <x:c r="C530" s="1">
        <x:v>1</x:v>
      </x:c>
      <x:c r="D530" s="1">
        <x:f>'Входы H'!P82</x:f>
        <x:v>1</x:v>
      </x:c>
      <x:c r="E530" s="1">
        <x:f>IF(C530=D530,1,0)</x:f>
        <x:v>1</x:v>
      </x:c>
      <x:c r="F530" s="1"/>
      <x:c r="G530" s="1"/>
    </x:row>
    <x:row r="531" ht="26" customHeight="1">
      <x:c r="A531" s="1" t="str">
        <x:v>Входы H</x:v>
      </x:c>
      <x:c r="B531" s="1" t="str">
        <x:v>Q82</x:v>
      </x:c>
      <x:c r="C531" s="1">
        <x:v>0.29999999999999999</x:v>
      </x:c>
      <x:c r="D531" s="1">
        <x:f>'Входы H'!Q82</x:f>
        <x:v>0.29999999999999999</x:v>
      </x:c>
      <x:c r="E531" s="1">
        <x:f>IF(C531=D531,1,0)</x:f>
        <x:v>1</x:v>
      </x:c>
      <x:c r="F531" s="1"/>
      <x:c r="G531" s="1"/>
    </x:row>
    <x:row r="532" ht="26" customHeight="1">
      <x:c r="A532" s="1" t="str">
        <x:v>Входы H</x:v>
      </x:c>
      <x:c r="B532" s="1" t="str">
        <x:v>N83</x:v>
      </x:c>
      <x:c r="C532" s="1">
        <x:v>1.5</x:v>
      </x:c>
      <x:c r="D532" s="1">
        <x:f>'Входы H'!N83</x:f>
        <x:v>1.5</x:v>
      </x:c>
      <x:c r="E532" s="1">
        <x:f>IF(C532=D532,1,0)</x:f>
        <x:v>1</x:v>
      </x:c>
      <x:c r="F532" s="1"/>
      <x:c r="G532" s="1"/>
    </x:row>
    <x:row r="533" ht="26" customHeight="1">
      <x:c r="A533" s="1" t="str">
        <x:v>Входы H</x:v>
      </x:c>
      <x:c r="B533" s="1" t="str">
        <x:v>O83</x:v>
      </x:c>
      <x:c r="C533" s="1">
        <x:v>0.20000000000000001</x:v>
      </x:c>
      <x:c r="D533" s="1">
        <x:f>'Входы H'!O83</x:f>
        <x:v>0.20000000000000001</x:v>
      </x:c>
      <x:c r="E533" s="1">
        <x:f>IF(C533=D533,1,0)</x:f>
        <x:v>1</x:v>
      </x:c>
      <x:c r="F533" s="1"/>
      <x:c r="G533" s="1"/>
    </x:row>
    <x:row r="534" ht="26" customHeight="1">
      <x:c r="A534" s="1" t="str">
        <x:v>Входы H</x:v>
      </x:c>
      <x:c r="B534" s="1" t="str">
        <x:v>P83</x:v>
      </x:c>
      <x:c r="C534" s="1">
        <x:v>1</x:v>
      </x:c>
      <x:c r="D534" s="1">
        <x:f>'Входы H'!P83</x:f>
        <x:v>1</x:v>
      </x:c>
      <x:c r="E534" s="1">
        <x:f>IF(C534=D534,1,0)</x:f>
        <x:v>1</x:v>
      </x:c>
      <x:c r="F534" s="1"/>
      <x:c r="G534" s="1"/>
    </x:row>
    <x:row r="535" ht="26" customHeight="1">
      <x:c r="A535" s="1" t="str">
        <x:v>Входы H</x:v>
      </x:c>
      <x:c r="B535" s="1" t="str">
        <x:v>Q83</x:v>
      </x:c>
      <x:c r="C535" s="1">
        <x:v>0.29999999999999999</x:v>
      </x:c>
      <x:c r="D535" s="1">
        <x:f>'Входы H'!Q83</x:f>
        <x:v>0.29999999999999999</x:v>
      </x:c>
      <x:c r="E535" s="1">
        <x:f>IF(C535=D535,1,0)</x:f>
        <x:v>1</x:v>
      </x:c>
      <x:c r="F535" s="1"/>
      <x:c r="G535" s="1"/>
    </x:row>
    <x:row r="536" ht="26" customHeight="1">
      <x:c r="A536" s="1" t="str">
        <x:v>Входы H</x:v>
      </x:c>
      <x:c r="B536" s="1" t="str">
        <x:v>N84</x:v>
      </x:c>
      <x:c r="C536" s="1">
        <x:v>1.5</x:v>
      </x:c>
      <x:c r="D536" s="1">
        <x:f>'Входы H'!N84</x:f>
        <x:v>1.5</x:v>
      </x:c>
      <x:c r="E536" s="1">
        <x:f>IF(C536=D536,1,0)</x:f>
        <x:v>1</x:v>
      </x:c>
      <x:c r="F536" s="1"/>
      <x:c r="G536" s="1"/>
    </x:row>
    <x:row r="537" ht="26" customHeight="1">
      <x:c r="A537" s="1" t="str">
        <x:v>Входы H</x:v>
      </x:c>
      <x:c r="B537" s="1" t="str">
        <x:v>O84</x:v>
      </x:c>
      <x:c r="C537" s="1">
        <x:v>0.20000000000000001</x:v>
      </x:c>
      <x:c r="D537" s="1">
        <x:f>'Входы H'!O84</x:f>
        <x:v>0.20000000000000001</x:v>
      </x:c>
      <x:c r="E537" s="1">
        <x:f>IF(C537=D537,1,0)</x:f>
        <x:v>1</x:v>
      </x:c>
      <x:c r="F537" s="1"/>
      <x:c r="G537" s="1"/>
    </x:row>
    <x:row r="538" ht="26" customHeight="1">
      <x:c r="A538" s="1" t="str">
        <x:v>Входы H</x:v>
      </x:c>
      <x:c r="B538" s="1" t="str">
        <x:v>P84</x:v>
      </x:c>
      <x:c r="C538" s="1">
        <x:v>1</x:v>
      </x:c>
      <x:c r="D538" s="1">
        <x:f>'Входы H'!P84</x:f>
        <x:v>1</x:v>
      </x:c>
      <x:c r="E538" s="1">
        <x:f>IF(C538=D538,1,0)</x:f>
        <x:v>1</x:v>
      </x:c>
      <x:c r="F538" s="1"/>
      <x:c r="G538" s="1"/>
    </x:row>
    <x:row r="539" ht="26" customHeight="1">
      <x:c r="A539" s="1" t="str">
        <x:v>Входы H</x:v>
      </x:c>
      <x:c r="B539" s="1" t="str">
        <x:v>Q84</x:v>
      </x:c>
      <x:c r="C539" s="1">
        <x:v>0.29999999999999999</x:v>
      </x:c>
      <x:c r="D539" s="1">
        <x:f>'Входы H'!Q84</x:f>
        <x:v>0.29999999999999999</x:v>
      </x:c>
      <x:c r="E539" s="1">
        <x:f>IF(C539=D539,1,0)</x:f>
        <x:v>1</x:v>
      </x:c>
      <x:c r="F539" s="1"/>
      <x:c r="G539" s="1"/>
    </x:row>
    <x:row r="540" ht="26" customHeight="1">
      <x:c r="A540" s="1" t="str">
        <x:v>Входы H</x:v>
      </x:c>
      <x:c r="B540" s="1" t="str">
        <x:v>N85</x:v>
      </x:c>
      <x:c r="C540" s="1">
        <x:v>1.5</x:v>
      </x:c>
      <x:c r="D540" s="1">
        <x:f>'Входы H'!N85</x:f>
        <x:v>1.5</x:v>
      </x:c>
      <x:c r="E540" s="1">
        <x:f>IF(C540=D540,1,0)</x:f>
        <x:v>1</x:v>
      </x:c>
      <x:c r="F540" s="1"/>
      <x:c r="G540" s="1"/>
    </x:row>
    <x:row r="541" ht="26" customHeight="1">
      <x:c r="A541" s="1" t="str">
        <x:v>Входы H</x:v>
      </x:c>
      <x:c r="B541" s="1" t="str">
        <x:v>O85</x:v>
      </x:c>
      <x:c r="C541" s="1">
        <x:v>0.20000000000000001</x:v>
      </x:c>
      <x:c r="D541" s="1">
        <x:f>'Входы H'!O85</x:f>
        <x:v>0.20000000000000001</x:v>
      </x:c>
      <x:c r="E541" s="1">
        <x:f>IF(C541=D541,1,0)</x:f>
        <x:v>1</x:v>
      </x:c>
      <x:c r="F541" s="1"/>
      <x:c r="G541" s="1"/>
    </x:row>
    <x:row r="542" ht="26" customHeight="1">
      <x:c r="A542" s="1" t="str">
        <x:v>Входы H</x:v>
      </x:c>
      <x:c r="B542" s="1" t="str">
        <x:v>P85</x:v>
      </x:c>
      <x:c r="C542" s="1">
        <x:v>1</x:v>
      </x:c>
      <x:c r="D542" s="1">
        <x:f>'Входы H'!P85</x:f>
        <x:v>1</x:v>
      </x:c>
      <x:c r="E542" s="1">
        <x:f>IF(C542=D542,1,0)</x:f>
        <x:v>1</x:v>
      </x:c>
      <x:c r="F542" s="1"/>
      <x:c r="G542" s="1"/>
    </x:row>
    <x:row r="543" ht="26" customHeight="1">
      <x:c r="A543" s="1" t="str">
        <x:v>Входы H</x:v>
      </x:c>
      <x:c r="B543" s="1" t="str">
        <x:v>Q85</x:v>
      </x:c>
      <x:c r="C543" s="1">
        <x:v>0.29999999999999999</x:v>
      </x:c>
      <x:c r="D543" s="1">
        <x:f>'Входы H'!Q85</x:f>
        <x:v>0.29999999999999999</x:v>
      </x:c>
      <x:c r="E543" s="1">
        <x:f>IF(C543=D543,1,0)</x:f>
        <x:v>1</x:v>
      </x:c>
      <x:c r="F543" s="1"/>
      <x:c r="G543" s="1"/>
    </x:row>
    <x:row r="544" ht="26" customHeight="1">
      <x:c r="A544" s="1" t="str">
        <x:v>Входы H</x:v>
      </x:c>
      <x:c r="B544" s="1" t="str">
        <x:v>N86</x:v>
      </x:c>
      <x:c r="C544" s="1">
        <x:v>1.5</x:v>
      </x:c>
      <x:c r="D544" s="1">
        <x:f>'Входы H'!N86</x:f>
        <x:v>1.5</x:v>
      </x:c>
      <x:c r="E544" s="1">
        <x:f>IF(C544=D544,1,0)</x:f>
        <x:v>1</x:v>
      </x:c>
      <x:c r="F544" s="1"/>
      <x:c r="G544" s="1"/>
    </x:row>
    <x:row r="545" ht="26" customHeight="1">
      <x:c r="A545" s="1" t="str">
        <x:v>Входы H</x:v>
      </x:c>
      <x:c r="B545" s="1" t="str">
        <x:v>O86</x:v>
      </x:c>
      <x:c r="C545" s="1">
        <x:v>0.20000000000000001</x:v>
      </x:c>
      <x:c r="D545" s="1">
        <x:f>'Входы H'!O86</x:f>
        <x:v>0.20000000000000001</x:v>
      </x:c>
      <x:c r="E545" s="1">
        <x:f>IF(C545=D545,1,0)</x:f>
        <x:v>1</x:v>
      </x:c>
      <x:c r="F545" s="1"/>
      <x:c r="G545" s="1"/>
    </x:row>
    <x:row r="546" ht="26" customHeight="1">
      <x:c r="A546" s="1" t="str">
        <x:v>Входы H</x:v>
      </x:c>
      <x:c r="B546" s="1" t="str">
        <x:v>P86</x:v>
      </x:c>
      <x:c r="C546" s="1">
        <x:v>1</x:v>
      </x:c>
      <x:c r="D546" s="1">
        <x:f>'Входы H'!P86</x:f>
        <x:v>1</x:v>
      </x:c>
      <x:c r="E546" s="1">
        <x:f>IF(C546=D546,1,0)</x:f>
        <x:v>1</x:v>
      </x:c>
      <x:c r="F546" s="1"/>
      <x:c r="G546" s="1"/>
    </x:row>
    <x:row r="547" ht="26" customHeight="1">
      <x:c r="A547" s="1" t="str">
        <x:v>Входы H</x:v>
      </x:c>
      <x:c r="B547" s="1" t="str">
        <x:v>Q86</x:v>
      </x:c>
      <x:c r="C547" s="1">
        <x:v>0.29999999999999999</x:v>
      </x:c>
      <x:c r="D547" s="1">
        <x:f>'Входы H'!Q86</x:f>
        <x:v>0.29999999999999999</x:v>
      </x:c>
      <x:c r="E547" s="1">
        <x:f>IF(C547=D547,1,0)</x:f>
        <x:v>1</x:v>
      </x:c>
      <x:c r="F547" s="1"/>
      <x:c r="G547" s="1"/>
    </x:row>
    <x:row r="548" ht="26" customHeight="1">
      <x:c r="A548" s="1" t="str">
        <x:v>Входы H</x:v>
      </x:c>
      <x:c r="B548" s="1" t="str">
        <x:v>N87</x:v>
      </x:c>
      <x:c r="C548" s="1">
        <x:v>1.5</x:v>
      </x:c>
      <x:c r="D548" s="1">
        <x:f>'Входы H'!N87</x:f>
        <x:v>1.5</x:v>
      </x:c>
      <x:c r="E548" s="1">
        <x:f>IF(C548=D548,1,0)</x:f>
        <x:v>1</x:v>
      </x:c>
      <x:c r="F548" s="1"/>
      <x:c r="G548" s="1"/>
    </x:row>
    <x:row r="549" ht="26" customHeight="1">
      <x:c r="A549" s="1" t="str">
        <x:v>Входы H</x:v>
      </x:c>
      <x:c r="B549" s="1" t="str">
        <x:v>O87</x:v>
      </x:c>
      <x:c r="C549" s="1">
        <x:v>0.20000000000000001</x:v>
      </x:c>
      <x:c r="D549" s="1">
        <x:f>'Входы H'!O87</x:f>
        <x:v>0.20000000000000001</x:v>
      </x:c>
      <x:c r="E549" s="1">
        <x:f>IF(C549=D549,1,0)</x:f>
        <x:v>1</x:v>
      </x:c>
      <x:c r="F549" s="1"/>
      <x:c r="G549" s="1"/>
    </x:row>
    <x:row r="550" ht="26" customHeight="1">
      <x:c r="A550" s="1" t="str">
        <x:v>Входы H</x:v>
      </x:c>
      <x:c r="B550" s="1" t="str">
        <x:v>P87</x:v>
      </x:c>
      <x:c r="C550" s="1">
        <x:v>1</x:v>
      </x:c>
      <x:c r="D550" s="1">
        <x:f>'Входы H'!P87</x:f>
        <x:v>1</x:v>
      </x:c>
      <x:c r="E550" s="1">
        <x:f>IF(C550=D550,1,0)</x:f>
        <x:v>1</x:v>
      </x:c>
      <x:c r="F550" s="1"/>
      <x:c r="G550" s="1"/>
    </x:row>
    <x:row r="551" ht="26" customHeight="1">
      <x:c r="A551" s="1" t="str">
        <x:v>Входы H</x:v>
      </x:c>
      <x:c r="B551" s="1" t="str">
        <x:v>Q87</x:v>
      </x:c>
      <x:c r="C551" s="1">
        <x:v>0.29999999999999999</x:v>
      </x:c>
      <x:c r="D551" s="1">
        <x:f>'Входы H'!Q87</x:f>
        <x:v>0.29999999999999999</x:v>
      </x:c>
      <x:c r="E551" s="1">
        <x:f>IF(C551=D551,1,0)</x:f>
        <x:v>1</x:v>
      </x:c>
      <x:c r="F551" s="1"/>
      <x:c r="G551" s="1"/>
    </x:row>
    <x:row r="552" ht="26" customHeight="1">
      <x:c r="A552" s="1" t="str">
        <x:v>Входы H</x:v>
      </x:c>
      <x:c r="B552" s="1" t="str">
        <x:v>N88</x:v>
      </x:c>
      <x:c r="C552" s="1">
        <x:v>1.5</x:v>
      </x:c>
      <x:c r="D552" s="1">
        <x:f>'Входы H'!N88</x:f>
        <x:v>1.5</x:v>
      </x:c>
      <x:c r="E552" s="1">
        <x:f>IF(C552=D552,1,0)</x:f>
        <x:v>1</x:v>
      </x:c>
      <x:c r="F552" s="1"/>
      <x:c r="G552" s="1"/>
    </x:row>
    <x:row r="553" ht="26" customHeight="1">
      <x:c r="A553" s="1" t="str">
        <x:v>Входы H</x:v>
      </x:c>
      <x:c r="B553" s="1" t="str">
        <x:v>O88</x:v>
      </x:c>
      <x:c r="C553" s="1">
        <x:v>0.20000000000000001</x:v>
      </x:c>
      <x:c r="D553" s="1">
        <x:f>'Входы H'!O88</x:f>
        <x:v>0.20000000000000001</x:v>
      </x:c>
      <x:c r="E553" s="1">
        <x:f>IF(C553=D553,1,0)</x:f>
        <x:v>1</x:v>
      </x:c>
      <x:c r="F553" s="1"/>
      <x:c r="G553" s="1"/>
    </x:row>
    <x:row r="554" ht="26" customHeight="1">
      <x:c r="A554" s="1" t="str">
        <x:v>Входы H</x:v>
      </x:c>
      <x:c r="B554" s="1" t="str">
        <x:v>P88</x:v>
      </x:c>
      <x:c r="C554" s="1">
        <x:v>1</x:v>
      </x:c>
      <x:c r="D554" s="1">
        <x:f>'Входы H'!P88</x:f>
        <x:v>1</x:v>
      </x:c>
      <x:c r="E554" s="1">
        <x:f>IF(C554=D554,1,0)</x:f>
        <x:v>1</x:v>
      </x:c>
      <x:c r="F554" s="1"/>
      <x:c r="G554" s="1"/>
    </x:row>
    <x:row r="555" ht="26" customHeight="1">
      <x:c r="A555" s="1" t="str">
        <x:v>Входы H</x:v>
      </x:c>
      <x:c r="B555" s="1" t="str">
        <x:v>Q88</x:v>
      </x:c>
      <x:c r="C555" s="1">
        <x:v>0.29999999999999999</x:v>
      </x:c>
      <x:c r="D555" s="1">
        <x:f>'Входы H'!Q88</x:f>
        <x:v>0.29999999999999999</x:v>
      </x:c>
      <x:c r="E555" s="1">
        <x:f>IF(C555=D555,1,0)</x:f>
        <x:v>1</x:v>
      </x:c>
      <x:c r="F555" s="1"/>
      <x:c r="G555" s="1"/>
    </x:row>
    <x:row r="556" ht="26" customHeight="1">
      <x:c r="A556" s="1" t="str">
        <x:v>Входы H</x:v>
      </x:c>
      <x:c r="B556" s="1" t="str">
        <x:v>N89</x:v>
      </x:c>
      <x:c r="C556" s="1">
        <x:v>1.5</x:v>
      </x:c>
      <x:c r="D556" s="1">
        <x:f>'Входы H'!N89</x:f>
        <x:v>1.5</x:v>
      </x:c>
      <x:c r="E556" s="1">
        <x:f>IF(C556=D556,1,0)</x:f>
        <x:v>1</x:v>
      </x:c>
      <x:c r="F556" s="1"/>
      <x:c r="G556" s="1"/>
    </x:row>
    <x:row r="557" ht="26" customHeight="1">
      <x:c r="A557" s="1" t="str">
        <x:v>Входы H</x:v>
      </x:c>
      <x:c r="B557" s="1" t="str">
        <x:v>O89</x:v>
      </x:c>
      <x:c r="C557" s="1">
        <x:v>0.20000000000000001</x:v>
      </x:c>
      <x:c r="D557" s="1">
        <x:f>'Входы H'!O89</x:f>
        <x:v>0.20000000000000001</x:v>
      </x:c>
      <x:c r="E557" s="1">
        <x:f>IF(C557=D557,1,0)</x:f>
        <x:v>1</x:v>
      </x:c>
      <x:c r="F557" s="1"/>
      <x:c r="G557" s="1"/>
    </x:row>
    <x:row r="558" ht="26" customHeight="1">
      <x:c r="A558" s="1" t="str">
        <x:v>Входы H</x:v>
      </x:c>
      <x:c r="B558" s="1" t="str">
        <x:v>P89</x:v>
      </x:c>
      <x:c r="C558" s="1">
        <x:v>1</x:v>
      </x:c>
      <x:c r="D558" s="1">
        <x:f>'Входы H'!P89</x:f>
        <x:v>1</x:v>
      </x:c>
      <x:c r="E558" s="1">
        <x:f>IF(C558=D558,1,0)</x:f>
        <x:v>1</x:v>
      </x:c>
      <x:c r="F558" s="1"/>
      <x:c r="G558" s="1"/>
    </x:row>
    <x:row r="559" ht="26" customHeight="1">
      <x:c r="A559" s="1" t="str">
        <x:v>Входы H</x:v>
      </x:c>
      <x:c r="B559" s="1" t="str">
        <x:v>Q89</x:v>
      </x:c>
      <x:c r="C559" s="1">
        <x:v>0.29999999999999999</x:v>
      </x:c>
      <x:c r="D559" s="1">
        <x:f>'Входы H'!Q89</x:f>
        <x:v>0.29999999999999999</x:v>
      </x:c>
      <x:c r="E559" s="1">
        <x:f>IF(C559=D559,1,0)</x:f>
        <x:v>1</x:v>
      </x:c>
      <x:c r="F559" s="1"/>
      <x:c r="G559" s="1"/>
    </x:row>
    <x:row r="560" ht="26" customHeight="1">
      <x:c r="A560" s="1" t="str">
        <x:v>Входы H</x:v>
      </x:c>
      <x:c r="B560" s="1" t="str">
        <x:v>N90</x:v>
      </x:c>
      <x:c r="C560" s="1">
        <x:v>1.5</x:v>
      </x:c>
      <x:c r="D560" s="1">
        <x:f>'Входы H'!N90</x:f>
        <x:v>1.5</x:v>
      </x:c>
      <x:c r="E560" s="1">
        <x:f>IF(C560=D560,1,0)</x:f>
        <x:v>1</x:v>
      </x:c>
      <x:c r="F560" s="1"/>
      <x:c r="G560" s="1"/>
    </x:row>
    <x:row r="561" ht="26" customHeight="1">
      <x:c r="A561" s="1" t="str">
        <x:v>Входы H</x:v>
      </x:c>
      <x:c r="B561" s="1" t="str">
        <x:v>O90</x:v>
      </x:c>
      <x:c r="C561" s="1">
        <x:v>0.20000000000000001</x:v>
      </x:c>
      <x:c r="D561" s="1">
        <x:f>'Входы H'!O90</x:f>
        <x:v>0.20000000000000001</x:v>
      </x:c>
      <x:c r="E561" s="1">
        <x:f>IF(C561=D561,1,0)</x:f>
        <x:v>1</x:v>
      </x:c>
      <x:c r="F561" s="1"/>
      <x:c r="G561" s="1"/>
    </x:row>
    <x:row r="562" ht="26" customHeight="1">
      <x:c r="A562" s="1" t="str">
        <x:v>Входы H</x:v>
      </x:c>
      <x:c r="B562" s="1" t="str">
        <x:v>P90</x:v>
      </x:c>
      <x:c r="C562" s="1">
        <x:v>1</x:v>
      </x:c>
      <x:c r="D562" s="1">
        <x:f>'Входы H'!P90</x:f>
        <x:v>1</x:v>
      </x:c>
      <x:c r="E562" s="1">
        <x:f>IF(C562=D562,1,0)</x:f>
        <x:v>1</x:v>
      </x:c>
      <x:c r="F562" s="1"/>
      <x:c r="G562" s="1"/>
    </x:row>
    <x:row r="563" ht="26" customHeight="1">
      <x:c r="A563" s="1" t="str">
        <x:v>Входы H</x:v>
      </x:c>
      <x:c r="B563" s="1" t="str">
        <x:v>Q90</x:v>
      </x:c>
      <x:c r="C563" s="1">
        <x:v>0.29999999999999999</x:v>
      </x:c>
      <x:c r="D563" s="1">
        <x:f>'Входы H'!Q90</x:f>
        <x:v>0.29999999999999999</x:v>
      </x:c>
      <x:c r="E563" s="1">
        <x:f>IF(C563=D563,1,0)</x:f>
        <x:v>1</x:v>
      </x:c>
      <x:c r="F563" s="1"/>
      <x:c r="G563" s="1"/>
    </x:row>
    <x:row r="564" ht="26" customHeight="1">
      <x:c r="A564" s="1" t="str">
        <x:v>Входы H</x:v>
      </x:c>
      <x:c r="B564" s="1" t="str">
        <x:v>N91</x:v>
      </x:c>
      <x:c r="C564" s="1">
        <x:v>1.5</x:v>
      </x:c>
      <x:c r="D564" s="1">
        <x:f>'Входы H'!N91</x:f>
        <x:v>1.5</x:v>
      </x:c>
      <x:c r="E564" s="1">
        <x:f>IF(C564=D564,1,0)</x:f>
        <x:v>1</x:v>
      </x:c>
      <x:c r="F564" s="1"/>
      <x:c r="G564" s="1"/>
    </x:row>
    <x:row r="565" ht="26" customHeight="1">
      <x:c r="A565" s="1" t="str">
        <x:v>Входы H</x:v>
      </x:c>
      <x:c r="B565" s="1" t="str">
        <x:v>O91</x:v>
      </x:c>
      <x:c r="C565" s="1">
        <x:v>0.20000000000000001</x:v>
      </x:c>
      <x:c r="D565" s="1">
        <x:f>'Входы H'!O91</x:f>
        <x:v>0.20000000000000001</x:v>
      </x:c>
      <x:c r="E565" s="1">
        <x:f>IF(C565=D565,1,0)</x:f>
        <x:v>1</x:v>
      </x:c>
      <x:c r="F565" s="1"/>
      <x:c r="G565" s="1"/>
    </x:row>
    <x:row r="566" ht="26" customHeight="1">
      <x:c r="A566" s="1" t="str">
        <x:v>Входы H</x:v>
      </x:c>
      <x:c r="B566" s="1" t="str">
        <x:v>P91</x:v>
      </x:c>
      <x:c r="C566" s="1">
        <x:v>1</x:v>
      </x:c>
      <x:c r="D566" s="1">
        <x:f>'Входы H'!P91</x:f>
        <x:v>1</x:v>
      </x:c>
      <x:c r="E566" s="1">
        <x:f>IF(C566=D566,1,0)</x:f>
        <x:v>1</x:v>
      </x:c>
      <x:c r="F566" s="1"/>
      <x:c r="G566" s="1"/>
    </x:row>
    <x:row r="567" ht="26" customHeight="1">
      <x:c r="A567" s="1" t="str">
        <x:v>Входы H</x:v>
      </x:c>
      <x:c r="B567" s="1" t="str">
        <x:v>Q91</x:v>
      </x:c>
      <x:c r="C567" s="1">
        <x:v>0.29999999999999999</x:v>
      </x:c>
      <x:c r="D567" s="1">
        <x:f>'Входы H'!Q91</x:f>
        <x:v>0.29999999999999999</x:v>
      </x:c>
      <x:c r="E567" s="1">
        <x:f>IF(C567=D567,1,0)</x:f>
        <x:v>1</x:v>
      </x:c>
      <x:c r="F567" s="1"/>
      <x:c r="G567" s="1"/>
    </x:row>
    <x:row r="568" ht="26" customHeight="1">
      <x:c r="A568" s="1" t="str">
        <x:v>Входы H</x:v>
      </x:c>
      <x:c r="B568" s="1" t="str">
        <x:v>N92</x:v>
      </x:c>
      <x:c r="C568" s="1">
        <x:v>1.5</x:v>
      </x:c>
      <x:c r="D568" s="1">
        <x:f>'Входы H'!N92</x:f>
        <x:v>1.5</x:v>
      </x:c>
      <x:c r="E568" s="1">
        <x:f>IF(C568=D568,1,0)</x:f>
        <x:v>1</x:v>
      </x:c>
      <x:c r="F568" s="1"/>
      <x:c r="G568" s="1"/>
    </x:row>
    <x:row r="569" ht="26" customHeight="1">
      <x:c r="A569" s="1" t="str">
        <x:v>Входы H</x:v>
      </x:c>
      <x:c r="B569" s="1" t="str">
        <x:v>O92</x:v>
      </x:c>
      <x:c r="C569" s="1">
        <x:v>0.20000000000000001</x:v>
      </x:c>
      <x:c r="D569" s="1">
        <x:f>'Входы H'!O92</x:f>
        <x:v>0.20000000000000001</x:v>
      </x:c>
      <x:c r="E569" s="1">
        <x:f>IF(C569=D569,1,0)</x:f>
        <x:v>1</x:v>
      </x:c>
      <x:c r="F569" s="1"/>
      <x:c r="G569" s="1"/>
    </x:row>
    <x:row r="570" ht="26" customHeight="1">
      <x:c r="A570" s="1" t="str">
        <x:v>Входы H</x:v>
      </x:c>
      <x:c r="B570" s="1" t="str">
        <x:v>P92</x:v>
      </x:c>
      <x:c r="C570" s="1">
        <x:v>1</x:v>
      </x:c>
      <x:c r="D570" s="1">
        <x:f>'Входы H'!P92</x:f>
        <x:v>1</x:v>
      </x:c>
      <x:c r="E570" s="1">
        <x:f>IF(C570=D570,1,0)</x:f>
        <x:v>1</x:v>
      </x:c>
      <x:c r="F570" s="1"/>
      <x:c r="G570" s="1"/>
    </x:row>
    <x:row r="571" ht="26" customHeight="1">
      <x:c r="A571" s="1" t="str">
        <x:v>Входы H</x:v>
      </x:c>
      <x:c r="B571" s="1" t="str">
        <x:v>Q92</x:v>
      </x:c>
      <x:c r="C571" s="1">
        <x:v>0.29999999999999999</x:v>
      </x:c>
      <x:c r="D571" s="1">
        <x:f>'Входы H'!Q92</x:f>
        <x:v>0.29999999999999999</x:v>
      </x:c>
      <x:c r="E571" s="1">
        <x:f>IF(C571=D571,1,0)</x:f>
        <x:v>1</x:v>
      </x:c>
      <x:c r="F571" s="1"/>
      <x:c r="G571" s="1"/>
    </x:row>
    <x:row r="572" ht="26" customHeight="1">
      <x:c r="A572" s="1" t="str">
        <x:v>Входы H</x:v>
      </x:c>
      <x:c r="B572" s="1" t="str">
        <x:v>N93</x:v>
      </x:c>
      <x:c r="C572" s="1">
        <x:v>1.5</x:v>
      </x:c>
      <x:c r="D572" s="1">
        <x:f>'Входы H'!N93</x:f>
        <x:v>1.5</x:v>
      </x:c>
      <x:c r="E572" s="1">
        <x:f>IF(C572=D572,1,0)</x:f>
        <x:v>1</x:v>
      </x:c>
      <x:c r="F572" s="1"/>
      <x:c r="G572" s="1"/>
    </x:row>
    <x:row r="573" ht="26" customHeight="1">
      <x:c r="A573" s="1" t="str">
        <x:v>Входы H</x:v>
      </x:c>
      <x:c r="B573" s="1" t="str">
        <x:v>O93</x:v>
      </x:c>
      <x:c r="C573" s="1">
        <x:v>0.20000000000000001</x:v>
      </x:c>
      <x:c r="D573" s="1">
        <x:f>'Входы H'!O93</x:f>
        <x:v>0.20000000000000001</x:v>
      </x:c>
      <x:c r="E573" s="1">
        <x:f>IF(C573=D573,1,0)</x:f>
        <x:v>1</x:v>
      </x:c>
      <x:c r="F573" s="1"/>
      <x:c r="G573" s="1"/>
    </x:row>
    <x:row r="574" ht="26" customHeight="1">
      <x:c r="A574" s="1" t="str">
        <x:v>Входы H</x:v>
      </x:c>
      <x:c r="B574" s="1" t="str">
        <x:v>P93</x:v>
      </x:c>
      <x:c r="C574" s="1">
        <x:v>1</x:v>
      </x:c>
      <x:c r="D574" s="1">
        <x:f>'Входы H'!P93</x:f>
        <x:v>1</x:v>
      </x:c>
      <x:c r="E574" s="1">
        <x:f>IF(C574=D574,1,0)</x:f>
        <x:v>1</x:v>
      </x:c>
      <x:c r="F574" s="1"/>
      <x:c r="G574" s="1"/>
    </x:row>
    <x:row r="575" ht="26" customHeight="1">
      <x:c r="A575" s="1" t="str">
        <x:v>Входы H</x:v>
      </x:c>
      <x:c r="B575" s="1" t="str">
        <x:v>Q93</x:v>
      </x:c>
      <x:c r="C575" s="1">
        <x:v>0.29999999999999999</x:v>
      </x:c>
      <x:c r="D575" s="1">
        <x:f>'Входы H'!Q93</x:f>
        <x:v>0.29999999999999999</x:v>
      </x:c>
      <x:c r="E575" s="1">
        <x:f>IF(C575=D575,1,0)</x:f>
        <x:v>1</x:v>
      </x:c>
      <x:c r="F575" s="1"/>
      <x:c r="G575" s="1"/>
    </x:row>
    <x:row r="576" ht="26" customHeight="1">
      <x:c r="A576" s="1" t="str">
        <x:v>Входы H</x:v>
      </x:c>
      <x:c r="B576" s="1" t="str">
        <x:v>N94</x:v>
      </x:c>
      <x:c r="C576" s="1">
        <x:v>1.5</x:v>
      </x:c>
      <x:c r="D576" s="1">
        <x:f>'Входы H'!N94</x:f>
        <x:v>1.5</x:v>
      </x:c>
      <x:c r="E576" s="1">
        <x:f>IF(C576=D576,1,0)</x:f>
        <x:v>1</x:v>
      </x:c>
      <x:c r="F576" s="1"/>
      <x:c r="G576" s="1"/>
    </x:row>
    <x:row r="577" ht="26" customHeight="1">
      <x:c r="A577" s="1" t="str">
        <x:v>Входы H</x:v>
      </x:c>
      <x:c r="B577" s="1" t="str">
        <x:v>O94</x:v>
      </x:c>
      <x:c r="C577" s="1">
        <x:v>0.20000000000000001</x:v>
      </x:c>
      <x:c r="D577" s="1">
        <x:f>'Входы H'!O94</x:f>
        <x:v>0.20000000000000001</x:v>
      </x:c>
      <x:c r="E577" s="1">
        <x:f>IF(C577=D577,1,0)</x:f>
        <x:v>1</x:v>
      </x:c>
      <x:c r="F577" s="1"/>
      <x:c r="G577" s="1"/>
    </x:row>
    <x:row r="578" ht="26" customHeight="1">
      <x:c r="A578" s="1" t="str">
        <x:v>Входы H</x:v>
      </x:c>
      <x:c r="B578" s="1" t="str">
        <x:v>P94</x:v>
      </x:c>
      <x:c r="C578" s="1">
        <x:v>1</x:v>
      </x:c>
      <x:c r="D578" s="1">
        <x:f>'Входы H'!P94</x:f>
        <x:v>1</x:v>
      </x:c>
      <x:c r="E578" s="1">
        <x:f>IF(C578=D578,1,0)</x:f>
        <x:v>1</x:v>
      </x:c>
      <x:c r="F578" s="1"/>
      <x:c r="G578" s="1"/>
    </x:row>
    <x:row r="579" ht="26" customHeight="1">
      <x:c r="A579" s="1" t="str">
        <x:v>Входы H</x:v>
      </x:c>
      <x:c r="B579" s="1" t="str">
        <x:v>Q94</x:v>
      </x:c>
      <x:c r="C579" s="1">
        <x:v>0.29999999999999999</x:v>
      </x:c>
      <x:c r="D579" s="1">
        <x:f>'Входы H'!Q94</x:f>
        <x:v>0.29999999999999999</x:v>
      </x:c>
      <x:c r="E579" s="1">
        <x:f>IF(C579=D579,1,0)</x:f>
        <x:v>1</x:v>
      </x:c>
      <x:c r="F579" s="1"/>
      <x:c r="G579" s="1"/>
    </x:row>
    <x:row r="580" ht="26" customHeight="1">
      <x:c r="A580" s="1" t="str">
        <x:v>Входы H</x:v>
      </x:c>
      <x:c r="B580" s="1" t="str">
        <x:v>N95</x:v>
      </x:c>
      <x:c r="C580" s="1">
        <x:v>1.5</x:v>
      </x:c>
      <x:c r="D580" s="1">
        <x:f>'Входы H'!N95</x:f>
        <x:v>1.5</x:v>
      </x:c>
      <x:c r="E580" s="1">
        <x:f>IF(C580=D580,1,0)</x:f>
        <x:v>1</x:v>
      </x:c>
      <x:c r="F580" s="1"/>
      <x:c r="G580" s="1"/>
    </x:row>
    <x:row r="581" ht="26" customHeight="1">
      <x:c r="A581" s="1" t="str">
        <x:v>Входы H</x:v>
      </x:c>
      <x:c r="B581" s="1" t="str">
        <x:v>O95</x:v>
      </x:c>
      <x:c r="C581" s="1">
        <x:v>0.20000000000000001</x:v>
      </x:c>
      <x:c r="D581" s="1">
        <x:f>'Входы H'!O95</x:f>
        <x:v>0.20000000000000001</x:v>
      </x:c>
      <x:c r="E581" s="1">
        <x:f>IF(C581=D581,1,0)</x:f>
        <x:v>1</x:v>
      </x:c>
      <x:c r="F581" s="1"/>
      <x:c r="G581" s="1"/>
    </x:row>
    <x:row r="582" ht="26" customHeight="1">
      <x:c r="A582" s="1" t="str">
        <x:v>Входы H</x:v>
      </x:c>
      <x:c r="B582" s="1" t="str">
        <x:v>P95</x:v>
      </x:c>
      <x:c r="C582" s="1">
        <x:v>1</x:v>
      </x:c>
      <x:c r="D582" s="1">
        <x:f>'Входы H'!P95</x:f>
        <x:v>1</x:v>
      </x:c>
      <x:c r="E582" s="1">
        <x:f>IF(C582=D582,1,0)</x:f>
        <x:v>1</x:v>
      </x:c>
      <x:c r="F582" s="1"/>
      <x:c r="G582" s="1"/>
    </x:row>
    <x:row r="583" ht="26" customHeight="1">
      <x:c r="A583" s="1" t="str">
        <x:v>Входы H</x:v>
      </x:c>
      <x:c r="B583" s="1" t="str">
        <x:v>Q95</x:v>
      </x:c>
      <x:c r="C583" s="1">
        <x:v>0.29999999999999999</x:v>
      </x:c>
      <x:c r="D583" s="1">
        <x:f>'Входы H'!Q95</x:f>
        <x:v>0.29999999999999999</x:v>
      </x:c>
      <x:c r="E583" s="1">
        <x:f>IF(C583=D583,1,0)</x:f>
        <x:v>1</x:v>
      </x:c>
      <x:c r="F583" s="1"/>
      <x:c r="G583" s="1"/>
    </x:row>
    <x:row r="584" ht="26" customHeight="1">
      <x:c r="A584" s="1" t="str">
        <x:v>Входы H</x:v>
      </x:c>
      <x:c r="B584" s="1" t="str">
        <x:v>N96</x:v>
      </x:c>
      <x:c r="C584" s="1">
        <x:v>1.5</x:v>
      </x:c>
      <x:c r="D584" s="1">
        <x:f>'Входы H'!N96</x:f>
        <x:v>1.5</x:v>
      </x:c>
      <x:c r="E584" s="1">
        <x:f>IF(C584=D584,1,0)</x:f>
        <x:v>1</x:v>
      </x:c>
      <x:c r="F584" s="1"/>
      <x:c r="G584" s="1"/>
    </x:row>
    <x:row r="585" ht="26" customHeight="1">
      <x:c r="A585" s="1" t="str">
        <x:v>Входы H</x:v>
      </x:c>
      <x:c r="B585" s="1" t="str">
        <x:v>O96</x:v>
      </x:c>
      <x:c r="C585" s="1">
        <x:v>0.20000000000000001</x:v>
      </x:c>
      <x:c r="D585" s="1">
        <x:f>'Входы H'!O96</x:f>
        <x:v>0.20000000000000001</x:v>
      </x:c>
      <x:c r="E585" s="1">
        <x:f>IF(C585=D585,1,0)</x:f>
        <x:v>1</x:v>
      </x:c>
      <x:c r="F585" s="1"/>
      <x:c r="G585" s="1"/>
    </x:row>
    <x:row r="586" ht="26" customHeight="1">
      <x:c r="A586" s="1" t="str">
        <x:v>Входы H</x:v>
      </x:c>
      <x:c r="B586" s="1" t="str">
        <x:v>P96</x:v>
      </x:c>
      <x:c r="C586" s="1">
        <x:v>1</x:v>
      </x:c>
      <x:c r="D586" s="1">
        <x:f>'Входы H'!P96</x:f>
        <x:v>1</x:v>
      </x:c>
      <x:c r="E586" s="1">
        <x:f>IF(C586=D586,1,0)</x:f>
        <x:v>1</x:v>
      </x:c>
      <x:c r="F586" s="1"/>
      <x:c r="G586" s="1"/>
    </x:row>
    <x:row r="587" ht="26" customHeight="1">
      <x:c r="A587" s="1" t="str">
        <x:v>Входы H</x:v>
      </x:c>
      <x:c r="B587" s="1" t="str">
        <x:v>Q96</x:v>
      </x:c>
      <x:c r="C587" s="1">
        <x:v>0.29999999999999999</x:v>
      </x:c>
      <x:c r="D587" s="1">
        <x:f>'Входы H'!Q96</x:f>
        <x:v>0.29999999999999999</x:v>
      </x:c>
      <x:c r="E587" s="1">
        <x:f>IF(C587=D587,1,0)</x:f>
        <x:v>1</x:v>
      </x:c>
      <x:c r="F587" s="1"/>
      <x:c r="G587" s="1"/>
    </x:row>
    <x:row r="588" ht="26" customHeight="1">
      <x:c r="A588" s="1" t="str">
        <x:v>Входы H</x:v>
      </x:c>
      <x:c r="B588" s="1" t="str">
        <x:v>N97</x:v>
      </x:c>
      <x:c r="C588" s="1">
        <x:v>1.5</x:v>
      </x:c>
      <x:c r="D588" s="1">
        <x:f>'Входы H'!N97</x:f>
        <x:v>1.5</x:v>
      </x:c>
      <x:c r="E588" s="1">
        <x:f>IF(C588=D588,1,0)</x:f>
        <x:v>1</x:v>
      </x:c>
      <x:c r="F588" s="1"/>
      <x:c r="G588" s="1"/>
    </x:row>
    <x:row r="589" ht="26" customHeight="1">
      <x:c r="A589" s="1" t="str">
        <x:v>Входы H</x:v>
      </x:c>
      <x:c r="B589" s="1" t="str">
        <x:v>O97</x:v>
      </x:c>
      <x:c r="C589" s="1">
        <x:v>0.20000000000000001</x:v>
      </x:c>
      <x:c r="D589" s="1">
        <x:f>'Входы H'!O97</x:f>
        <x:v>0.20000000000000001</x:v>
      </x:c>
      <x:c r="E589" s="1">
        <x:f>IF(C589=D589,1,0)</x:f>
        <x:v>1</x:v>
      </x:c>
      <x:c r="F589" s="1"/>
      <x:c r="G589" s="1"/>
    </x:row>
    <x:row r="590" ht="26" customHeight="1">
      <x:c r="A590" s="1" t="str">
        <x:v>Входы H</x:v>
      </x:c>
      <x:c r="B590" s="1" t="str">
        <x:v>P97</x:v>
      </x:c>
      <x:c r="C590" s="1">
        <x:v>1</x:v>
      </x:c>
      <x:c r="D590" s="1">
        <x:f>'Входы H'!P97</x:f>
        <x:v>1</x:v>
      </x:c>
      <x:c r="E590" s="1">
        <x:f>IF(C590=D590,1,0)</x:f>
        <x:v>1</x:v>
      </x:c>
      <x:c r="F590" s="1"/>
      <x:c r="G590" s="1"/>
    </x:row>
    <x:row r="591" ht="26" customHeight="1">
      <x:c r="A591" s="1" t="str">
        <x:v>Входы H</x:v>
      </x:c>
      <x:c r="B591" s="1" t="str">
        <x:v>Q97</x:v>
      </x:c>
      <x:c r="C591" s="1">
        <x:v>0.29999999999999999</x:v>
      </x:c>
      <x:c r="D591" s="1">
        <x:f>'Входы H'!Q97</x:f>
        <x:v>0.29999999999999999</x:v>
      </x:c>
      <x:c r="E591" s="1">
        <x:f>IF(C591=D591,1,0)</x:f>
        <x:v>1</x:v>
      </x:c>
      <x:c r="F591" s="1"/>
      <x:c r="G591" s="1"/>
    </x:row>
    <x:row r="592" ht="26" customHeight="1">
      <x:c r="A592" s="1" t="str">
        <x:v>Входы H</x:v>
      </x:c>
      <x:c r="B592" s="1" t="str">
        <x:v>N98</x:v>
      </x:c>
      <x:c r="C592" s="1">
        <x:v>1.5</x:v>
      </x:c>
      <x:c r="D592" s="1">
        <x:f>'Входы H'!N98</x:f>
        <x:v>1.5</x:v>
      </x:c>
      <x:c r="E592" s="1">
        <x:f>IF(C592=D592,1,0)</x:f>
        <x:v>1</x:v>
      </x:c>
      <x:c r="F592" s="1"/>
      <x:c r="G592" s="1"/>
    </x:row>
    <x:row r="593" ht="26" customHeight="1">
      <x:c r="A593" s="1" t="str">
        <x:v>Входы H</x:v>
      </x:c>
      <x:c r="B593" s="1" t="str">
        <x:v>O98</x:v>
      </x:c>
      <x:c r="C593" s="1">
        <x:v>0.20000000000000001</x:v>
      </x:c>
      <x:c r="D593" s="1">
        <x:f>'Входы H'!O98</x:f>
        <x:v>0.20000000000000001</x:v>
      </x:c>
      <x:c r="E593" s="1">
        <x:f>IF(C593=D593,1,0)</x:f>
        <x:v>1</x:v>
      </x:c>
      <x:c r="F593" s="1"/>
      <x:c r="G593" s="1"/>
    </x:row>
    <x:row r="594" ht="26" customHeight="1">
      <x:c r="A594" s="1" t="str">
        <x:v>Входы H</x:v>
      </x:c>
      <x:c r="B594" s="1" t="str">
        <x:v>P98</x:v>
      </x:c>
      <x:c r="C594" s="1">
        <x:v>1</x:v>
      </x:c>
      <x:c r="D594" s="1">
        <x:f>'Входы H'!P98</x:f>
        <x:v>1</x:v>
      </x:c>
      <x:c r="E594" s="1">
        <x:f>IF(C594=D594,1,0)</x:f>
        <x:v>1</x:v>
      </x:c>
      <x:c r="F594" s="1"/>
      <x:c r="G594" s="1"/>
    </x:row>
    <x:row r="595" ht="26" customHeight="1">
      <x:c r="A595" s="1" t="str">
        <x:v>Входы H</x:v>
      </x:c>
      <x:c r="B595" s="1" t="str">
        <x:v>Q98</x:v>
      </x:c>
      <x:c r="C595" s="1">
        <x:v>0.29999999999999999</x:v>
      </x:c>
      <x:c r="D595" s="1">
        <x:f>'Входы H'!Q98</x:f>
        <x:v>0.29999999999999999</x:v>
      </x:c>
      <x:c r="E595" s="1">
        <x:f>IF(C595=D595,1,0)</x:f>
        <x:v>1</x:v>
      </x:c>
      <x:c r="F595" s="1"/>
      <x:c r="G595" s="1"/>
    </x:row>
    <x:row r="596" ht="26" customHeight="1">
      <x:c r="A596" s="1" t="str">
        <x:v>Входы H</x:v>
      </x:c>
      <x:c r="B596" s="1" t="str">
        <x:v>N99</x:v>
      </x:c>
      <x:c r="C596" s="1">
        <x:v>1.5</x:v>
      </x:c>
      <x:c r="D596" s="1">
        <x:f>'Входы H'!N99</x:f>
        <x:v>1.5</x:v>
      </x:c>
      <x:c r="E596" s="1">
        <x:f>IF(C596=D596,1,0)</x:f>
        <x:v>1</x:v>
      </x:c>
      <x:c r="F596" s="1"/>
      <x:c r="G596" s="1"/>
    </x:row>
    <x:row r="597" ht="26" customHeight="1">
      <x:c r="A597" s="1" t="str">
        <x:v>Входы H</x:v>
      </x:c>
      <x:c r="B597" s="1" t="str">
        <x:v>O99</x:v>
      </x:c>
      <x:c r="C597" s="1">
        <x:v>0.20000000000000001</x:v>
      </x:c>
      <x:c r="D597" s="1">
        <x:f>'Входы H'!O99</x:f>
        <x:v>0.20000000000000001</x:v>
      </x:c>
      <x:c r="E597" s="1">
        <x:f>IF(C597=D597,1,0)</x:f>
        <x:v>1</x:v>
      </x:c>
      <x:c r="F597" s="1"/>
      <x:c r="G597" s="1"/>
    </x:row>
    <x:row r="598" ht="26" customHeight="1">
      <x:c r="A598" s="1" t="str">
        <x:v>Входы H</x:v>
      </x:c>
      <x:c r="B598" s="1" t="str">
        <x:v>P99</x:v>
      </x:c>
      <x:c r="C598" s="1">
        <x:v>1</x:v>
      </x:c>
      <x:c r="D598" s="1">
        <x:f>'Входы H'!P99</x:f>
        <x:v>1</x:v>
      </x:c>
      <x:c r="E598" s="1">
        <x:f>IF(C598=D598,1,0)</x:f>
        <x:v>1</x:v>
      </x:c>
      <x:c r="F598" s="1"/>
      <x:c r="G598" s="1"/>
    </x:row>
    <x:row r="599" ht="26" customHeight="1">
      <x:c r="A599" s="1" t="str">
        <x:v>Входы H</x:v>
      </x:c>
      <x:c r="B599" s="1" t="str">
        <x:v>Q99</x:v>
      </x:c>
      <x:c r="C599" s="1">
        <x:v>0.29999999999999999</x:v>
      </x:c>
      <x:c r="D599" s="1">
        <x:f>'Входы H'!Q99</x:f>
        <x:v>0.29999999999999999</x:v>
      </x:c>
      <x:c r="E599" s="1">
        <x:f>IF(C599=D599,1,0)</x:f>
        <x:v>1</x:v>
      </x:c>
      <x:c r="F599" s="1"/>
      <x:c r="G599" s="1"/>
    </x:row>
    <x:row r="600" ht="26" customHeight="1">
      <x:c r="A600" s="1" t="str">
        <x:v>Входы H</x:v>
      </x:c>
      <x:c r="B600" s="1" t="str">
        <x:v>N100</x:v>
      </x:c>
      <x:c r="C600" s="1">
        <x:v>1.5</x:v>
      </x:c>
      <x:c r="D600" s="1">
        <x:f>'Входы H'!N100</x:f>
        <x:v>1.5</x:v>
      </x:c>
      <x:c r="E600" s="1">
        <x:f>IF(C600=D600,1,0)</x:f>
        <x:v>1</x:v>
      </x:c>
      <x:c r="F600" s="1"/>
      <x:c r="G600" s="1"/>
    </x:row>
    <x:row r="601" ht="26" customHeight="1">
      <x:c r="A601" s="1" t="str">
        <x:v>Входы H</x:v>
      </x:c>
      <x:c r="B601" s="1" t="str">
        <x:v>O100</x:v>
      </x:c>
      <x:c r="C601" s="1">
        <x:v>0.20000000000000001</x:v>
      </x:c>
      <x:c r="D601" s="1">
        <x:f>'Входы H'!O100</x:f>
        <x:v>0.20000000000000001</x:v>
      </x:c>
      <x:c r="E601" s="1">
        <x:f>IF(C601=D601,1,0)</x:f>
        <x:v>1</x:v>
      </x:c>
      <x:c r="F601" s="1"/>
      <x:c r="G601" s="1"/>
    </x:row>
    <x:row r="602" ht="26" customHeight="1">
      <x:c r="A602" s="1" t="str">
        <x:v>Входы H</x:v>
      </x:c>
      <x:c r="B602" s="1" t="str">
        <x:v>P100</x:v>
      </x:c>
      <x:c r="C602" s="1">
        <x:v>1</x:v>
      </x:c>
      <x:c r="D602" s="1">
        <x:f>'Входы H'!P100</x:f>
        <x:v>1</x:v>
      </x:c>
      <x:c r="E602" s="1">
        <x:f>IF(C602=D602,1,0)</x:f>
        <x:v>1</x:v>
      </x:c>
      <x:c r="F602" s="1"/>
      <x:c r="G602" s="1"/>
    </x:row>
    <x:row r="603" ht="26" customHeight="1">
      <x:c r="A603" s="1" t="str">
        <x:v>Входы H</x:v>
      </x:c>
      <x:c r="B603" s="1" t="str">
        <x:v>Q100</x:v>
      </x:c>
      <x:c r="C603" s="1">
        <x:v>0.29999999999999999</x:v>
      </x:c>
      <x:c r="D603" s="1">
        <x:f>'Входы H'!Q100</x:f>
        <x:v>0.29999999999999999</x:v>
      </x:c>
      <x:c r="E603" s="1">
        <x:f>IF(C603=D603,1,0)</x:f>
        <x:v>1</x:v>
      </x:c>
      <x:c r="F603" s="1"/>
      <x:c r="G603" s="1"/>
    </x:row>
    <x:row r="604" ht="26" customHeight="1">
      <x:c r="A604" s="1" t="str">
        <x:v>Входы H</x:v>
      </x:c>
      <x:c r="B604" s="1" t="str">
        <x:v>N101</x:v>
      </x:c>
      <x:c r="C604" s="1">
        <x:v>1.2</x:v>
      </x:c>
      <x:c r="D604" s="1">
        <x:f>'Входы H'!N101</x:f>
        <x:v>1.2</x:v>
      </x:c>
      <x:c r="E604" s="1">
        <x:f>IF(C604=D604,1,0)</x:f>
        <x:v>1</x:v>
      </x:c>
      <x:c r="F604" s="1"/>
      <x:c r="G604" s="1"/>
    </x:row>
    <x:row r="605" ht="26" customHeight="1">
      <x:c r="A605" s="1" t="str">
        <x:v>Входы H</x:v>
      </x:c>
      <x:c r="B605" s="1" t="str">
        <x:v>O101</x:v>
      </x:c>
      <x:c r="C605" s="1">
        <x:v>0.40000000000000002</x:v>
      </x:c>
      <x:c r="D605" s="1">
        <x:f>'Входы H'!O101</x:f>
        <x:v>0.40000000000000002</x:v>
      </x:c>
      <x:c r="E605" s="1">
        <x:f>IF(C605=D605,1,0)</x:f>
        <x:v>1</x:v>
      </x:c>
      <x:c r="F605" s="1"/>
      <x:c r="G605" s="1"/>
    </x:row>
    <x:row r="606" ht="26" customHeight="1">
      <x:c r="A606" s="1" t="str">
        <x:v>Входы H</x:v>
      </x:c>
      <x:c r="B606" s="1" t="str">
        <x:v>P101</x:v>
      </x:c>
      <x:c r="C606" s="1">
        <x:v>1</x:v>
      </x:c>
      <x:c r="D606" s="1">
        <x:f>'Входы H'!P101</x:f>
        <x:v>1</x:v>
      </x:c>
      <x:c r="E606" s="1">
        <x:f>IF(C606=D606,1,0)</x:f>
        <x:v>1</x:v>
      </x:c>
      <x:c r="F606" s="1"/>
      <x:c r="G606" s="1"/>
    </x:row>
    <x:row r="607" ht="26" customHeight="1">
      <x:c r="A607" s="1" t="str">
        <x:v>Входы H</x:v>
      </x:c>
      <x:c r="B607" s="1" t="str">
        <x:v>Q101</x:v>
      </x:c>
      <x:c r="C607" s="1">
        <x:v>0.5</x:v>
      </x:c>
      <x:c r="D607" s="1">
        <x:f>'Входы H'!Q101</x:f>
        <x:v>0.5</x:v>
      </x:c>
      <x:c r="E607" s="1">
        <x:f>IF(C607=D607,1,0)</x:f>
        <x:v>1</x:v>
      </x:c>
      <x:c r="F607" s="1"/>
      <x:c r="G607" s="1"/>
    </x:row>
    <x:row r="608" ht="26" customHeight="1">
      <x:c r="A608" s="1" t="str">
        <x:v>Входы H</x:v>
      </x:c>
      <x:c r="B608" s="1" t="str">
        <x:v>N102</x:v>
      </x:c>
      <x:c r="C608" s="1">
        <x:v>1.2</x:v>
      </x:c>
      <x:c r="D608" s="1">
        <x:f>'Входы H'!N102</x:f>
        <x:v>1.2</x:v>
      </x:c>
      <x:c r="E608" s="1">
        <x:f>IF(C608=D608,1,0)</x:f>
        <x:v>1</x:v>
      </x:c>
      <x:c r="F608" s="1"/>
      <x:c r="G608" s="1"/>
    </x:row>
    <x:row r="609" ht="26" customHeight="1">
      <x:c r="A609" s="1" t="str">
        <x:v>Входы H</x:v>
      </x:c>
      <x:c r="B609" s="1" t="str">
        <x:v>O102</x:v>
      </x:c>
      <x:c r="C609" s="1">
        <x:v>0.40000000000000002</x:v>
      </x:c>
      <x:c r="D609" s="1">
        <x:f>'Входы H'!O102</x:f>
        <x:v>0.40000000000000002</x:v>
      </x:c>
      <x:c r="E609" s="1">
        <x:f>IF(C609=D609,1,0)</x:f>
        <x:v>1</x:v>
      </x:c>
      <x:c r="F609" s="1"/>
      <x:c r="G609" s="1"/>
    </x:row>
    <x:row r="610" ht="26" customHeight="1">
      <x:c r="A610" s="1" t="str">
        <x:v>Входы H</x:v>
      </x:c>
      <x:c r="B610" s="1" t="str">
        <x:v>P102</x:v>
      </x:c>
      <x:c r="C610" s="1">
        <x:v>1</x:v>
      </x:c>
      <x:c r="D610" s="1">
        <x:f>'Входы H'!P102</x:f>
        <x:v>1</x:v>
      </x:c>
      <x:c r="E610" s="1">
        <x:f>IF(C610=D610,1,0)</x:f>
        <x:v>1</x:v>
      </x:c>
      <x:c r="F610" s="1"/>
      <x:c r="G610" s="1"/>
    </x:row>
    <x:row r="611" ht="26" customHeight="1">
      <x:c r="A611" s="1" t="str">
        <x:v>Входы H</x:v>
      </x:c>
      <x:c r="B611" s="1" t="str">
        <x:v>Q102</x:v>
      </x:c>
      <x:c r="C611" s="1">
        <x:v>0.5</x:v>
      </x:c>
      <x:c r="D611" s="1">
        <x:f>'Входы H'!Q102</x:f>
        <x:v>0.5</x:v>
      </x:c>
      <x:c r="E611" s="1">
        <x:f>IF(C611=D611,1,0)</x:f>
        <x:v>1</x:v>
      </x:c>
      <x:c r="F611" s="1"/>
      <x:c r="G611" s="1"/>
    </x:row>
    <x:row r="612" ht="26" customHeight="1">
      <x:c r="A612" s="1" t="str">
        <x:v>Входы H</x:v>
      </x:c>
      <x:c r="B612" s="1" t="str">
        <x:v>N103</x:v>
      </x:c>
      <x:c r="C612" s="1">
        <x:v>1.2</x:v>
      </x:c>
      <x:c r="D612" s="1">
        <x:f>'Входы H'!N103</x:f>
        <x:v>1.2</x:v>
      </x:c>
      <x:c r="E612" s="1">
        <x:f>IF(C612=D612,1,0)</x:f>
        <x:v>1</x:v>
      </x:c>
      <x:c r="F612" s="1"/>
      <x:c r="G612" s="1"/>
    </x:row>
    <x:row r="613" ht="26" customHeight="1">
      <x:c r="A613" s="1" t="str">
        <x:v>Входы H</x:v>
      </x:c>
      <x:c r="B613" s="1" t="str">
        <x:v>O103</x:v>
      </x:c>
      <x:c r="C613" s="1">
        <x:v>0.40000000000000002</x:v>
      </x:c>
      <x:c r="D613" s="1">
        <x:f>'Входы H'!O103</x:f>
        <x:v>0.40000000000000002</x:v>
      </x:c>
      <x:c r="E613" s="1">
        <x:f>IF(C613=D613,1,0)</x:f>
        <x:v>1</x:v>
      </x:c>
      <x:c r="F613" s="1"/>
      <x:c r="G613" s="1"/>
    </x:row>
    <x:row r="614" ht="26" customHeight="1">
      <x:c r="A614" s="1" t="str">
        <x:v>Входы H</x:v>
      </x:c>
      <x:c r="B614" s="1" t="str">
        <x:v>P103</x:v>
      </x:c>
      <x:c r="C614" s="1">
        <x:v>1</x:v>
      </x:c>
      <x:c r="D614" s="1">
        <x:f>'Входы H'!P103</x:f>
        <x:v>1</x:v>
      </x:c>
      <x:c r="E614" s="1">
        <x:f>IF(C614=D614,1,0)</x:f>
        <x:v>1</x:v>
      </x:c>
      <x:c r="F614" s="1"/>
      <x:c r="G614" s="1"/>
    </x:row>
    <x:row r="615" ht="26" customHeight="1">
      <x:c r="A615" s="1" t="str">
        <x:v>Входы H</x:v>
      </x:c>
      <x:c r="B615" s="1" t="str">
        <x:v>Q103</x:v>
      </x:c>
      <x:c r="C615" s="1">
        <x:v>0.5</x:v>
      </x:c>
      <x:c r="D615" s="1">
        <x:f>'Входы H'!Q103</x:f>
        <x:v>0.5</x:v>
      </x:c>
      <x:c r="E615" s="1">
        <x:f>IF(C615=D615,1,0)</x:f>
        <x:v>1</x:v>
      </x:c>
      <x:c r="F615" s="1"/>
      <x:c r="G615" s="1"/>
    </x:row>
    <x:row r="616" ht="26" customHeight="1">
      <x:c r="A616" s="1" t="str">
        <x:v>Входы H</x:v>
      </x:c>
      <x:c r="B616" s="1" t="str">
        <x:v>N104</x:v>
      </x:c>
      <x:c r="C616" s="1">
        <x:v>1.2</x:v>
      </x:c>
      <x:c r="D616" s="1">
        <x:f>'Входы H'!N104</x:f>
        <x:v>1.2</x:v>
      </x:c>
      <x:c r="E616" s="1">
        <x:f>IF(C616=D616,1,0)</x:f>
        <x:v>1</x:v>
      </x:c>
      <x:c r="F616" s="1"/>
      <x:c r="G616" s="1"/>
    </x:row>
    <x:row r="617" ht="26" customHeight="1">
      <x:c r="A617" s="1" t="str">
        <x:v>Входы H</x:v>
      </x:c>
      <x:c r="B617" s="1" t="str">
        <x:v>O104</x:v>
      </x:c>
      <x:c r="C617" s="1">
        <x:v>0.40000000000000002</x:v>
      </x:c>
      <x:c r="D617" s="1">
        <x:f>'Входы H'!O104</x:f>
        <x:v>0.40000000000000002</x:v>
      </x:c>
      <x:c r="E617" s="1">
        <x:f>IF(C617=D617,1,0)</x:f>
        <x:v>1</x:v>
      </x:c>
      <x:c r="F617" s="1"/>
      <x:c r="G617" s="1"/>
    </x:row>
    <x:row r="618" ht="26" customHeight="1">
      <x:c r="A618" s="1" t="str">
        <x:v>Входы H</x:v>
      </x:c>
      <x:c r="B618" s="1" t="str">
        <x:v>P104</x:v>
      </x:c>
      <x:c r="C618" s="1">
        <x:v>1</x:v>
      </x:c>
      <x:c r="D618" s="1">
        <x:f>'Входы H'!P104</x:f>
        <x:v>1</x:v>
      </x:c>
      <x:c r="E618" s="1">
        <x:f>IF(C618=D618,1,0)</x:f>
        <x:v>1</x:v>
      </x:c>
      <x:c r="F618" s="1"/>
      <x:c r="G618" s="1"/>
    </x:row>
    <x:row r="619" ht="26" customHeight="1">
      <x:c r="A619" s="1" t="str">
        <x:v>Входы H</x:v>
      </x:c>
      <x:c r="B619" s="1" t="str">
        <x:v>Q104</x:v>
      </x:c>
      <x:c r="C619" s="1">
        <x:v>0.5</x:v>
      </x:c>
      <x:c r="D619" s="1">
        <x:f>'Входы H'!Q104</x:f>
        <x:v>0.5</x:v>
      </x:c>
      <x:c r="E619" s="1">
        <x:f>IF(C619=D619,1,0)</x:f>
        <x:v>1</x:v>
      </x:c>
      <x:c r="F619" s="1"/>
      <x:c r="G619" s="1"/>
    </x:row>
    <x:row r="620" ht="26" customHeight="1">
      <x:c r="A620" s="1" t="str">
        <x:v>Входы H</x:v>
      </x:c>
      <x:c r="B620" s="1" t="str">
        <x:v>N105</x:v>
      </x:c>
      <x:c r="C620" s="1">
        <x:v>1.5</x:v>
      </x:c>
      <x:c r="D620" s="1">
        <x:f>'Входы H'!N105</x:f>
        <x:v>1.5</x:v>
      </x:c>
      <x:c r="E620" s="1">
        <x:f>IF(C620=D620,1,0)</x:f>
        <x:v>1</x:v>
      </x:c>
      <x:c r="F620" s="1"/>
      <x:c r="G620" s="1"/>
    </x:row>
    <x:row r="621" ht="26" customHeight="1">
      <x:c r="A621" s="1" t="str">
        <x:v>Входы H</x:v>
      </x:c>
      <x:c r="B621" s="1" t="str">
        <x:v>O105</x:v>
      </x:c>
      <x:c r="C621" s="1">
        <x:v>0.20000000000000001</x:v>
      </x:c>
      <x:c r="D621" s="1">
        <x:f>'Входы H'!O105</x:f>
        <x:v>0.20000000000000001</x:v>
      </x:c>
      <x:c r="E621" s="1">
        <x:f>IF(C621=D621,1,0)</x:f>
        <x:v>1</x:v>
      </x:c>
      <x:c r="F621" s="1"/>
      <x:c r="G621" s="1"/>
    </x:row>
    <x:row r="622" ht="26" customHeight="1">
      <x:c r="A622" s="1" t="str">
        <x:v>Входы H</x:v>
      </x:c>
      <x:c r="B622" s="1" t="str">
        <x:v>P105</x:v>
      </x:c>
      <x:c r="C622" s="1">
        <x:v>1</x:v>
      </x:c>
      <x:c r="D622" s="1">
        <x:f>'Входы H'!P105</x:f>
        <x:v>1</x:v>
      </x:c>
      <x:c r="E622" s="1">
        <x:f>IF(C622=D622,1,0)</x:f>
        <x:v>1</x:v>
      </x:c>
      <x:c r="F622" s="1"/>
      <x:c r="G622" s="1"/>
    </x:row>
    <x:row r="623" ht="26" customHeight="1">
      <x:c r="A623" s="1" t="str">
        <x:v>Входы H</x:v>
      </x:c>
      <x:c r="B623" s="1" t="str">
        <x:v>Q105</x:v>
      </x:c>
      <x:c r="C623" s="1">
        <x:v>0.29999999999999999</x:v>
      </x:c>
      <x:c r="D623" s="1">
        <x:f>'Входы H'!Q105</x:f>
        <x:v>0.29999999999999999</x:v>
      </x:c>
      <x:c r="E623" s="1">
        <x:f>IF(C623=D623,1,0)</x:f>
        <x:v>1</x:v>
      </x:c>
      <x:c r="F623" s="1"/>
      <x:c r="G623" s="1"/>
    </x:row>
    <x:row r="624" ht="26" customHeight="1">
      <x:c r="A624" s="1" t="str">
        <x:v>Входы H</x:v>
      </x:c>
      <x:c r="B624" s="1" t="str">
        <x:v>N106</x:v>
      </x:c>
      <x:c r="C624" s="1">
        <x:v>1.5</x:v>
      </x:c>
      <x:c r="D624" s="1">
        <x:f>'Входы H'!N106</x:f>
        <x:v>1.5</x:v>
      </x:c>
      <x:c r="E624" s="1">
        <x:f>IF(C624=D624,1,0)</x:f>
        <x:v>1</x:v>
      </x:c>
      <x:c r="F624" s="1"/>
      <x:c r="G624" s="1"/>
    </x:row>
    <x:row r="625" ht="26" customHeight="1">
      <x:c r="A625" s="1" t="str">
        <x:v>Входы H</x:v>
      </x:c>
      <x:c r="B625" s="1" t="str">
        <x:v>O106</x:v>
      </x:c>
      <x:c r="C625" s="1">
        <x:v>0.20000000000000001</x:v>
      </x:c>
      <x:c r="D625" s="1">
        <x:f>'Входы H'!O106</x:f>
        <x:v>0.20000000000000001</x:v>
      </x:c>
      <x:c r="E625" s="1">
        <x:f>IF(C625=D625,1,0)</x:f>
        <x:v>1</x:v>
      </x:c>
      <x:c r="F625" s="1"/>
      <x:c r="G625" s="1"/>
    </x:row>
    <x:row r="626" ht="26" customHeight="1">
      <x:c r="A626" s="1" t="str">
        <x:v>Входы H</x:v>
      </x:c>
      <x:c r="B626" s="1" t="str">
        <x:v>P106</x:v>
      </x:c>
      <x:c r="C626" s="1">
        <x:v>1</x:v>
      </x:c>
      <x:c r="D626" s="1">
        <x:f>'Входы H'!P106</x:f>
        <x:v>1</x:v>
      </x:c>
      <x:c r="E626" s="1">
        <x:f>IF(C626=D626,1,0)</x:f>
        <x:v>1</x:v>
      </x:c>
      <x:c r="F626" s="1"/>
      <x:c r="G626" s="1"/>
    </x:row>
    <x:row r="627" ht="26" customHeight="1">
      <x:c r="A627" s="1" t="str">
        <x:v>Входы H</x:v>
      </x:c>
      <x:c r="B627" s="1" t="str">
        <x:v>Q106</x:v>
      </x:c>
      <x:c r="C627" s="1">
        <x:v>0.29999999999999999</x:v>
      </x:c>
      <x:c r="D627" s="1">
        <x:f>'Входы H'!Q106</x:f>
        <x:v>0.29999999999999999</x:v>
      </x:c>
      <x:c r="E627" s="1">
        <x:f>IF(C627=D627,1,0)</x:f>
        <x:v>1</x:v>
      </x:c>
      <x:c r="F627" s="1"/>
      <x:c r="G627" s="1"/>
    </x:row>
    <x:row r="628" ht="26" customHeight="1">
      <x:c r="A628" s="1" t="str">
        <x:v>Входы H</x:v>
      </x:c>
      <x:c r="B628" s="1" t="str">
        <x:v>N107</x:v>
      </x:c>
      <x:c r="C628" s="1">
        <x:v>1.5</x:v>
      </x:c>
      <x:c r="D628" s="1">
        <x:f>'Входы H'!N107</x:f>
        <x:v>1.5</x:v>
      </x:c>
      <x:c r="E628" s="1">
        <x:f>IF(C628=D628,1,0)</x:f>
        <x:v>1</x:v>
      </x:c>
      <x:c r="F628" s="1"/>
      <x:c r="G628" s="1"/>
    </x:row>
    <x:row r="629" ht="26" customHeight="1">
      <x:c r="A629" s="1" t="str">
        <x:v>Входы H</x:v>
      </x:c>
      <x:c r="B629" s="1" t="str">
        <x:v>O107</x:v>
      </x:c>
      <x:c r="C629" s="1">
        <x:v>0.20000000000000001</x:v>
      </x:c>
      <x:c r="D629" s="1">
        <x:f>'Входы H'!O107</x:f>
        <x:v>0.20000000000000001</x:v>
      </x:c>
      <x:c r="E629" s="1">
        <x:f>IF(C629=D629,1,0)</x:f>
        <x:v>1</x:v>
      </x:c>
      <x:c r="F629" s="1"/>
      <x:c r="G629" s="1"/>
    </x:row>
    <x:row r="630" ht="26" customHeight="1">
      <x:c r="A630" s="1" t="str">
        <x:v>Входы H</x:v>
      </x:c>
      <x:c r="B630" s="1" t="str">
        <x:v>P107</x:v>
      </x:c>
      <x:c r="C630" s="1">
        <x:v>1</x:v>
      </x:c>
      <x:c r="D630" s="1">
        <x:f>'Входы H'!P107</x:f>
        <x:v>1</x:v>
      </x:c>
      <x:c r="E630" s="1">
        <x:f>IF(C630=D630,1,0)</x:f>
        <x:v>1</x:v>
      </x:c>
      <x:c r="F630" s="1"/>
      <x:c r="G630" s="1"/>
    </x:row>
    <x:row r="631" ht="26" customHeight="1">
      <x:c r="A631" s="1" t="str">
        <x:v>Входы H</x:v>
      </x:c>
      <x:c r="B631" s="1" t="str">
        <x:v>Q107</x:v>
      </x:c>
      <x:c r="C631" s="1">
        <x:v>0.29999999999999999</x:v>
      </x:c>
      <x:c r="D631" s="1">
        <x:f>'Входы H'!Q107</x:f>
        <x:v>0.29999999999999999</x:v>
      </x:c>
      <x:c r="E631" s="1">
        <x:f>IF(C631=D631,1,0)</x:f>
        <x:v>1</x:v>
      </x:c>
      <x:c r="F631" s="1"/>
      <x:c r="G631" s="1"/>
    </x:row>
    <x:row r="632" ht="26" customHeight="1">
      <x:c r="A632" s="1" t="str">
        <x:v>Входы H</x:v>
      </x:c>
      <x:c r="B632" s="1" t="str">
        <x:v>N108</x:v>
      </x:c>
      <x:c r="C632" s="1">
        <x:v>1.5</x:v>
      </x:c>
      <x:c r="D632" s="1">
        <x:f>'Входы H'!N108</x:f>
        <x:v>1.5</x:v>
      </x:c>
      <x:c r="E632" s="1">
        <x:f>IF(C632=D632,1,0)</x:f>
        <x:v>1</x:v>
      </x:c>
      <x:c r="F632" s="1"/>
      <x:c r="G632" s="1"/>
    </x:row>
    <x:row r="633" ht="26" customHeight="1">
      <x:c r="A633" s="1" t="str">
        <x:v>Входы H</x:v>
      </x:c>
      <x:c r="B633" s="1" t="str">
        <x:v>O108</x:v>
      </x:c>
      <x:c r="C633" s="1">
        <x:v>0.20000000000000001</x:v>
      </x:c>
      <x:c r="D633" s="1">
        <x:f>'Входы H'!O108</x:f>
        <x:v>0.20000000000000001</x:v>
      </x:c>
      <x:c r="E633" s="1">
        <x:f>IF(C633=D633,1,0)</x:f>
        <x:v>1</x:v>
      </x:c>
      <x:c r="F633" s="1"/>
      <x:c r="G633" s="1"/>
    </x:row>
    <x:row r="634" ht="26" customHeight="1">
      <x:c r="A634" s="1" t="str">
        <x:v>Входы H</x:v>
      </x:c>
      <x:c r="B634" s="1" t="str">
        <x:v>P108</x:v>
      </x:c>
      <x:c r="C634" s="1">
        <x:v>1</x:v>
      </x:c>
      <x:c r="D634" s="1">
        <x:f>'Входы H'!P108</x:f>
        <x:v>1</x:v>
      </x:c>
      <x:c r="E634" s="1">
        <x:f>IF(C634=D634,1,0)</x:f>
        <x:v>1</x:v>
      </x:c>
      <x:c r="F634" s="1"/>
      <x:c r="G634" s="1"/>
    </x:row>
    <x:row r="635" ht="26" customHeight="1">
      <x:c r="A635" s="1" t="str">
        <x:v>Входы H</x:v>
      </x:c>
      <x:c r="B635" s="1" t="str">
        <x:v>Q108</x:v>
      </x:c>
      <x:c r="C635" s="1">
        <x:v>0.29999999999999999</x:v>
      </x:c>
      <x:c r="D635" s="1">
        <x:f>'Входы H'!Q108</x:f>
        <x:v>0.29999999999999999</x:v>
      </x:c>
      <x:c r="E635" s="1">
        <x:f>IF(C635=D635,1,0)</x:f>
        <x:v>1</x:v>
      </x:c>
      <x:c r="F635" s="1"/>
      <x:c r="G635" s="1"/>
    </x:row>
    <x:row r="636" ht="26" customHeight="1">
      <x:c r="A636" s="1" t="str">
        <x:v>Входы H</x:v>
      </x:c>
      <x:c r="B636" s="1" t="str">
        <x:v>N109</x:v>
      </x:c>
      <x:c r="C636" s="1">
        <x:v>1.5</x:v>
      </x:c>
      <x:c r="D636" s="1">
        <x:f>'Входы H'!N109</x:f>
        <x:v>1.5</x:v>
      </x:c>
      <x:c r="E636" s="1">
        <x:f>IF(C636=D636,1,0)</x:f>
        <x:v>1</x:v>
      </x:c>
      <x:c r="F636" s="1"/>
      <x:c r="G636" s="1"/>
    </x:row>
    <x:row r="637" ht="26" customHeight="1">
      <x:c r="A637" s="1" t="str">
        <x:v>Входы H</x:v>
      </x:c>
      <x:c r="B637" s="1" t="str">
        <x:v>O109</x:v>
      </x:c>
      <x:c r="C637" s="1">
        <x:v>0.20000000000000001</x:v>
      </x:c>
      <x:c r="D637" s="1">
        <x:f>'Входы H'!O109</x:f>
        <x:v>0.20000000000000001</x:v>
      </x:c>
      <x:c r="E637" s="1">
        <x:f>IF(C637=D637,1,0)</x:f>
        <x:v>1</x:v>
      </x:c>
      <x:c r="F637" s="1"/>
      <x:c r="G637" s="1"/>
    </x:row>
    <x:row r="638" ht="26" customHeight="1">
      <x:c r="A638" s="1" t="str">
        <x:v>Входы H</x:v>
      </x:c>
      <x:c r="B638" s="1" t="str">
        <x:v>P109</x:v>
      </x:c>
      <x:c r="C638" s="1">
        <x:v>1</x:v>
      </x:c>
      <x:c r="D638" s="1">
        <x:f>'Входы H'!P109</x:f>
        <x:v>1</x:v>
      </x:c>
      <x:c r="E638" s="1">
        <x:f>IF(C638=D638,1,0)</x:f>
        <x:v>1</x:v>
      </x:c>
      <x:c r="F638" s="1"/>
      <x:c r="G638" s="1"/>
    </x:row>
    <x:row r="639" ht="26" customHeight="1">
      <x:c r="A639" s="1" t="str">
        <x:v>Входы H</x:v>
      </x:c>
      <x:c r="B639" s="1" t="str">
        <x:v>Q109</x:v>
      </x:c>
      <x:c r="C639" s="1">
        <x:v>0.29999999999999999</x:v>
      </x:c>
      <x:c r="D639" s="1">
        <x:f>'Входы H'!Q109</x:f>
        <x:v>0.29999999999999999</x:v>
      </x:c>
      <x:c r="E639" s="1">
        <x:f>IF(C639=D639,1,0)</x:f>
        <x:v>1</x:v>
      </x:c>
      <x:c r="F639" s="1"/>
      <x:c r="G639" s="1"/>
    </x:row>
    <x:row r="640" ht="26" customHeight="1">
      <x:c r="A640" s="1" t="str">
        <x:v>Входы H</x:v>
      </x:c>
      <x:c r="B640" s="1" t="str">
        <x:v>N110</x:v>
      </x:c>
      <x:c r="C640" s="1">
        <x:v>1.5</x:v>
      </x:c>
      <x:c r="D640" s="1">
        <x:f>'Входы H'!N110</x:f>
        <x:v>1.5</x:v>
      </x:c>
      <x:c r="E640" s="1">
        <x:f>IF(C640=D640,1,0)</x:f>
        <x:v>1</x:v>
      </x:c>
      <x:c r="F640" s="1"/>
      <x:c r="G640" s="1"/>
    </x:row>
    <x:row r="641" ht="26" customHeight="1">
      <x:c r="A641" s="1" t="str">
        <x:v>Входы H</x:v>
      </x:c>
      <x:c r="B641" s="1" t="str">
        <x:v>O110</x:v>
      </x:c>
      <x:c r="C641" s="1">
        <x:v>0.20000000000000001</x:v>
      </x:c>
      <x:c r="D641" s="1">
        <x:f>'Входы H'!O110</x:f>
        <x:v>0.20000000000000001</x:v>
      </x:c>
      <x:c r="E641" s="1">
        <x:f>IF(C641=D641,1,0)</x:f>
        <x:v>1</x:v>
      </x:c>
      <x:c r="F641" s="1"/>
      <x:c r="G641" s="1"/>
    </x:row>
    <x:row r="642" ht="26" customHeight="1">
      <x:c r="A642" s="1" t="str">
        <x:v>Входы H</x:v>
      </x:c>
      <x:c r="B642" s="1" t="str">
        <x:v>P110</x:v>
      </x:c>
      <x:c r="C642" s="1">
        <x:v>1</x:v>
      </x:c>
      <x:c r="D642" s="1">
        <x:f>'Входы H'!P110</x:f>
        <x:v>1</x:v>
      </x:c>
      <x:c r="E642" s="1">
        <x:f>IF(C642=D642,1,0)</x:f>
        <x:v>1</x:v>
      </x:c>
      <x:c r="F642" s="1"/>
      <x:c r="G642" s="1"/>
    </x:row>
    <x:row r="643" ht="26" customHeight="1">
      <x:c r="A643" s="1" t="str">
        <x:v>Входы H</x:v>
      </x:c>
      <x:c r="B643" s="1" t="str">
        <x:v>Q110</x:v>
      </x:c>
      <x:c r="C643" s="1">
        <x:v>0.29999999999999999</x:v>
      </x:c>
      <x:c r="D643" s="1">
        <x:f>'Входы H'!Q110</x:f>
        <x:v>0.29999999999999999</x:v>
      </x:c>
      <x:c r="E643" s="1">
        <x:f>IF(C643=D643,1,0)</x:f>
        <x:v>1</x:v>
      </x:c>
      <x:c r="F643" s="1"/>
      <x:c r="G643" s="1"/>
    </x:row>
    <x:row r="644" ht="26" customHeight="1">
      <x:c r="A644" s="1" t="str">
        <x:v>Входы H</x:v>
      </x:c>
      <x:c r="B644" s="1" t="str">
        <x:v>N111</x:v>
      </x:c>
      <x:c r="C644" s="1">
        <x:v>1.5</x:v>
      </x:c>
      <x:c r="D644" s="1">
        <x:f>'Входы H'!N111</x:f>
        <x:v>1.5</x:v>
      </x:c>
      <x:c r="E644" s="1">
        <x:f>IF(C644=D644,1,0)</x:f>
        <x:v>1</x:v>
      </x:c>
      <x:c r="F644" s="1"/>
      <x:c r="G644" s="1"/>
    </x:row>
    <x:row r="645" ht="26" customHeight="1">
      <x:c r="A645" s="1" t="str">
        <x:v>Входы H</x:v>
      </x:c>
      <x:c r="B645" s="1" t="str">
        <x:v>O111</x:v>
      </x:c>
      <x:c r="C645" s="1">
        <x:v>0.20000000000000001</x:v>
      </x:c>
      <x:c r="D645" s="1">
        <x:f>'Входы H'!O111</x:f>
        <x:v>0.20000000000000001</x:v>
      </x:c>
      <x:c r="E645" s="1">
        <x:f>IF(C645=D645,1,0)</x:f>
        <x:v>1</x:v>
      </x:c>
      <x:c r="F645" s="1"/>
      <x:c r="G645" s="1"/>
    </x:row>
    <x:row r="646" ht="26" customHeight="1">
      <x:c r="A646" s="1" t="str">
        <x:v>Входы H</x:v>
      </x:c>
      <x:c r="B646" s="1" t="str">
        <x:v>P111</x:v>
      </x:c>
      <x:c r="C646" s="1">
        <x:v>1</x:v>
      </x:c>
      <x:c r="D646" s="1">
        <x:f>'Входы H'!P111</x:f>
        <x:v>1</x:v>
      </x:c>
      <x:c r="E646" s="1">
        <x:f>IF(C646=D646,1,0)</x:f>
        <x:v>1</x:v>
      </x:c>
      <x:c r="F646" s="1"/>
      <x:c r="G646" s="1"/>
    </x:row>
    <x:row r="647" ht="26" customHeight="1">
      <x:c r="A647" s="1" t="str">
        <x:v>Входы H</x:v>
      </x:c>
      <x:c r="B647" s="1" t="str">
        <x:v>Q111</x:v>
      </x:c>
      <x:c r="C647" s="1">
        <x:v>0.29999999999999999</x:v>
      </x:c>
      <x:c r="D647" s="1">
        <x:f>'Входы H'!Q111</x:f>
        <x:v>0.29999999999999999</x:v>
      </x:c>
      <x:c r="E647" s="1">
        <x:f>IF(C647=D647,1,0)</x:f>
        <x:v>1</x:v>
      </x:c>
      <x:c r="F647" s="1"/>
      <x:c r="G647" s="1"/>
    </x:row>
    <x:row r="648" ht="26" customHeight="1">
      <x:c r="A648" s="1" t="str">
        <x:v>Входы H</x:v>
      </x:c>
      <x:c r="B648" s="1" t="str">
        <x:v>N112</x:v>
      </x:c>
      <x:c r="C648" s="1">
        <x:v>1.5</x:v>
      </x:c>
      <x:c r="D648" s="1">
        <x:f>'Входы H'!N112</x:f>
        <x:v>1.5</x:v>
      </x:c>
      <x:c r="E648" s="1">
        <x:f>IF(C648=D648,1,0)</x:f>
        <x:v>1</x:v>
      </x:c>
      <x:c r="F648" s="1"/>
      <x:c r="G648" s="1"/>
    </x:row>
    <x:row r="649" ht="26" customHeight="1">
      <x:c r="A649" s="1" t="str">
        <x:v>Входы H</x:v>
      </x:c>
      <x:c r="B649" s="1" t="str">
        <x:v>O112</x:v>
      </x:c>
      <x:c r="C649" s="1">
        <x:v>0.20000000000000001</x:v>
      </x:c>
      <x:c r="D649" s="1">
        <x:f>'Входы H'!O112</x:f>
        <x:v>0.20000000000000001</x:v>
      </x:c>
      <x:c r="E649" s="1">
        <x:f>IF(C649=D649,1,0)</x:f>
        <x:v>1</x:v>
      </x:c>
      <x:c r="F649" s="1"/>
      <x:c r="G649" s="1"/>
    </x:row>
    <x:row r="650" ht="26" customHeight="1">
      <x:c r="A650" s="1" t="str">
        <x:v>Входы H</x:v>
      </x:c>
      <x:c r="B650" s="1" t="str">
        <x:v>P112</x:v>
      </x:c>
      <x:c r="C650" s="1">
        <x:v>1</x:v>
      </x:c>
      <x:c r="D650" s="1">
        <x:f>'Входы H'!P112</x:f>
        <x:v>1</x:v>
      </x:c>
      <x:c r="E650" s="1">
        <x:f>IF(C650=D650,1,0)</x:f>
        <x:v>1</x:v>
      </x:c>
      <x:c r="F650" s="1"/>
      <x:c r="G650" s="1"/>
    </x:row>
    <x:row r="651" ht="26" customHeight="1">
      <x:c r="A651" s="1" t="str">
        <x:v>Входы H</x:v>
      </x:c>
      <x:c r="B651" s="1" t="str">
        <x:v>Q112</x:v>
      </x:c>
      <x:c r="C651" s="1">
        <x:v>0.29999999999999999</x:v>
      </x:c>
      <x:c r="D651" s="1">
        <x:f>'Входы H'!Q112</x:f>
        <x:v>0.29999999999999999</x:v>
      </x:c>
      <x:c r="E651" s="1">
        <x:f>IF(C651=D651,1,0)</x:f>
        <x:v>1</x:v>
      </x:c>
      <x:c r="F651" s="1"/>
      <x:c r="G651" s="1"/>
    </x:row>
    <x:row r="652" ht="26" customHeight="1">
      <x:c r="A652" s="1" t="str">
        <x:v>Входы H</x:v>
      </x:c>
      <x:c r="B652" s="1" t="str">
        <x:v>N113</x:v>
      </x:c>
      <x:c r="C652" s="1">
        <x:v>1.5</x:v>
      </x:c>
      <x:c r="D652" s="1">
        <x:f>'Входы H'!N113</x:f>
        <x:v>1.5</x:v>
      </x:c>
      <x:c r="E652" s="1">
        <x:f>IF(C652=D652,1,0)</x:f>
        <x:v>1</x:v>
      </x:c>
      <x:c r="F652" s="1"/>
      <x:c r="G652" s="1"/>
    </x:row>
    <x:row r="653" ht="26" customHeight="1">
      <x:c r="A653" s="1" t="str">
        <x:v>Входы H</x:v>
      </x:c>
      <x:c r="B653" s="1" t="str">
        <x:v>O113</x:v>
      </x:c>
      <x:c r="C653" s="1">
        <x:v>0.20000000000000001</x:v>
      </x:c>
      <x:c r="D653" s="1">
        <x:f>'Входы H'!O113</x:f>
        <x:v>0.20000000000000001</x:v>
      </x:c>
      <x:c r="E653" s="1">
        <x:f>IF(C653=D653,1,0)</x:f>
        <x:v>1</x:v>
      </x:c>
      <x:c r="F653" s="1"/>
      <x:c r="G653" s="1"/>
    </x:row>
    <x:row r="654" ht="26" customHeight="1">
      <x:c r="A654" s="1" t="str">
        <x:v>Входы H</x:v>
      </x:c>
      <x:c r="B654" s="1" t="str">
        <x:v>P113</x:v>
      </x:c>
      <x:c r="C654" s="1">
        <x:v>1</x:v>
      </x:c>
      <x:c r="D654" s="1">
        <x:f>'Входы H'!P113</x:f>
        <x:v>1</x:v>
      </x:c>
      <x:c r="E654" s="1">
        <x:f>IF(C654=D654,1,0)</x:f>
        <x:v>1</x:v>
      </x:c>
      <x:c r="F654" s="1"/>
      <x:c r="G654" s="1"/>
    </x:row>
    <x:row r="655" ht="26" customHeight="1">
      <x:c r="A655" s="1" t="str">
        <x:v>Входы H</x:v>
      </x:c>
      <x:c r="B655" s="1" t="str">
        <x:v>Q113</x:v>
      </x:c>
      <x:c r="C655" s="1">
        <x:v>0.29999999999999999</x:v>
      </x:c>
      <x:c r="D655" s="1">
        <x:f>'Входы H'!Q113</x:f>
        <x:v>0.29999999999999999</x:v>
      </x:c>
      <x:c r="E655" s="1">
        <x:f>IF(C655=D655,1,0)</x:f>
        <x:v>1</x:v>
      </x:c>
      <x:c r="F655" s="1"/>
      <x:c r="G655" s="1"/>
    </x:row>
    <x:row r="656" ht="26" customHeight="1">
      <x:c r="A656" s="1" t="str">
        <x:v>Входы H</x:v>
      </x:c>
      <x:c r="B656" s="1" t="str">
        <x:v>N114</x:v>
      </x:c>
      <x:c r="C656" s="1">
        <x:v>1.5</x:v>
      </x:c>
      <x:c r="D656" s="1">
        <x:f>'Входы H'!N114</x:f>
        <x:v>1.5</x:v>
      </x:c>
      <x:c r="E656" s="1">
        <x:f>IF(C656=D656,1,0)</x:f>
        <x:v>1</x:v>
      </x:c>
      <x:c r="F656" s="1"/>
      <x:c r="G656" s="1"/>
    </x:row>
    <x:row r="657" ht="26" customHeight="1">
      <x:c r="A657" s="1" t="str">
        <x:v>Входы H</x:v>
      </x:c>
      <x:c r="B657" s="1" t="str">
        <x:v>O114</x:v>
      </x:c>
      <x:c r="C657" s="1">
        <x:v>0.20000000000000001</x:v>
      </x:c>
      <x:c r="D657" s="1">
        <x:f>'Входы H'!O114</x:f>
        <x:v>0.20000000000000001</x:v>
      </x:c>
      <x:c r="E657" s="1">
        <x:f>IF(C657=D657,1,0)</x:f>
        <x:v>1</x:v>
      </x:c>
      <x:c r="F657" s="1"/>
      <x:c r="G657" s="1"/>
    </x:row>
    <x:row r="658" ht="26" customHeight="1">
      <x:c r="A658" s="1" t="str">
        <x:v>Входы H</x:v>
      </x:c>
      <x:c r="B658" s="1" t="str">
        <x:v>P114</x:v>
      </x:c>
      <x:c r="C658" s="1">
        <x:v>1</x:v>
      </x:c>
      <x:c r="D658" s="1">
        <x:f>'Входы H'!P114</x:f>
        <x:v>1</x:v>
      </x:c>
      <x:c r="E658" s="1">
        <x:f>IF(C658=D658,1,0)</x:f>
        <x:v>1</x:v>
      </x:c>
      <x:c r="F658" s="1"/>
      <x:c r="G658" s="1"/>
    </x:row>
    <x:row r="659" ht="26" customHeight="1">
      <x:c r="A659" s="1" t="str">
        <x:v>Входы H</x:v>
      </x:c>
      <x:c r="B659" s="1" t="str">
        <x:v>Q114</x:v>
      </x:c>
      <x:c r="C659" s="1">
        <x:v>0.29999999999999999</x:v>
      </x:c>
      <x:c r="D659" s="1">
        <x:f>'Входы H'!Q114</x:f>
        <x:v>0.29999999999999999</x:v>
      </x:c>
      <x:c r="E659" s="1">
        <x:f>IF(C659=D659,1,0)</x:f>
        <x:v>1</x:v>
      </x:c>
      <x:c r="F659" s="1"/>
      <x:c r="G659" s="1"/>
    </x:row>
    <x:row r="660" ht="26" customHeight="1">
      <x:c r="A660" s="1" t="str">
        <x:v>Входы H</x:v>
      </x:c>
      <x:c r="B660" s="1" t="str">
        <x:v>N115</x:v>
      </x:c>
      <x:c r="C660" s="1">
        <x:v>1.5</x:v>
      </x:c>
      <x:c r="D660" s="1">
        <x:f>'Входы H'!N115</x:f>
        <x:v>1.5</x:v>
      </x:c>
      <x:c r="E660" s="1">
        <x:f>IF(C660=D660,1,0)</x:f>
        <x:v>1</x:v>
      </x:c>
      <x:c r="F660" s="1"/>
      <x:c r="G660" s="1"/>
    </x:row>
    <x:row r="661" ht="26" customHeight="1">
      <x:c r="A661" s="1" t="str">
        <x:v>Входы H</x:v>
      </x:c>
      <x:c r="B661" s="1" t="str">
        <x:v>O115</x:v>
      </x:c>
      <x:c r="C661" s="1">
        <x:v>0.20000000000000001</x:v>
      </x:c>
      <x:c r="D661" s="1">
        <x:f>'Входы H'!O115</x:f>
        <x:v>0.20000000000000001</x:v>
      </x:c>
      <x:c r="E661" s="1">
        <x:f>IF(C661=D661,1,0)</x:f>
        <x:v>1</x:v>
      </x:c>
      <x:c r="F661" s="1"/>
      <x:c r="G661" s="1"/>
    </x:row>
    <x:row r="662" ht="26" customHeight="1">
      <x:c r="A662" s="1" t="str">
        <x:v>Входы H</x:v>
      </x:c>
      <x:c r="B662" s="1" t="str">
        <x:v>P115</x:v>
      </x:c>
      <x:c r="C662" s="1">
        <x:v>1</x:v>
      </x:c>
      <x:c r="D662" s="1">
        <x:f>'Входы H'!P115</x:f>
        <x:v>1</x:v>
      </x:c>
      <x:c r="E662" s="1">
        <x:f>IF(C662=D662,1,0)</x:f>
        <x:v>1</x:v>
      </x:c>
      <x:c r="F662" s="1"/>
      <x:c r="G662" s="1"/>
    </x:row>
    <x:row r="663" ht="26" customHeight="1">
      <x:c r="A663" s="1" t="str">
        <x:v>Входы H</x:v>
      </x:c>
      <x:c r="B663" s="1" t="str">
        <x:v>Q115</x:v>
      </x:c>
      <x:c r="C663" s="1">
        <x:v>0.29999999999999999</x:v>
      </x:c>
      <x:c r="D663" s="1">
        <x:f>'Входы H'!Q115</x:f>
        <x:v>0.29999999999999999</x:v>
      </x:c>
      <x:c r="E663" s="1">
        <x:f>IF(C663=D663,1,0)</x:f>
        <x:v>1</x:v>
      </x:c>
      <x:c r="F663" s="1"/>
      <x:c r="G663" s="1"/>
    </x:row>
    <x:row r="664" ht="26" customHeight="1">
      <x:c r="A664" s="1" t="str">
        <x:v>Входы H</x:v>
      </x:c>
      <x:c r="B664" s="1" t="str">
        <x:v>N116</x:v>
      </x:c>
      <x:c r="C664" s="1">
        <x:v>1.5</x:v>
      </x:c>
      <x:c r="D664" s="1">
        <x:f>'Входы H'!N116</x:f>
        <x:v>1.5</x:v>
      </x:c>
      <x:c r="E664" s="1">
        <x:f>IF(C664=D664,1,0)</x:f>
        <x:v>1</x:v>
      </x:c>
      <x:c r="F664" s="1"/>
      <x:c r="G664" s="1"/>
    </x:row>
    <x:row r="665" ht="26" customHeight="1">
      <x:c r="A665" s="1" t="str">
        <x:v>Входы H</x:v>
      </x:c>
      <x:c r="B665" s="1" t="str">
        <x:v>O116</x:v>
      </x:c>
      <x:c r="C665" s="1">
        <x:v>0.20000000000000001</x:v>
      </x:c>
      <x:c r="D665" s="1">
        <x:f>'Входы H'!O116</x:f>
        <x:v>0.20000000000000001</x:v>
      </x:c>
      <x:c r="E665" s="1">
        <x:f>IF(C665=D665,1,0)</x:f>
        <x:v>1</x:v>
      </x:c>
      <x:c r="F665" s="1"/>
      <x:c r="G665" s="1"/>
    </x:row>
    <x:row r="666" ht="26" customHeight="1">
      <x:c r="A666" s="1" t="str">
        <x:v>Входы H</x:v>
      </x:c>
      <x:c r="B666" s="1" t="str">
        <x:v>P116</x:v>
      </x:c>
      <x:c r="C666" s="1">
        <x:v>1</x:v>
      </x:c>
      <x:c r="D666" s="1">
        <x:f>'Входы H'!P116</x:f>
        <x:v>1</x:v>
      </x:c>
      <x:c r="E666" s="1">
        <x:f>IF(C666=D666,1,0)</x:f>
        <x:v>1</x:v>
      </x:c>
      <x:c r="F666" s="1"/>
      <x:c r="G666" s="1"/>
    </x:row>
    <x:row r="667" ht="26" customHeight="1">
      <x:c r="A667" s="1" t="str">
        <x:v>Входы H</x:v>
      </x:c>
      <x:c r="B667" s="1" t="str">
        <x:v>Q116</x:v>
      </x:c>
      <x:c r="C667" s="1">
        <x:v>0.29999999999999999</x:v>
      </x:c>
      <x:c r="D667" s="1">
        <x:f>'Входы H'!Q116</x:f>
        <x:v>0.29999999999999999</x:v>
      </x:c>
      <x:c r="E667" s="1">
        <x:f>IF(C667=D667,1,0)</x:f>
        <x:v>1</x:v>
      </x:c>
      <x:c r="F667" s="1"/>
      <x:c r="G667" s="1"/>
    </x:row>
    <x:row r="668" ht="26" customHeight="1">
      <x:c r="A668" s="1" t="str">
        <x:v>Входы H</x:v>
      </x:c>
      <x:c r="B668" s="1" t="str">
        <x:v>N117</x:v>
      </x:c>
      <x:c r="C668" s="1">
        <x:v>1.5</x:v>
      </x:c>
      <x:c r="D668" s="1">
        <x:f>'Входы H'!N117</x:f>
        <x:v>1.5</x:v>
      </x:c>
      <x:c r="E668" s="1">
        <x:f>IF(C668=D668,1,0)</x:f>
        <x:v>1</x:v>
      </x:c>
      <x:c r="F668" s="1"/>
      <x:c r="G668" s="1"/>
    </x:row>
    <x:row r="669" ht="26" customHeight="1">
      <x:c r="A669" s="1" t="str">
        <x:v>Входы H</x:v>
      </x:c>
      <x:c r="B669" s="1" t="str">
        <x:v>O117</x:v>
      </x:c>
      <x:c r="C669" s="1">
        <x:v>0.20000000000000001</x:v>
      </x:c>
      <x:c r="D669" s="1">
        <x:f>'Входы H'!O117</x:f>
        <x:v>0.20000000000000001</x:v>
      </x:c>
      <x:c r="E669" s="1">
        <x:f>IF(C669=D669,1,0)</x:f>
        <x:v>1</x:v>
      </x:c>
      <x:c r="F669" s="1"/>
      <x:c r="G669" s="1"/>
    </x:row>
    <x:row r="670" ht="26" customHeight="1">
      <x:c r="A670" s="1" t="str">
        <x:v>Входы H</x:v>
      </x:c>
      <x:c r="B670" s="1" t="str">
        <x:v>P117</x:v>
      </x:c>
      <x:c r="C670" s="1">
        <x:v>1</x:v>
      </x:c>
      <x:c r="D670" s="1">
        <x:f>'Входы H'!P117</x:f>
        <x:v>1</x:v>
      </x:c>
      <x:c r="E670" s="1">
        <x:f>IF(C670=D670,1,0)</x:f>
        <x:v>1</x:v>
      </x:c>
      <x:c r="F670" s="1"/>
      <x:c r="G670" s="1"/>
    </x:row>
    <x:row r="671" ht="26" customHeight="1">
      <x:c r="A671" s="1" t="str">
        <x:v>Входы H</x:v>
      </x:c>
      <x:c r="B671" s="1" t="str">
        <x:v>Q117</x:v>
      </x:c>
      <x:c r="C671" s="1">
        <x:v>0.29999999999999999</x:v>
      </x:c>
      <x:c r="D671" s="1">
        <x:f>'Входы H'!Q117</x:f>
        <x:v>0.29999999999999999</x:v>
      </x:c>
      <x:c r="E671" s="1">
        <x:f>IF(C671=D671,1,0)</x:f>
        <x:v>1</x:v>
      </x:c>
      <x:c r="F671" s="1"/>
      <x:c r="G671" s="1"/>
    </x:row>
    <x:row r="672" ht="26" customHeight="1">
      <x:c r="A672" s="1" t="str">
        <x:v>Входы H</x:v>
      </x:c>
      <x:c r="B672" s="1" t="str">
        <x:v>N118</x:v>
      </x:c>
      <x:c r="C672" s="1">
        <x:v>1.5</x:v>
      </x:c>
      <x:c r="D672" s="1">
        <x:f>'Входы H'!N118</x:f>
        <x:v>1.5</x:v>
      </x:c>
      <x:c r="E672" s="1">
        <x:f>IF(C672=D672,1,0)</x:f>
        <x:v>1</x:v>
      </x:c>
      <x:c r="F672" s="1"/>
      <x:c r="G672" s="1"/>
    </x:row>
    <x:row r="673" ht="26" customHeight="1">
      <x:c r="A673" s="1" t="str">
        <x:v>Входы H</x:v>
      </x:c>
      <x:c r="B673" s="1" t="str">
        <x:v>O118</x:v>
      </x:c>
      <x:c r="C673" s="1">
        <x:v>0.20000000000000001</x:v>
      </x:c>
      <x:c r="D673" s="1">
        <x:f>'Входы H'!O118</x:f>
        <x:v>0.20000000000000001</x:v>
      </x:c>
      <x:c r="E673" s="1">
        <x:f>IF(C673=D673,1,0)</x:f>
        <x:v>1</x:v>
      </x:c>
      <x:c r="F673" s="1"/>
      <x:c r="G673" s="1"/>
    </x:row>
    <x:row r="674" ht="26" customHeight="1">
      <x:c r="A674" s="1" t="str">
        <x:v>Входы H</x:v>
      </x:c>
      <x:c r="B674" s="1" t="str">
        <x:v>P118</x:v>
      </x:c>
      <x:c r="C674" s="1">
        <x:v>1</x:v>
      </x:c>
      <x:c r="D674" s="1">
        <x:f>'Входы H'!P118</x:f>
        <x:v>1</x:v>
      </x:c>
      <x:c r="E674" s="1">
        <x:f>IF(C674=D674,1,0)</x:f>
        <x:v>1</x:v>
      </x:c>
      <x:c r="F674" s="1"/>
      <x:c r="G674" s="1"/>
    </x:row>
    <x:row r="675" ht="26" customHeight="1">
      <x:c r="A675" s="1" t="str">
        <x:v>Входы H</x:v>
      </x:c>
      <x:c r="B675" s="1" t="str">
        <x:v>Q118</x:v>
      </x:c>
      <x:c r="C675" s="1">
        <x:v>0.29999999999999999</x:v>
      </x:c>
      <x:c r="D675" s="1">
        <x:f>'Входы H'!Q118</x:f>
        <x:v>0.29999999999999999</x:v>
      </x:c>
      <x:c r="E675" s="1">
        <x:f>IF(C675=D675,1,0)</x:f>
        <x:v>1</x:v>
      </x:c>
      <x:c r="F675" s="1"/>
      <x:c r="G675" s="1"/>
    </x:row>
    <x:row r="676" ht="26" customHeight="1">
      <x:c r="A676" s="1" t="str">
        <x:v>Входы H</x:v>
      </x:c>
      <x:c r="B676" s="1" t="str">
        <x:v>N119</x:v>
      </x:c>
      <x:c r="C676" s="1">
        <x:v>1.5</x:v>
      </x:c>
      <x:c r="D676" s="1">
        <x:f>'Входы H'!N119</x:f>
        <x:v>1.5</x:v>
      </x:c>
      <x:c r="E676" s="1">
        <x:f>IF(C676=D676,1,0)</x:f>
        <x:v>1</x:v>
      </x:c>
      <x:c r="F676" s="1"/>
      <x:c r="G676" s="1"/>
    </x:row>
    <x:row r="677" ht="26" customHeight="1">
      <x:c r="A677" s="1" t="str">
        <x:v>Входы H</x:v>
      </x:c>
      <x:c r="B677" s="1" t="str">
        <x:v>O119</x:v>
      </x:c>
      <x:c r="C677" s="1">
        <x:v>0.20000000000000001</x:v>
      </x:c>
      <x:c r="D677" s="1">
        <x:f>'Входы H'!O119</x:f>
        <x:v>0.20000000000000001</x:v>
      </x:c>
      <x:c r="E677" s="1">
        <x:f>IF(C677=D677,1,0)</x:f>
        <x:v>1</x:v>
      </x:c>
      <x:c r="F677" s="1"/>
      <x:c r="G677" s="1"/>
    </x:row>
    <x:row r="678" ht="26" customHeight="1">
      <x:c r="A678" s="1" t="str">
        <x:v>Входы H</x:v>
      </x:c>
      <x:c r="B678" s="1" t="str">
        <x:v>P119</x:v>
      </x:c>
      <x:c r="C678" s="1">
        <x:v>1</x:v>
      </x:c>
      <x:c r="D678" s="1">
        <x:f>'Входы H'!P119</x:f>
        <x:v>1</x:v>
      </x:c>
      <x:c r="E678" s="1">
        <x:f>IF(C678=D678,1,0)</x:f>
        <x:v>1</x:v>
      </x:c>
      <x:c r="F678" s="1"/>
      <x:c r="G678" s="1"/>
    </x:row>
    <x:row r="679" ht="26" customHeight="1">
      <x:c r="A679" s="1" t="str">
        <x:v>Входы H</x:v>
      </x:c>
      <x:c r="B679" s="1" t="str">
        <x:v>Q119</x:v>
      </x:c>
      <x:c r="C679" s="1">
        <x:v>0.29999999999999999</x:v>
      </x:c>
      <x:c r="D679" s="1">
        <x:f>'Входы H'!Q119</x:f>
        <x:v>0.29999999999999999</x:v>
      </x:c>
      <x:c r="E679" s="1">
        <x:f>IF(C679=D679,1,0)</x:f>
        <x:v>1</x:v>
      </x:c>
      <x:c r="F679" s="1"/>
      <x:c r="G679" s="1"/>
    </x:row>
    <x:row r="680" ht="26" customHeight="1">
      <x:c r="A680" s="1" t="str">
        <x:v>Входы H</x:v>
      </x:c>
      <x:c r="B680" s="1" t="str">
        <x:v>N120</x:v>
      </x:c>
      <x:c r="C680" s="1">
        <x:v>1.5</x:v>
      </x:c>
      <x:c r="D680" s="1">
        <x:f>'Входы H'!N120</x:f>
        <x:v>1.5</x:v>
      </x:c>
      <x:c r="E680" s="1">
        <x:f>IF(C680=D680,1,0)</x:f>
        <x:v>1</x:v>
      </x:c>
      <x:c r="F680" s="1"/>
      <x:c r="G680" s="1"/>
    </x:row>
    <x:row r="681" ht="26" customHeight="1">
      <x:c r="A681" s="1" t="str">
        <x:v>Входы H</x:v>
      </x:c>
      <x:c r="B681" s="1" t="str">
        <x:v>O120</x:v>
      </x:c>
      <x:c r="C681" s="1">
        <x:v>0.20000000000000001</x:v>
      </x:c>
      <x:c r="D681" s="1">
        <x:f>'Входы H'!O120</x:f>
        <x:v>0.20000000000000001</x:v>
      </x:c>
      <x:c r="E681" s="1">
        <x:f>IF(C681=D681,1,0)</x:f>
        <x:v>1</x:v>
      </x:c>
      <x:c r="F681" s="1"/>
      <x:c r="G681" s="1"/>
    </x:row>
    <x:row r="682" ht="26" customHeight="1">
      <x:c r="A682" s="1" t="str">
        <x:v>Входы H</x:v>
      </x:c>
      <x:c r="B682" s="1" t="str">
        <x:v>P120</x:v>
      </x:c>
      <x:c r="C682" s="1">
        <x:v>1</x:v>
      </x:c>
      <x:c r="D682" s="1">
        <x:f>'Входы H'!P120</x:f>
        <x:v>1</x:v>
      </x:c>
      <x:c r="E682" s="1">
        <x:f>IF(C682=D682,1,0)</x:f>
        <x:v>1</x:v>
      </x:c>
      <x:c r="F682" s="1"/>
      <x:c r="G682" s="1"/>
    </x:row>
    <x:row r="683" ht="26" customHeight="1">
      <x:c r="A683" s="1" t="str">
        <x:v>Входы H</x:v>
      </x:c>
      <x:c r="B683" s="1" t="str">
        <x:v>Q120</x:v>
      </x:c>
      <x:c r="C683" s="1">
        <x:v>0.29999999999999999</x:v>
      </x:c>
      <x:c r="D683" s="1">
        <x:f>'Входы H'!Q120</x:f>
        <x:v>0.29999999999999999</x:v>
      </x:c>
      <x:c r="E683" s="1">
        <x:f>IF(C683=D683,1,0)</x:f>
        <x:v>1</x:v>
      </x:c>
      <x:c r="F683" s="1"/>
      <x:c r="G683" s="1"/>
    </x:row>
    <x:row r="684" ht="26" customHeight="1">
      <x:c r="A684" s="1" t="str">
        <x:v>Входы H</x:v>
      </x:c>
      <x:c r="B684" s="1" t="str">
        <x:v>N121</x:v>
      </x:c>
      <x:c r="C684" s="1">
        <x:v>1.5</x:v>
      </x:c>
      <x:c r="D684" s="1">
        <x:f>'Входы H'!N121</x:f>
        <x:v>1.5</x:v>
      </x:c>
      <x:c r="E684" s="1">
        <x:f>IF(C684=D684,1,0)</x:f>
        <x:v>1</x:v>
      </x:c>
      <x:c r="F684" s="1"/>
      <x:c r="G684" s="1"/>
    </x:row>
    <x:row r="685" ht="26" customHeight="1">
      <x:c r="A685" s="1" t="str">
        <x:v>Входы H</x:v>
      </x:c>
      <x:c r="B685" s="1" t="str">
        <x:v>O121</x:v>
      </x:c>
      <x:c r="C685" s="1">
        <x:v>0.20000000000000001</x:v>
      </x:c>
      <x:c r="D685" s="1">
        <x:f>'Входы H'!O121</x:f>
        <x:v>0.20000000000000001</x:v>
      </x:c>
      <x:c r="E685" s="1">
        <x:f>IF(C685=D685,1,0)</x:f>
        <x:v>1</x:v>
      </x:c>
      <x:c r="F685" s="1"/>
      <x:c r="G685" s="1"/>
    </x:row>
    <x:row r="686" ht="26" customHeight="1">
      <x:c r="A686" s="1" t="str">
        <x:v>Входы H</x:v>
      </x:c>
      <x:c r="B686" s="1" t="str">
        <x:v>P121</x:v>
      </x:c>
      <x:c r="C686" s="1">
        <x:v>1</x:v>
      </x:c>
      <x:c r="D686" s="1">
        <x:f>'Входы H'!P121</x:f>
        <x:v>1</x:v>
      </x:c>
      <x:c r="E686" s="1">
        <x:f>IF(C686=D686,1,0)</x:f>
        <x:v>1</x:v>
      </x:c>
      <x:c r="F686" s="1"/>
      <x:c r="G686" s="1"/>
    </x:row>
    <x:row r="687" ht="26" customHeight="1">
      <x:c r="A687" s="1" t="str">
        <x:v>Входы H</x:v>
      </x:c>
      <x:c r="B687" s="1" t="str">
        <x:v>Q121</x:v>
      </x:c>
      <x:c r="C687" s="1">
        <x:v>0.29999999999999999</x:v>
      </x:c>
      <x:c r="D687" s="1">
        <x:f>'Входы H'!Q121</x:f>
        <x:v>0.29999999999999999</x:v>
      </x:c>
      <x:c r="E687" s="1">
        <x:f>IF(C687=D687,1,0)</x:f>
        <x:v>1</x:v>
      </x:c>
      <x:c r="F687" s="1"/>
      <x:c r="G687" s="1"/>
    </x:row>
    <x:row r="688" ht="26" customHeight="1">
      <x:c r="A688" s="1" t="str">
        <x:v>Входы H</x:v>
      </x:c>
      <x:c r="B688" s="1" t="str">
        <x:v>N122</x:v>
      </x:c>
      <x:c r="C688" s="1">
        <x:v>1.5</x:v>
      </x:c>
      <x:c r="D688" s="1">
        <x:f>'Входы H'!N122</x:f>
        <x:v>1.5</x:v>
      </x:c>
      <x:c r="E688" s="1">
        <x:f>IF(C688=D688,1,0)</x:f>
        <x:v>1</x:v>
      </x:c>
      <x:c r="F688" s="1"/>
      <x:c r="G688" s="1"/>
    </x:row>
    <x:row r="689" ht="26" customHeight="1">
      <x:c r="A689" s="1" t="str">
        <x:v>Входы H</x:v>
      </x:c>
      <x:c r="B689" s="1" t="str">
        <x:v>O122</x:v>
      </x:c>
      <x:c r="C689" s="1">
        <x:v>0.20000000000000001</x:v>
      </x:c>
      <x:c r="D689" s="1">
        <x:f>'Входы H'!O122</x:f>
        <x:v>0.20000000000000001</x:v>
      </x:c>
      <x:c r="E689" s="1">
        <x:f>IF(C689=D689,1,0)</x:f>
        <x:v>1</x:v>
      </x:c>
      <x:c r="F689" s="1"/>
      <x:c r="G689" s="1"/>
    </x:row>
    <x:row r="690" ht="26" customHeight="1">
      <x:c r="A690" s="1" t="str">
        <x:v>Входы H</x:v>
      </x:c>
      <x:c r="B690" s="1" t="str">
        <x:v>P122</x:v>
      </x:c>
      <x:c r="C690" s="1">
        <x:v>1</x:v>
      </x:c>
      <x:c r="D690" s="1">
        <x:f>'Входы H'!P122</x:f>
        <x:v>1</x:v>
      </x:c>
      <x:c r="E690" s="1">
        <x:f>IF(C690=D690,1,0)</x:f>
        <x:v>1</x:v>
      </x:c>
      <x:c r="F690" s="1"/>
      <x:c r="G690" s="1"/>
    </x:row>
    <x:row r="691" ht="26" customHeight="1">
      <x:c r="A691" s="1" t="str">
        <x:v>Входы H</x:v>
      </x:c>
      <x:c r="B691" s="1" t="str">
        <x:v>Q122</x:v>
      </x:c>
      <x:c r="C691" s="1">
        <x:v>0.29999999999999999</x:v>
      </x:c>
      <x:c r="D691" s="1">
        <x:f>'Входы H'!Q122</x:f>
        <x:v>0.29999999999999999</x:v>
      </x:c>
      <x:c r="E691" s="1">
        <x:f>IF(C691=D691,1,0)</x:f>
        <x:v>1</x:v>
      </x:c>
      <x:c r="F691" s="1"/>
      <x:c r="G691" s="1"/>
    </x:row>
    <x:row r="692" ht="26" customHeight="1">
      <x:c r="A692" s="1" t="str">
        <x:v>Входы H</x:v>
      </x:c>
      <x:c r="B692" s="1" t="str">
        <x:v>N123</x:v>
      </x:c>
      <x:c r="C692" s="1">
        <x:v>1.5</x:v>
      </x:c>
      <x:c r="D692" s="1">
        <x:f>'Входы H'!N123</x:f>
        <x:v>1.5</x:v>
      </x:c>
      <x:c r="E692" s="1">
        <x:f>IF(C692=D692,1,0)</x:f>
        <x:v>1</x:v>
      </x:c>
      <x:c r="F692" s="1"/>
      <x:c r="G692" s="1"/>
    </x:row>
    <x:row r="693" ht="26" customHeight="1">
      <x:c r="A693" s="1" t="str">
        <x:v>Входы H</x:v>
      </x:c>
      <x:c r="B693" s="1" t="str">
        <x:v>O123</x:v>
      </x:c>
      <x:c r="C693" s="1">
        <x:v>0.20000000000000001</x:v>
      </x:c>
      <x:c r="D693" s="1">
        <x:f>'Входы H'!O123</x:f>
        <x:v>0.20000000000000001</x:v>
      </x:c>
      <x:c r="E693" s="1">
        <x:f>IF(C693=D693,1,0)</x:f>
        <x:v>1</x:v>
      </x:c>
      <x:c r="F693" s="1"/>
      <x:c r="G693" s="1"/>
    </x:row>
    <x:row r="694" ht="26" customHeight="1">
      <x:c r="A694" s="1" t="str">
        <x:v>Входы H</x:v>
      </x:c>
      <x:c r="B694" s="1" t="str">
        <x:v>P123</x:v>
      </x:c>
      <x:c r="C694" s="1">
        <x:v>1</x:v>
      </x:c>
      <x:c r="D694" s="1">
        <x:f>'Входы H'!P123</x:f>
        <x:v>1</x:v>
      </x:c>
      <x:c r="E694" s="1">
        <x:f>IF(C694=D694,1,0)</x:f>
        <x:v>1</x:v>
      </x:c>
      <x:c r="F694" s="1"/>
      <x:c r="G694" s="1"/>
    </x:row>
    <x:row r="695" ht="26" customHeight="1">
      <x:c r="A695" s="1" t="str">
        <x:v>Входы H</x:v>
      </x:c>
      <x:c r="B695" s="1" t="str">
        <x:v>Q123</x:v>
      </x:c>
      <x:c r="C695" s="1">
        <x:v>0.29999999999999999</x:v>
      </x:c>
      <x:c r="D695" s="1">
        <x:f>'Входы H'!Q123</x:f>
        <x:v>0.29999999999999999</x:v>
      </x:c>
      <x:c r="E695" s="1">
        <x:f>IF(C695=D695,1,0)</x:f>
        <x:v>1</x:v>
      </x:c>
      <x:c r="F695" s="1"/>
      <x:c r="G695" s="1"/>
    </x:row>
    <x:row r="696" ht="26" customHeight="1">
      <x:c r="A696" s="1" t="str">
        <x:v>Входы H</x:v>
      </x:c>
      <x:c r="B696" s="1" t="str">
        <x:v>N124</x:v>
      </x:c>
      <x:c r="C696" s="1">
        <x:v>1.5</x:v>
      </x:c>
      <x:c r="D696" s="1">
        <x:f>'Входы H'!N124</x:f>
        <x:v>1.5</x:v>
      </x:c>
      <x:c r="E696" s="1">
        <x:f>IF(C696=D696,1,0)</x:f>
        <x:v>1</x:v>
      </x:c>
      <x:c r="F696" s="1"/>
      <x:c r="G696" s="1"/>
    </x:row>
    <x:row r="697" ht="26" customHeight="1">
      <x:c r="A697" s="1" t="str">
        <x:v>Входы H</x:v>
      </x:c>
      <x:c r="B697" s="1" t="str">
        <x:v>O124</x:v>
      </x:c>
      <x:c r="C697" s="1">
        <x:v>0.20000000000000001</x:v>
      </x:c>
      <x:c r="D697" s="1">
        <x:f>'Входы H'!O124</x:f>
        <x:v>0.20000000000000001</x:v>
      </x:c>
      <x:c r="E697" s="1">
        <x:f>IF(C697=D697,1,0)</x:f>
        <x:v>1</x:v>
      </x:c>
      <x:c r="F697" s="1"/>
      <x:c r="G697" s="1"/>
    </x:row>
    <x:row r="698" ht="26" customHeight="1">
      <x:c r="A698" s="1" t="str">
        <x:v>Входы H</x:v>
      </x:c>
      <x:c r="B698" s="1" t="str">
        <x:v>P124</x:v>
      </x:c>
      <x:c r="C698" s="1">
        <x:v>1</x:v>
      </x:c>
      <x:c r="D698" s="1">
        <x:f>'Входы H'!P124</x:f>
        <x:v>1</x:v>
      </x:c>
      <x:c r="E698" s="1">
        <x:f>IF(C698=D698,1,0)</x:f>
        <x:v>1</x:v>
      </x:c>
      <x:c r="F698" s="1"/>
      <x:c r="G698" s="1"/>
    </x:row>
    <x:row r="699" ht="26" customHeight="1">
      <x:c r="A699" s="1" t="str">
        <x:v>Входы H</x:v>
      </x:c>
      <x:c r="B699" s="1" t="str">
        <x:v>Q124</x:v>
      </x:c>
      <x:c r="C699" s="1">
        <x:v>0.29999999999999999</x:v>
      </x:c>
      <x:c r="D699" s="1">
        <x:f>'Входы H'!Q124</x:f>
        <x:v>0.29999999999999999</x:v>
      </x:c>
      <x:c r="E699" s="1">
        <x:f>IF(C699=D699,1,0)</x:f>
        <x:v>1</x:v>
      </x:c>
      <x:c r="F699" s="1"/>
      <x:c r="G699" s="1"/>
    </x:row>
    <x:row r="700" ht="26" customHeight="1">
      <x:c r="A700" s="1" t="str">
        <x:v>Входы H</x:v>
      </x:c>
      <x:c r="B700" s="1" t="str">
        <x:v>N125</x:v>
      </x:c>
      <x:c r="C700" s="1">
        <x:v>1.5</x:v>
      </x:c>
      <x:c r="D700" s="1">
        <x:f>'Входы H'!N125</x:f>
        <x:v>1.5</x:v>
      </x:c>
      <x:c r="E700" s="1">
        <x:f>IF(C700=D700,1,0)</x:f>
        <x:v>1</x:v>
      </x:c>
      <x:c r="F700" s="1"/>
      <x:c r="G700" s="1"/>
    </x:row>
    <x:row r="701" ht="26" customHeight="1">
      <x:c r="A701" s="1" t="str">
        <x:v>Входы H</x:v>
      </x:c>
      <x:c r="B701" s="1" t="str">
        <x:v>O125</x:v>
      </x:c>
      <x:c r="C701" s="1">
        <x:v>0.20000000000000001</x:v>
      </x:c>
      <x:c r="D701" s="1">
        <x:f>'Входы H'!O125</x:f>
        <x:v>0.20000000000000001</x:v>
      </x:c>
      <x:c r="E701" s="1">
        <x:f>IF(C701=D701,1,0)</x:f>
        <x:v>1</x:v>
      </x:c>
      <x:c r="F701" s="1"/>
      <x:c r="G701" s="1"/>
    </x:row>
    <x:row r="702" ht="26" customHeight="1">
      <x:c r="A702" s="1" t="str">
        <x:v>Входы H</x:v>
      </x:c>
      <x:c r="B702" s="1" t="str">
        <x:v>P125</x:v>
      </x:c>
      <x:c r="C702" s="1">
        <x:v>1</x:v>
      </x:c>
      <x:c r="D702" s="1">
        <x:f>'Входы H'!P125</x:f>
        <x:v>1</x:v>
      </x:c>
      <x:c r="E702" s="1">
        <x:f>IF(C702=D702,1,0)</x:f>
        <x:v>1</x:v>
      </x:c>
      <x:c r="F702" s="1"/>
      <x:c r="G702" s="1"/>
    </x:row>
    <x:row r="703" ht="26" customHeight="1">
      <x:c r="A703" s="1" t="str">
        <x:v>Входы H</x:v>
      </x:c>
      <x:c r="B703" s="1" t="str">
        <x:v>Q125</x:v>
      </x:c>
      <x:c r="C703" s="1">
        <x:v>0.29999999999999999</x:v>
      </x:c>
      <x:c r="D703" s="1">
        <x:f>'Входы H'!Q125</x:f>
        <x:v>0.29999999999999999</x:v>
      </x:c>
      <x:c r="E703" s="1">
        <x:f>IF(C703=D703,1,0)</x:f>
        <x:v>1</x:v>
      </x:c>
      <x:c r="F703" s="1"/>
      <x:c r="G703" s="1"/>
    </x:row>
    <x:row r="704" ht="26" customHeight="1">
      <x:c r="A704" s="1" t="str">
        <x:v>Входы H</x:v>
      </x:c>
      <x:c r="B704" s="1" t="str">
        <x:v>N126</x:v>
      </x:c>
      <x:c r="C704" s="1">
        <x:v>1.5</x:v>
      </x:c>
      <x:c r="D704" s="1">
        <x:f>'Входы H'!N126</x:f>
        <x:v>1.5</x:v>
      </x:c>
      <x:c r="E704" s="1">
        <x:f>IF(C704=D704,1,0)</x:f>
        <x:v>1</x:v>
      </x:c>
      <x:c r="F704" s="1"/>
      <x:c r="G704" s="1"/>
    </x:row>
    <x:row r="705" ht="26" customHeight="1">
      <x:c r="A705" s="1" t="str">
        <x:v>Входы H</x:v>
      </x:c>
      <x:c r="B705" s="1" t="str">
        <x:v>O126</x:v>
      </x:c>
      <x:c r="C705" s="1">
        <x:v>0.20000000000000001</x:v>
      </x:c>
      <x:c r="D705" s="1">
        <x:f>'Входы H'!O126</x:f>
        <x:v>0.20000000000000001</x:v>
      </x:c>
      <x:c r="E705" s="1">
        <x:f>IF(C705=D705,1,0)</x:f>
        <x:v>1</x:v>
      </x:c>
      <x:c r="F705" s="1"/>
      <x:c r="G705" s="1"/>
    </x:row>
    <x:row r="706" ht="26" customHeight="1">
      <x:c r="A706" s="1" t="str">
        <x:v>Входы H</x:v>
      </x:c>
      <x:c r="B706" s="1" t="str">
        <x:v>P126</x:v>
      </x:c>
      <x:c r="C706" s="1">
        <x:v>1</x:v>
      </x:c>
      <x:c r="D706" s="1">
        <x:f>'Входы H'!P126</x:f>
        <x:v>1</x:v>
      </x:c>
      <x:c r="E706" s="1">
        <x:f>IF(C706=D706,1,0)</x:f>
        <x:v>1</x:v>
      </x:c>
      <x:c r="F706" s="1"/>
      <x:c r="G706" s="1"/>
    </x:row>
    <x:row r="707" ht="26" customHeight="1">
      <x:c r="A707" s="1" t="str">
        <x:v>Входы H</x:v>
      </x:c>
      <x:c r="B707" s="1" t="str">
        <x:v>Q126</x:v>
      </x:c>
      <x:c r="C707" s="1">
        <x:v>0.29999999999999999</x:v>
      </x:c>
      <x:c r="D707" s="1">
        <x:f>'Входы H'!Q126</x:f>
        <x:v>0.29999999999999999</x:v>
      </x:c>
      <x:c r="E707" s="1">
        <x:f>IF(C707=D707,1,0)</x:f>
        <x:v>1</x:v>
      </x:c>
      <x:c r="F707" s="1"/>
      <x:c r="G707" s="1"/>
    </x:row>
    <x:row r="708" ht="26" customHeight="1">
      <x:c r="A708" s="1" t="str">
        <x:v>Входы H</x:v>
      </x:c>
      <x:c r="B708" s="1" t="str">
        <x:v>N127</x:v>
      </x:c>
      <x:c r="C708" s="1">
        <x:v>1.5</x:v>
      </x:c>
      <x:c r="D708" s="1">
        <x:f>'Входы H'!N127</x:f>
        <x:v>1.5</x:v>
      </x:c>
      <x:c r="E708" s="1">
        <x:f>IF(C708=D708,1,0)</x:f>
        <x:v>1</x:v>
      </x:c>
      <x:c r="F708" s="1"/>
      <x:c r="G708" s="1"/>
    </x:row>
    <x:row r="709" ht="26" customHeight="1">
      <x:c r="A709" s="1" t="str">
        <x:v>Входы H</x:v>
      </x:c>
      <x:c r="B709" s="1" t="str">
        <x:v>O127</x:v>
      </x:c>
      <x:c r="C709" s="1">
        <x:v>0.20000000000000001</x:v>
      </x:c>
      <x:c r="D709" s="1">
        <x:f>'Входы H'!O127</x:f>
        <x:v>0.20000000000000001</x:v>
      </x:c>
      <x:c r="E709" s="1">
        <x:f>IF(C709=D709,1,0)</x:f>
        <x:v>1</x:v>
      </x:c>
      <x:c r="F709" s="1"/>
      <x:c r="G709" s="1"/>
    </x:row>
    <x:row r="710" ht="26" customHeight="1">
      <x:c r="A710" s="1" t="str">
        <x:v>Входы H</x:v>
      </x:c>
      <x:c r="B710" s="1" t="str">
        <x:v>P127</x:v>
      </x:c>
      <x:c r="C710" s="1">
        <x:v>1</x:v>
      </x:c>
      <x:c r="D710" s="1">
        <x:f>'Входы H'!P127</x:f>
        <x:v>1</x:v>
      </x:c>
      <x:c r="E710" s="1">
        <x:f>IF(C710=D710,1,0)</x:f>
        <x:v>1</x:v>
      </x:c>
      <x:c r="F710" s="1"/>
      <x:c r="G710" s="1"/>
    </x:row>
    <x:row r="711" ht="26" customHeight="1">
      <x:c r="A711" s="1" t="str">
        <x:v>Входы H</x:v>
      </x:c>
      <x:c r="B711" s="1" t="str">
        <x:v>Q127</x:v>
      </x:c>
      <x:c r="C711" s="1">
        <x:v>0.29999999999999999</x:v>
      </x:c>
      <x:c r="D711" s="1">
        <x:f>'Входы H'!Q127</x:f>
        <x:v>0.29999999999999999</x:v>
      </x:c>
      <x:c r="E711" s="1">
        <x:f>IF(C711=D711,1,0)</x:f>
        <x:v>1</x:v>
      </x:c>
      <x:c r="F711" s="1"/>
      <x:c r="G711" s="1"/>
    </x:row>
    <x:row r="712" ht="26" customHeight="1">
      <x:c r="A712" s="1" t="str">
        <x:v>Входы H</x:v>
      </x:c>
      <x:c r="B712" s="1" t="str">
        <x:v>N128</x:v>
      </x:c>
      <x:c r="C712" s="1">
        <x:v>1.5</x:v>
      </x:c>
      <x:c r="D712" s="1">
        <x:f>'Входы H'!N128</x:f>
        <x:v>1.5</x:v>
      </x:c>
      <x:c r="E712" s="1">
        <x:f>IF(C712=D712,1,0)</x:f>
        <x:v>1</x:v>
      </x:c>
      <x:c r="F712" s="1"/>
      <x:c r="G712" s="1"/>
    </x:row>
    <x:row r="713" ht="26" customHeight="1">
      <x:c r="A713" s="1" t="str">
        <x:v>Входы H</x:v>
      </x:c>
      <x:c r="B713" s="1" t="str">
        <x:v>O128</x:v>
      </x:c>
      <x:c r="C713" s="1">
        <x:v>0.20000000000000001</x:v>
      </x:c>
      <x:c r="D713" s="1">
        <x:f>'Входы H'!O128</x:f>
        <x:v>0.20000000000000001</x:v>
      </x:c>
      <x:c r="E713" s="1">
        <x:f>IF(C713=D713,1,0)</x:f>
        <x:v>1</x:v>
      </x:c>
      <x:c r="F713" s="1"/>
      <x:c r="G713" s="1"/>
    </x:row>
    <x:row r="714" ht="26" customHeight="1">
      <x:c r="A714" s="1" t="str">
        <x:v>Входы H</x:v>
      </x:c>
      <x:c r="B714" s="1" t="str">
        <x:v>P128</x:v>
      </x:c>
      <x:c r="C714" s="1">
        <x:v>1</x:v>
      </x:c>
      <x:c r="D714" s="1">
        <x:f>'Входы H'!P128</x:f>
        <x:v>1</x:v>
      </x:c>
      <x:c r="E714" s="1">
        <x:f>IF(C714=D714,1,0)</x:f>
        <x:v>1</x:v>
      </x:c>
      <x:c r="F714" s="1"/>
      <x:c r="G714" s="1"/>
    </x:row>
    <x:row r="715" ht="26" customHeight="1">
      <x:c r="A715" s="1" t="str">
        <x:v>Входы H</x:v>
      </x:c>
      <x:c r="B715" s="1" t="str">
        <x:v>Q128</x:v>
      </x:c>
      <x:c r="C715" s="1">
        <x:v>0.29999999999999999</x:v>
      </x:c>
      <x:c r="D715" s="1">
        <x:f>'Входы H'!Q128</x:f>
        <x:v>0.29999999999999999</x:v>
      </x:c>
      <x:c r="E715" s="1">
        <x:f>IF(C715=D715,1,0)</x:f>
        <x:v>1</x:v>
      </x:c>
      <x:c r="F715" s="1"/>
      <x:c r="G715" s="1"/>
    </x:row>
    <x:row r="716" ht="26" customHeight="1">
      <x:c r="A716" s="1" t="str">
        <x:v>Входы H</x:v>
      </x:c>
      <x:c r="B716" s="1" t="str">
        <x:v>N129</x:v>
      </x:c>
      <x:c r="C716" s="1">
        <x:v>1.5</x:v>
      </x:c>
      <x:c r="D716" s="1">
        <x:f>'Входы H'!N129</x:f>
        <x:v>1.5</x:v>
      </x:c>
      <x:c r="E716" s="1">
        <x:f>IF(C716=D716,1,0)</x:f>
        <x:v>1</x:v>
      </x:c>
      <x:c r="F716" s="1"/>
      <x:c r="G716" s="1"/>
    </x:row>
    <x:row r="717" ht="26" customHeight="1">
      <x:c r="A717" s="1" t="str">
        <x:v>Входы H</x:v>
      </x:c>
      <x:c r="B717" s="1" t="str">
        <x:v>O129</x:v>
      </x:c>
      <x:c r="C717" s="1">
        <x:v>0.20000000000000001</x:v>
      </x:c>
      <x:c r="D717" s="1">
        <x:f>'Входы H'!O129</x:f>
        <x:v>0.20000000000000001</x:v>
      </x:c>
      <x:c r="E717" s="1">
        <x:f>IF(C717=D717,1,0)</x:f>
        <x:v>1</x:v>
      </x:c>
      <x:c r="F717" s="1"/>
      <x:c r="G717" s="1"/>
    </x:row>
    <x:row r="718" ht="26" customHeight="1">
      <x:c r="A718" s="1" t="str">
        <x:v>Входы H</x:v>
      </x:c>
      <x:c r="B718" s="1" t="str">
        <x:v>P129</x:v>
      </x:c>
      <x:c r="C718" s="1">
        <x:v>1</x:v>
      </x:c>
      <x:c r="D718" s="1">
        <x:f>'Входы H'!P129</x:f>
        <x:v>1</x:v>
      </x:c>
      <x:c r="E718" s="1">
        <x:f>IF(C718=D718,1,0)</x:f>
        <x:v>1</x:v>
      </x:c>
      <x:c r="F718" s="1"/>
      <x:c r="G718" s="1"/>
    </x:row>
    <x:row r="719" ht="26" customHeight="1">
      <x:c r="A719" s="1" t="str">
        <x:v>Входы H</x:v>
      </x:c>
      <x:c r="B719" s="1" t="str">
        <x:v>Q129</x:v>
      </x:c>
      <x:c r="C719" s="1">
        <x:v>0.29999999999999999</x:v>
      </x:c>
      <x:c r="D719" s="1">
        <x:f>'Входы H'!Q129</x:f>
        <x:v>0.29999999999999999</x:v>
      </x:c>
      <x:c r="E719" s="1">
        <x:f>IF(C719=D719,1,0)</x:f>
        <x:v>1</x:v>
      </x:c>
      <x:c r="F719" s="1"/>
      <x:c r="G719" s="1"/>
    </x:row>
    <x:row r="720" ht="26" customHeight="1">
      <x:c r="A720" s="1" t="str">
        <x:v>Входы H</x:v>
      </x:c>
      <x:c r="B720" s="1" t="str">
        <x:v>N130</x:v>
      </x:c>
      <x:c r="C720" s="1">
        <x:v>1.5</x:v>
      </x:c>
      <x:c r="D720" s="1">
        <x:f>'Входы H'!N130</x:f>
        <x:v>1.5</x:v>
      </x:c>
      <x:c r="E720" s="1">
        <x:f>IF(C720=D720,1,0)</x:f>
        <x:v>1</x:v>
      </x:c>
      <x:c r="F720" s="1"/>
      <x:c r="G720" s="1"/>
    </x:row>
    <x:row r="721" ht="26" customHeight="1">
      <x:c r="A721" s="1" t="str">
        <x:v>Входы H</x:v>
      </x:c>
      <x:c r="B721" s="1" t="str">
        <x:v>O130</x:v>
      </x:c>
      <x:c r="C721" s="1">
        <x:v>0.20000000000000001</x:v>
      </x:c>
      <x:c r="D721" s="1">
        <x:f>'Входы H'!O130</x:f>
        <x:v>0.20000000000000001</x:v>
      </x:c>
      <x:c r="E721" s="1">
        <x:f>IF(C721=D721,1,0)</x:f>
        <x:v>1</x:v>
      </x:c>
      <x:c r="F721" s="1"/>
      <x:c r="G721" s="1"/>
    </x:row>
    <x:row r="722" ht="26" customHeight="1">
      <x:c r="A722" s="1" t="str">
        <x:v>Входы H</x:v>
      </x:c>
      <x:c r="B722" s="1" t="str">
        <x:v>P130</x:v>
      </x:c>
      <x:c r="C722" s="1">
        <x:v>1</x:v>
      </x:c>
      <x:c r="D722" s="1">
        <x:f>'Входы H'!P130</x:f>
        <x:v>1</x:v>
      </x:c>
      <x:c r="E722" s="1">
        <x:f>IF(C722=D722,1,0)</x:f>
        <x:v>1</x:v>
      </x:c>
      <x:c r="F722" s="1"/>
      <x:c r="G722" s="1"/>
    </x:row>
    <x:row r="723" ht="26" customHeight="1">
      <x:c r="A723" s="1" t="str">
        <x:v>Входы H</x:v>
      </x:c>
      <x:c r="B723" s="1" t="str">
        <x:v>Q130</x:v>
      </x:c>
      <x:c r="C723" s="1">
        <x:v>0.29999999999999999</x:v>
      </x:c>
      <x:c r="D723" s="1">
        <x:f>'Входы H'!Q130</x:f>
        <x:v>0.29999999999999999</x:v>
      </x:c>
      <x:c r="E723" s="1">
        <x:f>IF(C723=D723,1,0)</x:f>
        <x:v>1</x:v>
      </x:c>
      <x:c r="F723" s="1"/>
      <x:c r="G723" s="1"/>
    </x:row>
    <x:row r="724" ht="26" customHeight="1">
      <x:c r="A724" s="1" t="str">
        <x:v>Входы H</x:v>
      </x:c>
      <x:c r="B724" s="1" t="str">
        <x:v>N131</x:v>
      </x:c>
      <x:c r="C724" s="1">
        <x:v>1.5</x:v>
      </x:c>
      <x:c r="D724" s="1">
        <x:f>'Входы H'!N131</x:f>
        <x:v>1.5</x:v>
      </x:c>
      <x:c r="E724" s="1">
        <x:f>IF(C724=D724,1,0)</x:f>
        <x:v>1</x:v>
      </x:c>
      <x:c r="F724" s="1"/>
      <x:c r="G724" s="1"/>
    </x:row>
    <x:row r="725" ht="26" customHeight="1">
      <x:c r="A725" s="1" t="str">
        <x:v>Входы H</x:v>
      </x:c>
      <x:c r="B725" s="1" t="str">
        <x:v>O131</x:v>
      </x:c>
      <x:c r="C725" s="1">
        <x:v>0.20000000000000001</x:v>
      </x:c>
      <x:c r="D725" s="1">
        <x:f>'Входы H'!O131</x:f>
        <x:v>0.20000000000000001</x:v>
      </x:c>
      <x:c r="E725" s="1">
        <x:f>IF(C725=D725,1,0)</x:f>
        <x:v>1</x:v>
      </x:c>
      <x:c r="F725" s="1"/>
      <x:c r="G725" s="1"/>
    </x:row>
    <x:row r="726" ht="26" customHeight="1">
      <x:c r="A726" s="1" t="str">
        <x:v>Входы H</x:v>
      </x:c>
      <x:c r="B726" s="1" t="str">
        <x:v>P131</x:v>
      </x:c>
      <x:c r="C726" s="1">
        <x:v>1</x:v>
      </x:c>
      <x:c r="D726" s="1">
        <x:f>'Входы H'!P131</x:f>
        <x:v>1</x:v>
      </x:c>
      <x:c r="E726" s="1">
        <x:f>IF(C726=D726,1,0)</x:f>
        <x:v>1</x:v>
      </x:c>
      <x:c r="F726" s="1"/>
      <x:c r="G726" s="1"/>
    </x:row>
    <x:row r="727" ht="26" customHeight="1">
      <x:c r="A727" s="1" t="str">
        <x:v>Входы H</x:v>
      </x:c>
      <x:c r="B727" s="1" t="str">
        <x:v>Q131</x:v>
      </x:c>
      <x:c r="C727" s="1">
        <x:v>0.29999999999999999</x:v>
      </x:c>
      <x:c r="D727" s="1">
        <x:f>'Входы H'!Q131</x:f>
        <x:v>0.29999999999999999</x:v>
      </x:c>
      <x:c r="E727" s="1">
        <x:f>IF(C727=D727,1,0)</x:f>
        <x:v>1</x:v>
      </x:c>
      <x:c r="F727" s="1"/>
      <x:c r="G727" s="1"/>
    </x:row>
    <x:row r="728" ht="26" customHeight="1">
      <x:c r="A728" s="1" t="str">
        <x:v>Входы H</x:v>
      </x:c>
      <x:c r="B728" s="1" t="str">
        <x:v>N132</x:v>
      </x:c>
      <x:c r="C728" s="1">
        <x:v>1.5</x:v>
      </x:c>
      <x:c r="D728" s="1">
        <x:f>'Входы H'!N132</x:f>
        <x:v>1.5</x:v>
      </x:c>
      <x:c r="E728" s="1">
        <x:f>IF(C728=D728,1,0)</x:f>
        <x:v>1</x:v>
      </x:c>
      <x:c r="F728" s="1"/>
      <x:c r="G728" s="1"/>
    </x:row>
    <x:row r="729" ht="26" customHeight="1">
      <x:c r="A729" s="1" t="str">
        <x:v>Входы H</x:v>
      </x:c>
      <x:c r="B729" s="1" t="str">
        <x:v>O132</x:v>
      </x:c>
      <x:c r="C729" s="1">
        <x:v>0.20000000000000001</x:v>
      </x:c>
      <x:c r="D729" s="1">
        <x:f>'Входы H'!O132</x:f>
        <x:v>0.20000000000000001</x:v>
      </x:c>
      <x:c r="E729" s="1">
        <x:f>IF(C729=D729,1,0)</x:f>
        <x:v>1</x:v>
      </x:c>
      <x:c r="F729" s="1"/>
      <x:c r="G729" s="1"/>
    </x:row>
    <x:row r="730" ht="26" customHeight="1">
      <x:c r="A730" s="1" t="str">
        <x:v>Входы H</x:v>
      </x:c>
      <x:c r="B730" s="1" t="str">
        <x:v>P132</x:v>
      </x:c>
      <x:c r="C730" s="1">
        <x:v>1</x:v>
      </x:c>
      <x:c r="D730" s="1">
        <x:f>'Входы H'!P132</x:f>
        <x:v>1</x:v>
      </x:c>
      <x:c r="E730" s="1">
        <x:f>IF(C730=D730,1,0)</x:f>
        <x:v>1</x:v>
      </x:c>
      <x:c r="F730" s="1"/>
      <x:c r="G730" s="1"/>
    </x:row>
    <x:row r="731" ht="26" customHeight="1">
      <x:c r="A731" s="1" t="str">
        <x:v>Входы H</x:v>
      </x:c>
      <x:c r="B731" s="1" t="str">
        <x:v>Q132</x:v>
      </x:c>
      <x:c r="C731" s="1">
        <x:v>0.29999999999999999</x:v>
      </x:c>
      <x:c r="D731" s="1">
        <x:f>'Входы H'!Q132</x:f>
        <x:v>0.29999999999999999</x:v>
      </x:c>
      <x:c r="E731" s="1">
        <x:f>IF(C731=D731,1,0)</x:f>
        <x:v>1</x:v>
      </x:c>
      <x:c r="F731" s="1"/>
      <x:c r="G731" s="1"/>
    </x:row>
    <x:row r="732" ht="26" customHeight="1">
      <x:c r="A732" s="1" t="str">
        <x:v>Входы H</x:v>
      </x:c>
      <x:c r="B732" s="1" t="str">
        <x:v>N133</x:v>
      </x:c>
      <x:c r="C732" s="1">
        <x:v>1.5</x:v>
      </x:c>
      <x:c r="D732" s="1">
        <x:f>'Входы H'!N133</x:f>
        <x:v>1.5</x:v>
      </x:c>
      <x:c r="E732" s="1">
        <x:f>IF(C732=D732,1,0)</x:f>
        <x:v>1</x:v>
      </x:c>
      <x:c r="F732" s="1"/>
      <x:c r="G732" s="1"/>
    </x:row>
    <x:row r="733" ht="26" customHeight="1">
      <x:c r="A733" s="1" t="str">
        <x:v>Входы H</x:v>
      </x:c>
      <x:c r="B733" s="1" t="str">
        <x:v>O133</x:v>
      </x:c>
      <x:c r="C733" s="1">
        <x:v>0.20000000000000001</x:v>
      </x:c>
      <x:c r="D733" s="1">
        <x:f>'Входы H'!O133</x:f>
        <x:v>0.20000000000000001</x:v>
      </x:c>
      <x:c r="E733" s="1">
        <x:f>IF(C733=D733,1,0)</x:f>
        <x:v>1</x:v>
      </x:c>
      <x:c r="F733" s="1"/>
      <x:c r="G733" s="1"/>
    </x:row>
    <x:row r="734" ht="26" customHeight="1">
      <x:c r="A734" s="1" t="str">
        <x:v>Входы H</x:v>
      </x:c>
      <x:c r="B734" s="1" t="str">
        <x:v>P133</x:v>
      </x:c>
      <x:c r="C734" s="1">
        <x:v>1</x:v>
      </x:c>
      <x:c r="D734" s="1">
        <x:f>'Входы H'!P133</x:f>
        <x:v>1</x:v>
      </x:c>
      <x:c r="E734" s="1">
        <x:f>IF(C734=D734,1,0)</x:f>
        <x:v>1</x:v>
      </x:c>
      <x:c r="F734" s="1"/>
      <x:c r="G734" s="1"/>
    </x:row>
    <x:row r="735" ht="26" customHeight="1">
      <x:c r="A735" s="1" t="str">
        <x:v>Входы H</x:v>
      </x:c>
      <x:c r="B735" s="1" t="str">
        <x:v>Q133</x:v>
      </x:c>
      <x:c r="C735" s="1">
        <x:v>0.29999999999999999</x:v>
      </x:c>
      <x:c r="D735" s="1">
        <x:f>'Входы H'!Q133</x:f>
        <x:v>0.29999999999999999</x:v>
      </x:c>
      <x:c r="E735" s="1">
        <x:f>IF(C735=D735,1,0)</x:f>
        <x:v>1</x:v>
      </x:c>
      <x:c r="F735" s="1"/>
      <x:c r="G735" s="1"/>
    </x:row>
    <x:row r="736" ht="26" customHeight="1">
      <x:c r="A736" s="1" t="str">
        <x:v>Входы H</x:v>
      </x:c>
      <x:c r="B736" s="1" t="str">
        <x:v>N134</x:v>
      </x:c>
      <x:c r="C736" s="1">
        <x:v>1.5</x:v>
      </x:c>
      <x:c r="D736" s="1">
        <x:f>'Входы H'!N134</x:f>
        <x:v>1.5</x:v>
      </x:c>
      <x:c r="E736" s="1">
        <x:f>IF(C736=D736,1,0)</x:f>
        <x:v>1</x:v>
      </x:c>
      <x:c r="F736" s="1"/>
      <x:c r="G736" s="1"/>
    </x:row>
    <x:row r="737" ht="26" customHeight="1">
      <x:c r="A737" s="1" t="str">
        <x:v>Входы H</x:v>
      </x:c>
      <x:c r="B737" s="1" t="str">
        <x:v>O134</x:v>
      </x:c>
      <x:c r="C737" s="1">
        <x:v>0.20000000000000001</x:v>
      </x:c>
      <x:c r="D737" s="1">
        <x:f>'Входы H'!O134</x:f>
        <x:v>0.20000000000000001</x:v>
      </x:c>
      <x:c r="E737" s="1">
        <x:f>IF(C737=D737,1,0)</x:f>
        <x:v>1</x:v>
      </x:c>
      <x:c r="F737" s="1"/>
      <x:c r="G737" s="1"/>
    </x:row>
    <x:row r="738" ht="26" customHeight="1">
      <x:c r="A738" s="1" t="str">
        <x:v>Входы H</x:v>
      </x:c>
      <x:c r="B738" s="1" t="str">
        <x:v>P134</x:v>
      </x:c>
      <x:c r="C738" s="1">
        <x:v>1</x:v>
      </x:c>
      <x:c r="D738" s="1">
        <x:f>'Входы H'!P134</x:f>
        <x:v>1</x:v>
      </x:c>
      <x:c r="E738" s="1">
        <x:f>IF(C738=D738,1,0)</x:f>
        <x:v>1</x:v>
      </x:c>
      <x:c r="F738" s="1"/>
      <x:c r="G738" s="1"/>
    </x:row>
    <x:row r="739" ht="26" customHeight="1">
      <x:c r="A739" s="1" t="str">
        <x:v>Входы H</x:v>
      </x:c>
      <x:c r="B739" s="1" t="str">
        <x:v>Q134</x:v>
      </x:c>
      <x:c r="C739" s="1">
        <x:v>0.29999999999999999</x:v>
      </x:c>
      <x:c r="D739" s="1">
        <x:f>'Входы H'!Q134</x:f>
        <x:v>0.29999999999999999</x:v>
      </x:c>
      <x:c r="E739" s="1">
        <x:f>IF(C739=D739,1,0)</x:f>
        <x:v>1</x:v>
      </x:c>
      <x:c r="F739" s="1"/>
      <x:c r="G739" s="1"/>
    </x:row>
    <x:row r="740" ht="26" customHeight="1">
      <x:c r="A740" s="1" t="str">
        <x:v>Входы H</x:v>
      </x:c>
      <x:c r="B740" s="1" t="str">
        <x:v>N135</x:v>
      </x:c>
      <x:c r="C740" s="1">
        <x:v>1.5</x:v>
      </x:c>
      <x:c r="D740" s="1">
        <x:f>'Входы H'!N135</x:f>
        <x:v>1.5</x:v>
      </x:c>
      <x:c r="E740" s="1">
        <x:f>IF(C740=D740,1,0)</x:f>
        <x:v>1</x:v>
      </x:c>
      <x:c r="F740" s="1"/>
      <x:c r="G740" s="1"/>
    </x:row>
    <x:row r="741" ht="26" customHeight="1">
      <x:c r="A741" s="1" t="str">
        <x:v>Входы H</x:v>
      </x:c>
      <x:c r="B741" s="1" t="str">
        <x:v>O135</x:v>
      </x:c>
      <x:c r="C741" s="1">
        <x:v>0.20000000000000001</x:v>
      </x:c>
      <x:c r="D741" s="1">
        <x:f>'Входы H'!O135</x:f>
        <x:v>0.20000000000000001</x:v>
      </x:c>
      <x:c r="E741" s="1">
        <x:f>IF(C741=D741,1,0)</x:f>
        <x:v>1</x:v>
      </x:c>
      <x:c r="F741" s="1"/>
      <x:c r="G741" s="1"/>
    </x:row>
    <x:row r="742" ht="26" customHeight="1">
      <x:c r="A742" s="1" t="str">
        <x:v>Входы H</x:v>
      </x:c>
      <x:c r="B742" s="1" t="str">
        <x:v>P135</x:v>
      </x:c>
      <x:c r="C742" s="1">
        <x:v>1</x:v>
      </x:c>
      <x:c r="D742" s="1">
        <x:f>'Входы H'!P135</x:f>
        <x:v>1</x:v>
      </x:c>
      <x:c r="E742" s="1">
        <x:f>IF(C742=D742,1,0)</x:f>
        <x:v>1</x:v>
      </x:c>
      <x:c r="F742" s="1"/>
      <x:c r="G742" s="1"/>
    </x:row>
    <x:row r="743" ht="26" customHeight="1">
      <x:c r="A743" s="1" t="str">
        <x:v>Входы H</x:v>
      </x:c>
      <x:c r="B743" s="1" t="str">
        <x:v>Q135</x:v>
      </x:c>
      <x:c r="C743" s="1">
        <x:v>0.29999999999999999</x:v>
      </x:c>
      <x:c r="D743" s="1">
        <x:f>'Входы H'!Q135</x:f>
        <x:v>0.29999999999999999</x:v>
      </x:c>
      <x:c r="E743" s="1">
        <x:f>IF(C743=D743,1,0)</x:f>
        <x:v>1</x:v>
      </x:c>
      <x:c r="F743" s="1"/>
      <x:c r="G743" s="1"/>
    </x:row>
    <x:row r="744" ht="26" customHeight="1">
      <x:c r="A744" s="1" t="str">
        <x:v>Входы H</x:v>
      </x:c>
      <x:c r="B744" s="1" t="str">
        <x:v>N136</x:v>
      </x:c>
      <x:c r="C744" s="1">
        <x:v>1.5</x:v>
      </x:c>
      <x:c r="D744" s="1">
        <x:f>'Входы H'!N136</x:f>
        <x:v>1.5</x:v>
      </x:c>
      <x:c r="E744" s="1">
        <x:f>IF(C744=D744,1,0)</x:f>
        <x:v>1</x:v>
      </x:c>
      <x:c r="F744" s="1"/>
      <x:c r="G744" s="1"/>
    </x:row>
    <x:row r="745" ht="26" customHeight="1">
      <x:c r="A745" s="1" t="str">
        <x:v>Входы H</x:v>
      </x:c>
      <x:c r="B745" s="1" t="str">
        <x:v>O136</x:v>
      </x:c>
      <x:c r="C745" s="1">
        <x:v>0.20000000000000001</x:v>
      </x:c>
      <x:c r="D745" s="1">
        <x:f>'Входы H'!O136</x:f>
        <x:v>0.20000000000000001</x:v>
      </x:c>
      <x:c r="E745" s="1">
        <x:f>IF(C745=D745,1,0)</x:f>
        <x:v>1</x:v>
      </x:c>
      <x:c r="F745" s="1"/>
      <x:c r="G745" s="1"/>
    </x:row>
    <x:row r="746" ht="26" customHeight="1">
      <x:c r="A746" s="1" t="str">
        <x:v>Входы H</x:v>
      </x:c>
      <x:c r="B746" s="1" t="str">
        <x:v>P136</x:v>
      </x:c>
      <x:c r="C746" s="1">
        <x:v>1</x:v>
      </x:c>
      <x:c r="D746" s="1">
        <x:f>'Входы H'!P136</x:f>
        <x:v>1</x:v>
      </x:c>
      <x:c r="E746" s="1">
        <x:f>IF(C746=D746,1,0)</x:f>
        <x:v>1</x:v>
      </x:c>
      <x:c r="F746" s="1"/>
      <x:c r="G746" s="1"/>
    </x:row>
    <x:row r="747" ht="26" customHeight="1">
      <x:c r="A747" s="1" t="str">
        <x:v>Входы H</x:v>
      </x:c>
      <x:c r="B747" s="1" t="str">
        <x:v>Q136</x:v>
      </x:c>
      <x:c r="C747" s="1">
        <x:v>0.29999999999999999</x:v>
      </x:c>
      <x:c r="D747" s="1">
        <x:f>'Входы H'!Q136</x:f>
        <x:v>0.29999999999999999</x:v>
      </x:c>
      <x:c r="E747" s="1">
        <x:f>IF(C747=D747,1,0)</x:f>
        <x:v>1</x:v>
      </x:c>
      <x:c r="F747" s="1"/>
      <x:c r="G747" s="1"/>
    </x:row>
    <x:row r="748" ht="26" customHeight="1">
      <x:c r="A748" s="1" t="str">
        <x:v>Входы H</x:v>
      </x:c>
      <x:c r="B748" s="1" t="str">
        <x:v>N137</x:v>
      </x:c>
      <x:c r="C748" s="1">
        <x:v>1.5</x:v>
      </x:c>
      <x:c r="D748" s="1">
        <x:f>'Входы H'!N137</x:f>
        <x:v>1.5</x:v>
      </x:c>
      <x:c r="E748" s="1">
        <x:f>IF(C748=D748,1,0)</x:f>
        <x:v>1</x:v>
      </x:c>
      <x:c r="F748" s="1"/>
      <x:c r="G748" s="1"/>
    </x:row>
    <x:row r="749" ht="26" customHeight="1">
      <x:c r="A749" s="1" t="str">
        <x:v>Входы H</x:v>
      </x:c>
      <x:c r="B749" s="1" t="str">
        <x:v>O137</x:v>
      </x:c>
      <x:c r="C749" s="1">
        <x:v>0.20000000000000001</x:v>
      </x:c>
      <x:c r="D749" s="1">
        <x:f>'Входы H'!O137</x:f>
        <x:v>0.20000000000000001</x:v>
      </x:c>
      <x:c r="E749" s="1">
        <x:f>IF(C749=D749,1,0)</x:f>
        <x:v>1</x:v>
      </x:c>
      <x:c r="F749" s="1"/>
      <x:c r="G749" s="1"/>
    </x:row>
    <x:row r="750" ht="26" customHeight="1">
      <x:c r="A750" s="1" t="str">
        <x:v>Входы H</x:v>
      </x:c>
      <x:c r="B750" s="1" t="str">
        <x:v>P137</x:v>
      </x:c>
      <x:c r="C750" s="1">
        <x:v>1</x:v>
      </x:c>
      <x:c r="D750" s="1">
        <x:f>'Входы H'!P137</x:f>
        <x:v>1</x:v>
      </x:c>
      <x:c r="E750" s="1">
        <x:f>IF(C750=D750,1,0)</x:f>
        <x:v>1</x:v>
      </x:c>
      <x:c r="F750" s="1"/>
      <x:c r="G750" s="1"/>
    </x:row>
    <x:row r="751" ht="26" customHeight="1">
      <x:c r="A751" s="1" t="str">
        <x:v>Входы H</x:v>
      </x:c>
      <x:c r="B751" s="1" t="str">
        <x:v>Q137</x:v>
      </x:c>
      <x:c r="C751" s="1">
        <x:v>0.29999999999999999</x:v>
      </x:c>
      <x:c r="D751" s="1">
        <x:f>'Входы H'!Q137</x:f>
        <x:v>0.29999999999999999</x:v>
      </x:c>
      <x:c r="E751" s="1">
        <x:f>IF(C751=D751,1,0)</x:f>
        <x:v>1</x:v>
      </x:c>
      <x:c r="F751" s="1"/>
      <x:c r="G751" s="1"/>
    </x:row>
    <x:row r="752" ht="26" customHeight="1">
      <x:c r="A752" s="1" t="str">
        <x:v>Входы H</x:v>
      </x:c>
      <x:c r="B752" s="1" t="str">
        <x:v>N138</x:v>
      </x:c>
      <x:c r="C752" s="1">
        <x:v>1.5</x:v>
      </x:c>
      <x:c r="D752" s="1">
        <x:f>'Входы H'!N138</x:f>
        <x:v>1.5</x:v>
      </x:c>
      <x:c r="E752" s="1">
        <x:f>IF(C752=D752,1,0)</x:f>
        <x:v>1</x:v>
      </x:c>
      <x:c r="F752" s="1"/>
      <x:c r="G752" s="1"/>
    </x:row>
    <x:row r="753" ht="26" customHeight="1">
      <x:c r="A753" s="1" t="str">
        <x:v>Входы H</x:v>
      </x:c>
      <x:c r="B753" s="1" t="str">
        <x:v>O138</x:v>
      </x:c>
      <x:c r="C753" s="1">
        <x:v>0.20000000000000001</x:v>
      </x:c>
      <x:c r="D753" s="1">
        <x:f>'Входы H'!O138</x:f>
        <x:v>0.20000000000000001</x:v>
      </x:c>
      <x:c r="E753" s="1">
        <x:f>IF(C753=D753,1,0)</x:f>
        <x:v>1</x:v>
      </x:c>
      <x:c r="F753" s="1"/>
      <x:c r="G753" s="1"/>
    </x:row>
    <x:row r="754" ht="26" customHeight="1">
      <x:c r="A754" s="1" t="str">
        <x:v>Входы H</x:v>
      </x:c>
      <x:c r="B754" s="1" t="str">
        <x:v>P138</x:v>
      </x:c>
      <x:c r="C754" s="1">
        <x:v>1</x:v>
      </x:c>
      <x:c r="D754" s="1">
        <x:f>'Входы H'!P138</x:f>
        <x:v>1</x:v>
      </x:c>
      <x:c r="E754" s="1">
        <x:f>IF(C754=D754,1,0)</x:f>
        <x:v>1</x:v>
      </x:c>
      <x:c r="F754" s="1"/>
      <x:c r="G754" s="1"/>
    </x:row>
    <x:row r="755" ht="26" customHeight="1">
      <x:c r="A755" s="1" t="str">
        <x:v>Входы H</x:v>
      </x:c>
      <x:c r="B755" s="1" t="str">
        <x:v>Q138</x:v>
      </x:c>
      <x:c r="C755" s="1">
        <x:v>0.29999999999999999</x:v>
      </x:c>
      <x:c r="D755" s="1">
        <x:f>'Входы H'!Q138</x:f>
        <x:v>0.29999999999999999</x:v>
      </x:c>
      <x:c r="E755" s="1">
        <x:f>IF(C755=D755,1,0)</x:f>
        <x:v>1</x:v>
      </x:c>
      <x:c r="F755" s="1"/>
      <x:c r="G755" s="1"/>
    </x:row>
    <x:row r="756" ht="26" customHeight="1">
      <x:c r="A756" s="1" t="str">
        <x:v>Входы H</x:v>
      </x:c>
      <x:c r="B756" s="1" t="str">
        <x:v>N139</x:v>
      </x:c>
      <x:c r="C756" s="1">
        <x:v>1.5</x:v>
      </x:c>
      <x:c r="D756" s="1">
        <x:f>'Входы H'!N139</x:f>
        <x:v>1.5</x:v>
      </x:c>
      <x:c r="E756" s="1">
        <x:f>IF(C756=D756,1,0)</x:f>
        <x:v>1</x:v>
      </x:c>
      <x:c r="F756" s="1"/>
      <x:c r="G756" s="1"/>
    </x:row>
    <x:row r="757" ht="26" customHeight="1">
      <x:c r="A757" s="1" t="str">
        <x:v>Входы H</x:v>
      </x:c>
      <x:c r="B757" s="1" t="str">
        <x:v>O139</x:v>
      </x:c>
      <x:c r="C757" s="1">
        <x:v>0.20000000000000001</x:v>
      </x:c>
      <x:c r="D757" s="1">
        <x:f>'Входы H'!O139</x:f>
        <x:v>0.20000000000000001</x:v>
      </x:c>
      <x:c r="E757" s="1">
        <x:f>IF(C757=D757,1,0)</x:f>
        <x:v>1</x:v>
      </x:c>
      <x:c r="F757" s="1"/>
      <x:c r="G757" s="1"/>
    </x:row>
    <x:row r="758" ht="26" customHeight="1">
      <x:c r="A758" s="1" t="str">
        <x:v>Входы H</x:v>
      </x:c>
      <x:c r="B758" s="1" t="str">
        <x:v>P139</x:v>
      </x:c>
      <x:c r="C758" s="1">
        <x:v>1</x:v>
      </x:c>
      <x:c r="D758" s="1">
        <x:f>'Входы H'!P139</x:f>
        <x:v>1</x:v>
      </x:c>
      <x:c r="E758" s="1">
        <x:f>IF(C758=D758,1,0)</x:f>
        <x:v>1</x:v>
      </x:c>
      <x:c r="F758" s="1"/>
      <x:c r="G758" s="1"/>
    </x:row>
    <x:row r="759" ht="26" customHeight="1">
      <x:c r="A759" s="1" t="str">
        <x:v>Входы H</x:v>
      </x:c>
      <x:c r="B759" s="1" t="str">
        <x:v>Q139</x:v>
      </x:c>
      <x:c r="C759" s="1">
        <x:v>0.29999999999999999</x:v>
      </x:c>
      <x:c r="D759" s="1">
        <x:f>'Входы H'!Q139</x:f>
        <x:v>0.29999999999999999</x:v>
      </x:c>
      <x:c r="E759" s="1">
        <x:f>IF(C759=D759,1,0)</x:f>
        <x:v>1</x:v>
      </x:c>
      <x:c r="F759" s="1"/>
      <x:c r="G759" s="1"/>
    </x:row>
    <x:row r="760" ht="26" customHeight="1">
      <x:c r="A760" s="1" t="str">
        <x:v>Входы H</x:v>
      </x:c>
      <x:c r="B760" s="1" t="str">
        <x:v>N140</x:v>
      </x:c>
      <x:c r="C760" s="1">
        <x:v>1.5</x:v>
      </x:c>
      <x:c r="D760" s="1">
        <x:f>'Входы H'!N140</x:f>
        <x:v>1.5</x:v>
      </x:c>
      <x:c r="E760" s="1">
        <x:f>IF(C760=D760,1,0)</x:f>
        <x:v>1</x:v>
      </x:c>
      <x:c r="F760" s="1"/>
      <x:c r="G760" s="1"/>
    </x:row>
    <x:row r="761" ht="26" customHeight="1">
      <x:c r="A761" s="1" t="str">
        <x:v>Входы H</x:v>
      </x:c>
      <x:c r="B761" s="1" t="str">
        <x:v>O140</x:v>
      </x:c>
      <x:c r="C761" s="1">
        <x:v>0.20000000000000001</x:v>
      </x:c>
      <x:c r="D761" s="1">
        <x:f>'Входы H'!O140</x:f>
        <x:v>0.20000000000000001</x:v>
      </x:c>
      <x:c r="E761" s="1">
        <x:f>IF(C761=D761,1,0)</x:f>
        <x:v>1</x:v>
      </x:c>
      <x:c r="F761" s="1"/>
      <x:c r="G761" s="1"/>
    </x:row>
    <x:row r="762" ht="26" customHeight="1">
      <x:c r="A762" s="1" t="str">
        <x:v>Входы H</x:v>
      </x:c>
      <x:c r="B762" s="1" t="str">
        <x:v>P140</x:v>
      </x:c>
      <x:c r="C762" s="1">
        <x:v>1</x:v>
      </x:c>
      <x:c r="D762" s="1">
        <x:f>'Входы H'!P140</x:f>
        <x:v>1</x:v>
      </x:c>
      <x:c r="E762" s="1">
        <x:f>IF(C762=D762,1,0)</x:f>
        <x:v>1</x:v>
      </x:c>
      <x:c r="F762" s="1"/>
      <x:c r="G762" s="1"/>
    </x:row>
    <x:row r="763" ht="26" customHeight="1">
      <x:c r="A763" s="1" t="str">
        <x:v>Входы H</x:v>
      </x:c>
      <x:c r="B763" s="1" t="str">
        <x:v>Q140</x:v>
      </x:c>
      <x:c r="C763" s="1">
        <x:v>0.29999999999999999</x:v>
      </x:c>
      <x:c r="D763" s="1">
        <x:f>'Входы H'!Q140</x:f>
        <x:v>0.29999999999999999</x:v>
      </x:c>
      <x:c r="E763" s="1">
        <x:f>IF(C763=D763,1,0)</x:f>
        <x:v>1</x:v>
      </x:c>
      <x:c r="F763" s="1"/>
      <x:c r="G763" s="1"/>
    </x:row>
    <x:row r="764" ht="26" customHeight="1">
      <x:c r="A764" s="1" t="str">
        <x:v>Входы H</x:v>
      </x:c>
      <x:c r="B764" s="1" t="str">
        <x:v>N141</x:v>
      </x:c>
      <x:c r="C764" s="1">
        <x:v>1.5</x:v>
      </x:c>
      <x:c r="D764" s="1">
        <x:f>'Входы H'!N141</x:f>
        <x:v>1.5</x:v>
      </x:c>
      <x:c r="E764" s="1">
        <x:f>IF(C764=D764,1,0)</x:f>
        <x:v>1</x:v>
      </x:c>
      <x:c r="F764" s="1"/>
      <x:c r="G764" s="1"/>
    </x:row>
    <x:row r="765" ht="26" customHeight="1">
      <x:c r="A765" s="1" t="str">
        <x:v>Входы H</x:v>
      </x:c>
      <x:c r="B765" s="1" t="str">
        <x:v>O141</x:v>
      </x:c>
      <x:c r="C765" s="1">
        <x:v>0.20000000000000001</x:v>
      </x:c>
      <x:c r="D765" s="1">
        <x:f>'Входы H'!O141</x:f>
        <x:v>0.20000000000000001</x:v>
      </x:c>
      <x:c r="E765" s="1">
        <x:f>IF(C765=D765,1,0)</x:f>
        <x:v>1</x:v>
      </x:c>
      <x:c r="F765" s="1"/>
      <x:c r="G765" s="1"/>
    </x:row>
    <x:row r="766" ht="26" customHeight="1">
      <x:c r="A766" s="1" t="str">
        <x:v>Входы H</x:v>
      </x:c>
      <x:c r="B766" s="1" t="str">
        <x:v>P141</x:v>
      </x:c>
      <x:c r="C766" s="1">
        <x:v>1</x:v>
      </x:c>
      <x:c r="D766" s="1">
        <x:f>'Входы H'!P141</x:f>
        <x:v>1</x:v>
      </x:c>
      <x:c r="E766" s="1">
        <x:f>IF(C766=D766,1,0)</x:f>
        <x:v>1</x:v>
      </x:c>
      <x:c r="F766" s="1"/>
      <x:c r="G766" s="1"/>
    </x:row>
    <x:row r="767" ht="26" customHeight="1">
      <x:c r="A767" s="1" t="str">
        <x:v>Входы H</x:v>
      </x:c>
      <x:c r="B767" s="1" t="str">
        <x:v>Q141</x:v>
      </x:c>
      <x:c r="C767" s="1">
        <x:v>0.29999999999999999</x:v>
      </x:c>
      <x:c r="D767" s="1">
        <x:f>'Входы H'!Q141</x:f>
        <x:v>0.29999999999999999</x:v>
      </x:c>
      <x:c r="E767" s="1">
        <x:f>IF(C767=D767,1,0)</x:f>
        <x:v>1</x:v>
      </x:c>
      <x:c r="F767" s="1"/>
      <x:c r="G767" s="1"/>
    </x:row>
    <x:row r="768" ht="26" customHeight="1">
      <x:c r="A768" s="1" t="str">
        <x:v>Входы H</x:v>
      </x:c>
      <x:c r="B768" s="1" t="str">
        <x:v>N142</x:v>
      </x:c>
      <x:c r="C768" s="1">
        <x:v>1.5</x:v>
      </x:c>
      <x:c r="D768" s="1">
        <x:f>'Входы H'!N142</x:f>
        <x:v>1.5</x:v>
      </x:c>
      <x:c r="E768" s="1">
        <x:f>IF(C768=D768,1,0)</x:f>
        <x:v>1</x:v>
      </x:c>
      <x:c r="F768" s="1"/>
      <x:c r="G768" s="1"/>
    </x:row>
    <x:row r="769" ht="26" customHeight="1">
      <x:c r="A769" s="1" t="str">
        <x:v>Входы H</x:v>
      </x:c>
      <x:c r="B769" s="1" t="str">
        <x:v>O142</x:v>
      </x:c>
      <x:c r="C769" s="1">
        <x:v>0.20000000000000001</x:v>
      </x:c>
      <x:c r="D769" s="1">
        <x:f>'Входы H'!O142</x:f>
        <x:v>0.20000000000000001</x:v>
      </x:c>
      <x:c r="E769" s="1">
        <x:f>IF(C769=D769,1,0)</x:f>
        <x:v>1</x:v>
      </x:c>
      <x:c r="F769" s="1"/>
      <x:c r="G769" s="1"/>
    </x:row>
    <x:row r="770" ht="26" customHeight="1">
      <x:c r="A770" s="1" t="str">
        <x:v>Входы H</x:v>
      </x:c>
      <x:c r="B770" s="1" t="str">
        <x:v>P142</x:v>
      </x:c>
      <x:c r="C770" s="1">
        <x:v>1</x:v>
      </x:c>
      <x:c r="D770" s="1">
        <x:f>'Входы H'!P142</x:f>
        <x:v>1</x:v>
      </x:c>
      <x:c r="E770" s="1">
        <x:f>IF(C770=D770,1,0)</x:f>
        <x:v>1</x:v>
      </x:c>
      <x:c r="F770" s="1"/>
      <x:c r="G770" s="1"/>
    </x:row>
    <x:row r="771" ht="26" customHeight="1">
      <x:c r="A771" s="1" t="str">
        <x:v>Входы H</x:v>
      </x:c>
      <x:c r="B771" s="1" t="str">
        <x:v>Q142</x:v>
      </x:c>
      <x:c r="C771" s="1">
        <x:v>0.29999999999999999</x:v>
      </x:c>
      <x:c r="D771" s="1">
        <x:f>'Входы H'!Q142</x:f>
        <x:v>0.29999999999999999</x:v>
      </x:c>
      <x:c r="E771" s="1">
        <x:f>IF(C771=D771,1,0)</x:f>
        <x:v>1</x:v>
      </x:c>
      <x:c r="F771" s="1"/>
      <x:c r="G771" s="1"/>
    </x:row>
    <x:row r="772" ht="26" customHeight="1">
      <x:c r="A772" s="1" t="str">
        <x:v>Входы H</x:v>
      </x:c>
      <x:c r="B772" s="1" t="str">
        <x:v>N143</x:v>
      </x:c>
      <x:c r="C772" s="1">
        <x:v>1.5</x:v>
      </x:c>
      <x:c r="D772" s="1">
        <x:f>'Входы H'!N143</x:f>
        <x:v>1.5</x:v>
      </x:c>
      <x:c r="E772" s="1">
        <x:f>IF(C772=D772,1,0)</x:f>
        <x:v>1</x:v>
      </x:c>
      <x:c r="F772" s="1"/>
      <x:c r="G772" s="1"/>
    </x:row>
    <x:row r="773" ht="26" customHeight="1">
      <x:c r="A773" s="1" t="str">
        <x:v>Входы H</x:v>
      </x:c>
      <x:c r="B773" s="1" t="str">
        <x:v>O143</x:v>
      </x:c>
      <x:c r="C773" s="1">
        <x:v>0.20000000000000001</x:v>
      </x:c>
      <x:c r="D773" s="1">
        <x:f>'Входы H'!O143</x:f>
        <x:v>0.20000000000000001</x:v>
      </x:c>
      <x:c r="E773" s="1">
        <x:f>IF(C773=D773,1,0)</x:f>
        <x:v>1</x:v>
      </x:c>
      <x:c r="F773" s="1"/>
      <x:c r="G773" s="1"/>
    </x:row>
    <x:row r="774" ht="26" customHeight="1">
      <x:c r="A774" s="1" t="str">
        <x:v>Входы H</x:v>
      </x:c>
      <x:c r="B774" s="1" t="str">
        <x:v>P143</x:v>
      </x:c>
      <x:c r="C774" s="1">
        <x:v>1</x:v>
      </x:c>
      <x:c r="D774" s="1">
        <x:f>'Входы H'!P143</x:f>
        <x:v>1</x:v>
      </x:c>
      <x:c r="E774" s="1">
        <x:f>IF(C774=D774,1,0)</x:f>
        <x:v>1</x:v>
      </x:c>
      <x:c r="F774" s="1"/>
      <x:c r="G774" s="1"/>
    </x:row>
    <x:row r="775" ht="26" customHeight="1">
      <x:c r="A775" s="1" t="str">
        <x:v>Входы H</x:v>
      </x:c>
      <x:c r="B775" s="1" t="str">
        <x:v>Q143</x:v>
      </x:c>
      <x:c r="C775" s="1">
        <x:v>0.29999999999999999</x:v>
      </x:c>
      <x:c r="D775" s="1">
        <x:f>'Входы H'!Q143</x:f>
        <x:v>0.29999999999999999</x:v>
      </x:c>
      <x:c r="E775" s="1">
        <x:f>IF(C775=D775,1,0)</x:f>
        <x:v>1</x:v>
      </x:c>
      <x:c r="F775" s="1"/>
      <x:c r="G775" s="1"/>
    </x:row>
    <x:row r="776" ht="26" customHeight="1">
      <x:c r="A776" s="1" t="str">
        <x:v>Входы H</x:v>
      </x:c>
      <x:c r="B776" s="1" t="str">
        <x:v>N144</x:v>
      </x:c>
      <x:c r="C776" s="1">
        <x:v>1.5</x:v>
      </x:c>
      <x:c r="D776" s="1">
        <x:f>'Входы H'!N144</x:f>
        <x:v>1.5</x:v>
      </x:c>
      <x:c r="E776" s="1">
        <x:f>IF(C776=D776,1,0)</x:f>
        <x:v>1</x:v>
      </x:c>
      <x:c r="F776" s="1"/>
      <x:c r="G776" s="1"/>
    </x:row>
    <x:row r="777" ht="26" customHeight="1">
      <x:c r="A777" s="1" t="str">
        <x:v>Входы H</x:v>
      </x:c>
      <x:c r="B777" s="1" t="str">
        <x:v>O144</x:v>
      </x:c>
      <x:c r="C777" s="1">
        <x:v>0.20000000000000001</x:v>
      </x:c>
      <x:c r="D777" s="1">
        <x:f>'Входы H'!O144</x:f>
        <x:v>0.20000000000000001</x:v>
      </x:c>
      <x:c r="E777" s="1">
        <x:f>IF(C777=D777,1,0)</x:f>
        <x:v>1</x:v>
      </x:c>
      <x:c r="F777" s="1"/>
      <x:c r="G777" s="1"/>
    </x:row>
    <x:row r="778" ht="26" customHeight="1">
      <x:c r="A778" s="1" t="str">
        <x:v>Входы H</x:v>
      </x:c>
      <x:c r="B778" s="1" t="str">
        <x:v>P144</x:v>
      </x:c>
      <x:c r="C778" s="1">
        <x:v>1</x:v>
      </x:c>
      <x:c r="D778" s="1">
        <x:f>'Входы H'!P144</x:f>
        <x:v>1</x:v>
      </x:c>
      <x:c r="E778" s="1">
        <x:f>IF(C778=D778,1,0)</x:f>
        <x:v>1</x:v>
      </x:c>
      <x:c r="F778" s="1"/>
      <x:c r="G778" s="1"/>
    </x:row>
    <x:row r="779" ht="26" customHeight="1">
      <x:c r="A779" s="1" t="str">
        <x:v>Входы H</x:v>
      </x:c>
      <x:c r="B779" s="1" t="str">
        <x:v>Q144</x:v>
      </x:c>
      <x:c r="C779" s="1">
        <x:v>0.29999999999999999</x:v>
      </x:c>
      <x:c r="D779" s="1">
        <x:f>'Входы H'!Q144</x:f>
        <x:v>0.29999999999999999</x:v>
      </x:c>
      <x:c r="E779" s="1">
        <x:f>IF(C779=D779,1,0)</x:f>
        <x:v>1</x:v>
      </x:c>
      <x:c r="F779" s="1"/>
      <x:c r="G779" s="1"/>
    </x:row>
    <x:row r="780" ht="26" customHeight="1">
      <x:c r="A780" s="1" t="str">
        <x:v>Входы H</x:v>
      </x:c>
      <x:c r="B780" s="1" t="str">
        <x:v>R5</x:v>
      </x:c>
      <x:c r="C780" s="1">
        <x:v>0.65000000000000002</x:v>
      </x:c>
      <x:c r="D780" s="1">
        <x:f>'Входы H'!R5</x:f>
        <x:v>0.65000000000000002</x:v>
      </x:c>
      <x:c r="E780" s="1">
        <x:f>IF(C780=D780,1,0)</x:f>
        <x:v>1</x:v>
      </x:c>
      <x:c r="F780" s="1"/>
      <x:c r="G780" s="1"/>
    </x:row>
    <x:row r="781" ht="26" customHeight="1">
      <x:c r="A781" s="1" t="str">
        <x:v>Входы H</x:v>
      </x:c>
      <x:c r="B781" s="1" t="str">
        <x:v>S5</x:v>
      </x:c>
      <x:c r="C781" s="1">
        <x:v>0.13</x:v>
      </x:c>
      <x:c r="D781" s="1">
        <x:f>'Входы H'!S5</x:f>
        <x:v>0.13</x:v>
      </x:c>
      <x:c r="E781" s="1">
        <x:f>IF(C781=D781,1,0)</x:f>
        <x:v>1</x:v>
      </x:c>
      <x:c r="F781" s="1"/>
      <x:c r="G781" s="1"/>
    </x:row>
    <x:row r="782" ht="26" customHeight="1">
      <x:c r="A782" s="1" t="str">
        <x:v>Входы H</x:v>
      </x:c>
      <x:c r="B782" s="1" t="str">
        <x:v>R6</x:v>
      </x:c>
      <x:c r="C782" s="1">
        <x:v>0.65000000000000002</x:v>
      </x:c>
      <x:c r="D782" s="1">
        <x:f>'Входы H'!R6</x:f>
        <x:v>0.65000000000000002</x:v>
      </x:c>
      <x:c r="E782" s="1">
        <x:f>IF(C782=D782,1,0)</x:f>
        <x:v>1</x:v>
      </x:c>
      <x:c r="F782" s="1"/>
      <x:c r="G782" s="1"/>
    </x:row>
    <x:row r="783" ht="26" customHeight="1">
      <x:c r="A783" s="1" t="str">
        <x:v>Входы H</x:v>
      </x:c>
      <x:c r="B783" s="1" t="str">
        <x:v>S6</x:v>
      </x:c>
      <x:c r="C783" s="1">
        <x:v>0.13</x:v>
      </x:c>
      <x:c r="D783" s="1">
        <x:f>'Входы H'!S6</x:f>
        <x:v>0.13</x:v>
      </x:c>
      <x:c r="E783" s="1">
        <x:f>IF(C783=D783,1,0)</x:f>
        <x:v>1</x:v>
      </x:c>
      <x:c r="F783" s="1"/>
      <x:c r="G783" s="1"/>
    </x:row>
    <x:row r="784" ht="26" customHeight="1">
      <x:c r="A784" s="1" t="str">
        <x:v>Входы H</x:v>
      </x:c>
      <x:c r="B784" s="1" t="str">
        <x:v>R7</x:v>
      </x:c>
      <x:c r="C784" s="1">
        <x:v>0.65000000000000002</x:v>
      </x:c>
      <x:c r="D784" s="1">
        <x:f>'Входы H'!R7</x:f>
        <x:v>0.65000000000000002</x:v>
      </x:c>
      <x:c r="E784" s="1">
        <x:f>IF(C784=D784,1,0)</x:f>
        <x:v>1</x:v>
      </x:c>
      <x:c r="F784" s="1"/>
      <x:c r="G784" s="1"/>
    </x:row>
    <x:row r="785" ht="26" customHeight="1">
      <x:c r="A785" s="1" t="str">
        <x:v>Входы H</x:v>
      </x:c>
      <x:c r="B785" s="1" t="str">
        <x:v>S7</x:v>
      </x:c>
      <x:c r="C785" s="1">
        <x:v>0.13</x:v>
      </x:c>
      <x:c r="D785" s="1">
        <x:f>'Входы H'!S7</x:f>
        <x:v>0.13</x:v>
      </x:c>
      <x:c r="E785" s="1">
        <x:f>IF(C785=D785,1,0)</x:f>
        <x:v>1</x:v>
      </x:c>
      <x:c r="F785" s="1"/>
      <x:c r="G785" s="1"/>
    </x:row>
    <x:row r="786" ht="26" customHeight="1">
      <x:c r="A786" s="1" t="str">
        <x:v>Входы H</x:v>
      </x:c>
      <x:c r="B786" s="1" t="str">
        <x:v>R8</x:v>
      </x:c>
      <x:c r="C786" s="1">
        <x:v>0.65000000000000002</x:v>
      </x:c>
      <x:c r="D786" s="1">
        <x:f>'Входы H'!R8</x:f>
        <x:v>0.65000000000000002</x:v>
      </x:c>
      <x:c r="E786" s="1">
        <x:f>IF(C786=D786,1,0)</x:f>
        <x:v>1</x:v>
      </x:c>
      <x:c r="F786" s="1"/>
      <x:c r="G786" s="1"/>
    </x:row>
    <x:row r="787" ht="26" customHeight="1">
      <x:c r="A787" s="1" t="str">
        <x:v>Входы H</x:v>
      </x:c>
      <x:c r="B787" s="1" t="str">
        <x:v>S8</x:v>
      </x:c>
      <x:c r="C787" s="1">
        <x:v>0.13</x:v>
      </x:c>
      <x:c r="D787" s="1">
        <x:f>'Входы H'!S8</x:f>
        <x:v>0.13</x:v>
      </x:c>
      <x:c r="E787" s="1">
        <x:f>IF(C787=D787,1,0)</x:f>
        <x:v>1</x:v>
      </x:c>
      <x:c r="F787" s="1"/>
      <x:c r="G787" s="1"/>
    </x:row>
    <x:row r="788" ht="26" customHeight="1">
      <x:c r="A788" s="1" t="str">
        <x:v>Входы H</x:v>
      </x:c>
      <x:c r="B788" s="1" t="str">
        <x:v>R9</x:v>
      </x:c>
      <x:c r="C788" s="1">
        <x:v>0.65000000000000002</x:v>
      </x:c>
      <x:c r="D788" s="1">
        <x:f>'Входы H'!R9</x:f>
        <x:v>0.65000000000000002</x:v>
      </x:c>
      <x:c r="E788" s="1">
        <x:f>IF(C788=D788,1,0)</x:f>
        <x:v>1</x:v>
      </x:c>
      <x:c r="F788" s="1"/>
      <x:c r="G788" s="1"/>
    </x:row>
    <x:row r="789" ht="26" customHeight="1">
      <x:c r="A789" s="1" t="str">
        <x:v>Входы H</x:v>
      </x:c>
      <x:c r="B789" s="1" t="str">
        <x:v>S9</x:v>
      </x:c>
      <x:c r="C789" s="1">
        <x:v>0.13</x:v>
      </x:c>
      <x:c r="D789" s="1">
        <x:f>'Входы H'!S9</x:f>
        <x:v>0.13</x:v>
      </x:c>
      <x:c r="E789" s="1">
        <x:f>IF(C789=D789,1,0)</x:f>
        <x:v>1</x:v>
      </x:c>
      <x:c r="F789" s="1"/>
      <x:c r="G789" s="1"/>
    </x:row>
    <x:row r="790" ht="26" customHeight="1">
      <x:c r="A790" s="1" t="str">
        <x:v>Входы H</x:v>
      </x:c>
      <x:c r="B790" s="1" t="str">
        <x:v>R10</x:v>
      </x:c>
      <x:c r="C790" s="1">
        <x:v>0.65000000000000002</x:v>
      </x:c>
      <x:c r="D790" s="1">
        <x:f>'Входы H'!R10</x:f>
        <x:v>0.65000000000000002</x:v>
      </x:c>
      <x:c r="E790" s="1">
        <x:f>IF(C790=D790,1,0)</x:f>
        <x:v>1</x:v>
      </x:c>
      <x:c r="F790" s="1"/>
      <x:c r="G790" s="1"/>
    </x:row>
    <x:row r="791" ht="26" customHeight="1">
      <x:c r="A791" s="1" t="str">
        <x:v>Входы H</x:v>
      </x:c>
      <x:c r="B791" s="1" t="str">
        <x:v>S10</x:v>
      </x:c>
      <x:c r="C791" s="1">
        <x:v>0.13</x:v>
      </x:c>
      <x:c r="D791" s="1">
        <x:f>'Входы H'!S10</x:f>
        <x:v>0.13</x:v>
      </x:c>
      <x:c r="E791" s="1">
        <x:f>IF(C791=D791,1,0)</x:f>
        <x:v>1</x:v>
      </x:c>
      <x:c r="F791" s="1"/>
      <x:c r="G791" s="1"/>
    </x:row>
    <x:row r="792" ht="26" customHeight="1">
      <x:c r="A792" s="1" t="str">
        <x:v>Входы H</x:v>
      </x:c>
      <x:c r="B792" s="1" t="str">
        <x:v>R11</x:v>
      </x:c>
      <x:c r="C792" s="1">
        <x:v>0.65000000000000002</x:v>
      </x:c>
      <x:c r="D792" s="1">
        <x:f>'Входы H'!R11</x:f>
        <x:v>0.65000000000000002</x:v>
      </x:c>
      <x:c r="E792" s="1">
        <x:f>IF(C792=D792,1,0)</x:f>
        <x:v>1</x:v>
      </x:c>
      <x:c r="F792" s="1"/>
      <x:c r="G792" s="1"/>
    </x:row>
    <x:row r="793" ht="26" customHeight="1">
      <x:c r="A793" s="1" t="str">
        <x:v>Входы H</x:v>
      </x:c>
      <x:c r="B793" s="1" t="str">
        <x:v>S11</x:v>
      </x:c>
      <x:c r="C793" s="1">
        <x:v>0.13</x:v>
      </x:c>
      <x:c r="D793" s="1">
        <x:f>'Входы H'!S11</x:f>
        <x:v>0.13</x:v>
      </x:c>
      <x:c r="E793" s="1">
        <x:f>IF(C793=D793,1,0)</x:f>
        <x:v>1</x:v>
      </x:c>
      <x:c r="F793" s="1"/>
      <x:c r="G793" s="1"/>
    </x:row>
    <x:row r="794" ht="26" customHeight="1">
      <x:c r="A794" s="1" t="str">
        <x:v>Входы H</x:v>
      </x:c>
      <x:c r="B794" s="1" t="str">
        <x:v>R12</x:v>
      </x:c>
      <x:c r="C794" s="1">
        <x:v>0.65000000000000002</x:v>
      </x:c>
      <x:c r="D794" s="1">
        <x:f>'Входы H'!R12</x:f>
        <x:v>0.65000000000000002</x:v>
      </x:c>
      <x:c r="E794" s="1">
        <x:f>IF(C794=D794,1,0)</x:f>
        <x:v>1</x:v>
      </x:c>
      <x:c r="F794" s="1"/>
      <x:c r="G794" s="1"/>
    </x:row>
    <x:row r="795" ht="26" customHeight="1">
      <x:c r="A795" s="1" t="str">
        <x:v>Входы H</x:v>
      </x:c>
      <x:c r="B795" s="1" t="str">
        <x:v>S12</x:v>
      </x:c>
      <x:c r="C795" s="1">
        <x:v>0.13</x:v>
      </x:c>
      <x:c r="D795" s="1">
        <x:f>'Входы H'!S12</x:f>
        <x:v>0.13</x:v>
      </x:c>
      <x:c r="E795" s="1">
        <x:f>IF(C795=D795,1,0)</x:f>
        <x:v>1</x:v>
      </x:c>
      <x:c r="F795" s="1"/>
      <x:c r="G795" s="1"/>
    </x:row>
    <x:row r="796" ht="26" customHeight="1">
      <x:c r="A796" s="1" t="str">
        <x:v>Входы H</x:v>
      </x:c>
      <x:c r="B796" s="1" t="str">
        <x:v>R13</x:v>
      </x:c>
      <x:c r="C796" s="1">
        <x:v>0.65000000000000002</x:v>
      </x:c>
      <x:c r="D796" s="1">
        <x:f>'Входы H'!R13</x:f>
        <x:v>0.65000000000000002</x:v>
      </x:c>
      <x:c r="E796" s="1">
        <x:f>IF(C796=D796,1,0)</x:f>
        <x:v>1</x:v>
      </x:c>
      <x:c r="F796" s="1"/>
      <x:c r="G796" s="1"/>
    </x:row>
    <x:row r="797" ht="26" customHeight="1">
      <x:c r="A797" s="1" t="str">
        <x:v>Входы H</x:v>
      </x:c>
      <x:c r="B797" s="1" t="str">
        <x:v>S13</x:v>
      </x:c>
      <x:c r="C797" s="1">
        <x:v>0.13</x:v>
      </x:c>
      <x:c r="D797" s="1">
        <x:f>'Входы H'!S13</x:f>
        <x:v>0.13</x:v>
      </x:c>
      <x:c r="E797" s="1">
        <x:f>IF(C797=D797,1,0)</x:f>
        <x:v>1</x:v>
      </x:c>
      <x:c r="F797" s="1"/>
      <x:c r="G797" s="1"/>
    </x:row>
    <x:row r="798" ht="26" customHeight="1">
      <x:c r="A798" s="1" t="str">
        <x:v>Входы H</x:v>
      </x:c>
      <x:c r="B798" s="1" t="str">
        <x:v>R14</x:v>
      </x:c>
      <x:c r="C798" s="1">
        <x:v>0.65000000000000002</x:v>
      </x:c>
      <x:c r="D798" s="1">
        <x:f>'Входы H'!R14</x:f>
        <x:v>0.65000000000000002</x:v>
      </x:c>
      <x:c r="E798" s="1">
        <x:f>IF(C798=D798,1,0)</x:f>
        <x:v>1</x:v>
      </x:c>
      <x:c r="F798" s="1"/>
      <x:c r="G798" s="1"/>
    </x:row>
    <x:row r="799" ht="26" customHeight="1">
      <x:c r="A799" s="1" t="str">
        <x:v>Входы H</x:v>
      </x:c>
      <x:c r="B799" s="1" t="str">
        <x:v>S14</x:v>
      </x:c>
      <x:c r="C799" s="1">
        <x:v>0.13</x:v>
      </x:c>
      <x:c r="D799" s="1">
        <x:f>'Входы H'!S14</x:f>
        <x:v>0.13</x:v>
      </x:c>
      <x:c r="E799" s="1">
        <x:f>IF(C799=D799,1,0)</x:f>
        <x:v>1</x:v>
      </x:c>
      <x:c r="F799" s="1"/>
      <x:c r="G799" s="1"/>
    </x:row>
    <x:row r="800" ht="26" customHeight="1">
      <x:c r="A800" s="1" t="str">
        <x:v>Входы H</x:v>
      </x:c>
      <x:c r="B800" s="1" t="str">
        <x:v>R15</x:v>
      </x:c>
      <x:c r="C800" s="1">
        <x:v>0.65000000000000002</x:v>
      </x:c>
      <x:c r="D800" s="1">
        <x:f>'Входы H'!R15</x:f>
        <x:v>0.65000000000000002</x:v>
      </x:c>
      <x:c r="E800" s="1">
        <x:f>IF(C800=D800,1,0)</x:f>
        <x:v>1</x:v>
      </x:c>
      <x:c r="F800" s="1"/>
      <x:c r="G800" s="1"/>
    </x:row>
    <x:row r="801" ht="26" customHeight="1">
      <x:c r="A801" s="1" t="str">
        <x:v>Входы H</x:v>
      </x:c>
      <x:c r="B801" s="1" t="str">
        <x:v>S15</x:v>
      </x:c>
      <x:c r="C801" s="1">
        <x:v>0.13</x:v>
      </x:c>
      <x:c r="D801" s="1">
        <x:f>'Входы H'!S15</x:f>
        <x:v>0.13</x:v>
      </x:c>
      <x:c r="E801" s="1">
        <x:f>IF(C801=D801,1,0)</x:f>
        <x:v>1</x:v>
      </x:c>
      <x:c r="F801" s="1"/>
      <x:c r="G801" s="1"/>
    </x:row>
    <x:row r="802" ht="26" customHeight="1">
      <x:c r="A802" s="1" t="str">
        <x:v>Входы H</x:v>
      </x:c>
      <x:c r="B802" s="1" t="str">
        <x:v>R16</x:v>
      </x:c>
      <x:c r="C802" s="1">
        <x:v>0.65000000000000002</x:v>
      </x:c>
      <x:c r="D802" s="1">
        <x:f>'Входы H'!R16</x:f>
        <x:v>0.65000000000000002</x:v>
      </x:c>
      <x:c r="E802" s="1">
        <x:f>IF(C802=D802,1,0)</x:f>
        <x:v>1</x:v>
      </x:c>
      <x:c r="F802" s="1"/>
      <x:c r="G802" s="1"/>
    </x:row>
    <x:row r="803" ht="26" customHeight="1">
      <x:c r="A803" s="1" t="str">
        <x:v>Входы H</x:v>
      </x:c>
      <x:c r="B803" s="1" t="str">
        <x:v>S16</x:v>
      </x:c>
      <x:c r="C803" s="1">
        <x:v>0.13</x:v>
      </x:c>
      <x:c r="D803" s="1">
        <x:f>'Входы H'!S16</x:f>
        <x:v>0.13</x:v>
      </x:c>
      <x:c r="E803" s="1">
        <x:f>IF(C803=D803,1,0)</x:f>
        <x:v>1</x:v>
      </x:c>
      <x:c r="F803" s="1"/>
      <x:c r="G803" s="1"/>
    </x:row>
    <x:row r="804" ht="26" customHeight="1">
      <x:c r="A804" s="1" t="str">
        <x:v>Входы H</x:v>
      </x:c>
      <x:c r="B804" s="1" t="str">
        <x:v>R17</x:v>
      </x:c>
      <x:c r="C804" s="1">
        <x:v>0.65000000000000002</x:v>
      </x:c>
      <x:c r="D804" s="1">
        <x:f>'Входы H'!R17</x:f>
        <x:v>0.65000000000000002</x:v>
      </x:c>
      <x:c r="E804" s="1">
        <x:f>IF(C804=D804,1,0)</x:f>
        <x:v>1</x:v>
      </x:c>
      <x:c r="F804" s="1"/>
      <x:c r="G804" s="1"/>
    </x:row>
    <x:row r="805" ht="26" customHeight="1">
      <x:c r="A805" s="1" t="str">
        <x:v>Входы H</x:v>
      </x:c>
      <x:c r="B805" s="1" t="str">
        <x:v>S17</x:v>
      </x:c>
      <x:c r="C805" s="1">
        <x:v>0.13</x:v>
      </x:c>
      <x:c r="D805" s="1">
        <x:f>'Входы H'!S17</x:f>
        <x:v>0.13</x:v>
      </x:c>
      <x:c r="E805" s="1">
        <x:f>IF(C805=D805,1,0)</x:f>
        <x:v>1</x:v>
      </x:c>
      <x:c r="F805" s="1"/>
      <x:c r="G805" s="1"/>
    </x:row>
    <x:row r="806" ht="26" customHeight="1">
      <x:c r="A806" s="1" t="str">
        <x:v>Входы H</x:v>
      </x:c>
      <x:c r="B806" s="1" t="str">
        <x:v>R18</x:v>
      </x:c>
      <x:c r="C806" s="1">
        <x:v>0.65000000000000002</x:v>
      </x:c>
      <x:c r="D806" s="1">
        <x:f>'Входы H'!R18</x:f>
        <x:v>0.65000000000000002</x:v>
      </x:c>
      <x:c r="E806" s="1">
        <x:f>IF(C806=D806,1,0)</x:f>
        <x:v>1</x:v>
      </x:c>
      <x:c r="F806" s="1"/>
      <x:c r="G806" s="1"/>
    </x:row>
    <x:row r="807" ht="26" customHeight="1">
      <x:c r="A807" s="1" t="str">
        <x:v>Входы H</x:v>
      </x:c>
      <x:c r="B807" s="1" t="str">
        <x:v>S18</x:v>
      </x:c>
      <x:c r="C807" s="1">
        <x:v>0.13</x:v>
      </x:c>
      <x:c r="D807" s="1">
        <x:f>'Входы H'!S18</x:f>
        <x:v>0.13</x:v>
      </x:c>
      <x:c r="E807" s="1">
        <x:f>IF(C807=D807,1,0)</x:f>
        <x:v>1</x:v>
      </x:c>
      <x:c r="F807" s="1"/>
      <x:c r="G807" s="1"/>
    </x:row>
    <x:row r="808" ht="26" customHeight="1">
      <x:c r="A808" s="1" t="str">
        <x:v>Входы H</x:v>
      </x:c>
      <x:c r="B808" s="1" t="str">
        <x:v>R19</x:v>
      </x:c>
      <x:c r="C808" s="1">
        <x:v>0.65000000000000002</x:v>
      </x:c>
      <x:c r="D808" s="1">
        <x:f>'Входы H'!R19</x:f>
        <x:v>0.65000000000000002</x:v>
      </x:c>
      <x:c r="E808" s="1">
        <x:f>IF(C808=D808,1,0)</x:f>
        <x:v>1</x:v>
      </x:c>
      <x:c r="F808" s="1"/>
      <x:c r="G808" s="1"/>
    </x:row>
    <x:row r="809" ht="26" customHeight="1">
      <x:c r="A809" s="1" t="str">
        <x:v>Входы H</x:v>
      </x:c>
      <x:c r="B809" s="1" t="str">
        <x:v>S19</x:v>
      </x:c>
      <x:c r="C809" s="1">
        <x:v>0.13</x:v>
      </x:c>
      <x:c r="D809" s="1">
        <x:f>'Входы H'!S19</x:f>
        <x:v>0.13</x:v>
      </x:c>
      <x:c r="E809" s="1">
        <x:f>IF(C809=D809,1,0)</x:f>
        <x:v>1</x:v>
      </x:c>
      <x:c r="F809" s="1"/>
      <x:c r="G809" s="1"/>
    </x:row>
    <x:row r="810" ht="26" customHeight="1">
      <x:c r="A810" s="1" t="str">
        <x:v>Входы H</x:v>
      </x:c>
      <x:c r="B810" s="1" t="str">
        <x:v>R20</x:v>
      </x:c>
      <x:c r="C810" s="1">
        <x:v>0.65000000000000002</x:v>
      </x:c>
      <x:c r="D810" s="1">
        <x:f>'Входы H'!R20</x:f>
        <x:v>0.65000000000000002</x:v>
      </x:c>
      <x:c r="E810" s="1">
        <x:f>IF(C810=D810,1,0)</x:f>
        <x:v>1</x:v>
      </x:c>
      <x:c r="F810" s="1"/>
      <x:c r="G810" s="1"/>
    </x:row>
    <x:row r="811" ht="26" customHeight="1">
      <x:c r="A811" s="1" t="str">
        <x:v>Входы H</x:v>
      </x:c>
      <x:c r="B811" s="1" t="str">
        <x:v>S20</x:v>
      </x:c>
      <x:c r="C811" s="1">
        <x:v>0.13</x:v>
      </x:c>
      <x:c r="D811" s="1">
        <x:f>'Входы H'!S20</x:f>
        <x:v>0.13</x:v>
      </x:c>
      <x:c r="E811" s="1">
        <x:f>IF(C811=D811,1,0)</x:f>
        <x:v>1</x:v>
      </x:c>
      <x:c r="F811" s="1"/>
      <x:c r="G811" s="1"/>
    </x:row>
    <x:row r="812" ht="26" customHeight="1">
      <x:c r="A812" s="1" t="str">
        <x:v>Входы H</x:v>
      </x:c>
      <x:c r="B812" s="1" t="str">
        <x:v>R21</x:v>
      </x:c>
      <x:c r="C812" s="1">
        <x:v>0.65000000000000002</x:v>
      </x:c>
      <x:c r="D812" s="1">
        <x:f>'Входы H'!R21</x:f>
        <x:v>0.65000000000000002</x:v>
      </x:c>
      <x:c r="E812" s="1">
        <x:f>IF(C812=D812,1,0)</x:f>
        <x:v>1</x:v>
      </x:c>
      <x:c r="F812" s="1"/>
      <x:c r="G812" s="1"/>
    </x:row>
    <x:row r="813" ht="26" customHeight="1">
      <x:c r="A813" s="1" t="str">
        <x:v>Входы H</x:v>
      </x:c>
      <x:c r="B813" s="1" t="str">
        <x:v>S21</x:v>
      </x:c>
      <x:c r="C813" s="1">
        <x:v>0.13</x:v>
      </x:c>
      <x:c r="D813" s="1">
        <x:f>'Входы H'!S21</x:f>
        <x:v>0.13</x:v>
      </x:c>
      <x:c r="E813" s="1">
        <x:f>IF(C813=D813,1,0)</x:f>
        <x:v>1</x:v>
      </x:c>
      <x:c r="F813" s="1"/>
      <x:c r="G813" s="1"/>
    </x:row>
    <x:row r="814" ht="26" customHeight="1">
      <x:c r="A814" s="1" t="str">
        <x:v>Входы H</x:v>
      </x:c>
      <x:c r="B814" s="1" t="str">
        <x:v>R22</x:v>
      </x:c>
      <x:c r="C814" s="1">
        <x:v>0.65000000000000002</x:v>
      </x:c>
      <x:c r="D814" s="1">
        <x:f>'Входы H'!R22</x:f>
        <x:v>0.65000000000000002</x:v>
      </x:c>
      <x:c r="E814" s="1">
        <x:f>IF(C814=D814,1,0)</x:f>
        <x:v>1</x:v>
      </x:c>
      <x:c r="F814" s="1"/>
      <x:c r="G814" s="1"/>
    </x:row>
    <x:row r="815" ht="26" customHeight="1">
      <x:c r="A815" s="1" t="str">
        <x:v>Входы H</x:v>
      </x:c>
      <x:c r="B815" s="1" t="str">
        <x:v>S22</x:v>
      </x:c>
      <x:c r="C815" s="1">
        <x:v>0.13</x:v>
      </x:c>
      <x:c r="D815" s="1">
        <x:f>'Входы H'!S22</x:f>
        <x:v>0.13</x:v>
      </x:c>
      <x:c r="E815" s="1">
        <x:f>IF(C815=D815,1,0)</x:f>
        <x:v>1</x:v>
      </x:c>
      <x:c r="F815" s="1"/>
      <x:c r="G815" s="1"/>
    </x:row>
    <x:row r="816" ht="26" customHeight="1">
      <x:c r="A816" s="1" t="str">
        <x:v>Входы H</x:v>
      </x:c>
      <x:c r="B816" s="1" t="str">
        <x:v>R23</x:v>
      </x:c>
      <x:c r="C816" s="1">
        <x:v>0.65000000000000002</x:v>
      </x:c>
      <x:c r="D816" s="1">
        <x:f>'Входы H'!R23</x:f>
        <x:v>0.65000000000000002</x:v>
      </x:c>
      <x:c r="E816" s="1">
        <x:f>IF(C816=D816,1,0)</x:f>
        <x:v>1</x:v>
      </x:c>
      <x:c r="F816" s="1"/>
      <x:c r="G816" s="1"/>
    </x:row>
    <x:row r="817" ht="26" customHeight="1">
      <x:c r="A817" s="1" t="str">
        <x:v>Входы H</x:v>
      </x:c>
      <x:c r="B817" s="1" t="str">
        <x:v>S23</x:v>
      </x:c>
      <x:c r="C817" s="1">
        <x:v>0.13</x:v>
      </x:c>
      <x:c r="D817" s="1">
        <x:f>'Входы H'!S23</x:f>
        <x:v>0.13</x:v>
      </x:c>
      <x:c r="E817" s="1">
        <x:f>IF(C817=D817,1,0)</x:f>
        <x:v>1</x:v>
      </x:c>
      <x:c r="F817" s="1"/>
      <x:c r="G817" s="1"/>
    </x:row>
    <x:row r="818" ht="26" customHeight="1">
      <x:c r="A818" s="1" t="str">
        <x:v>Входы H</x:v>
      </x:c>
      <x:c r="B818" s="1" t="str">
        <x:v>R24</x:v>
      </x:c>
      <x:c r="C818" s="1">
        <x:v>0.65000000000000002</x:v>
      </x:c>
      <x:c r="D818" s="1">
        <x:f>'Входы H'!R24</x:f>
        <x:v>0.65000000000000002</x:v>
      </x:c>
      <x:c r="E818" s="1">
        <x:f>IF(C818=D818,1,0)</x:f>
        <x:v>1</x:v>
      </x:c>
      <x:c r="F818" s="1"/>
      <x:c r="G818" s="1"/>
    </x:row>
    <x:row r="819" ht="26" customHeight="1">
      <x:c r="A819" s="1" t="str">
        <x:v>Входы H</x:v>
      </x:c>
      <x:c r="B819" s="1" t="str">
        <x:v>S24</x:v>
      </x:c>
      <x:c r="C819" s="1">
        <x:v>0.13</x:v>
      </x:c>
      <x:c r="D819" s="1">
        <x:f>'Входы H'!S24</x:f>
        <x:v>0.13</x:v>
      </x:c>
      <x:c r="E819" s="1">
        <x:f>IF(C819=D819,1,0)</x:f>
        <x:v>1</x:v>
      </x:c>
      <x:c r="F819" s="1"/>
      <x:c r="G819" s="1"/>
    </x:row>
    <x:row r="820" ht="26" customHeight="1">
      <x:c r="A820" s="1" t="str">
        <x:v>Входы H</x:v>
      </x:c>
      <x:c r="B820" s="1" t="str">
        <x:v>R25</x:v>
      </x:c>
      <x:c r="C820" s="1">
        <x:v>0.65000000000000002</x:v>
      </x:c>
      <x:c r="D820" s="1">
        <x:f>'Входы H'!R25</x:f>
        <x:v>0.65000000000000002</x:v>
      </x:c>
      <x:c r="E820" s="1">
        <x:f>IF(C820=D820,1,0)</x:f>
        <x:v>1</x:v>
      </x:c>
      <x:c r="F820" s="1"/>
      <x:c r="G820" s="1"/>
    </x:row>
    <x:row r="821" ht="26" customHeight="1">
      <x:c r="A821" s="1" t="str">
        <x:v>Входы H</x:v>
      </x:c>
      <x:c r="B821" s="1" t="str">
        <x:v>S25</x:v>
      </x:c>
      <x:c r="C821" s="1">
        <x:v>0.13</x:v>
      </x:c>
      <x:c r="D821" s="1">
        <x:f>'Входы H'!S25</x:f>
        <x:v>0.13</x:v>
      </x:c>
      <x:c r="E821" s="1">
        <x:f>IF(C821=D821,1,0)</x:f>
        <x:v>1</x:v>
      </x:c>
      <x:c r="F821" s="1"/>
      <x:c r="G821" s="1"/>
    </x:row>
    <x:row r="822" ht="26" customHeight="1">
      <x:c r="A822" s="1" t="str">
        <x:v>Входы H</x:v>
      </x:c>
      <x:c r="B822" s="1" t="str">
        <x:v>R26</x:v>
      </x:c>
      <x:c r="C822" s="1">
        <x:v>0.65000000000000002</x:v>
      </x:c>
      <x:c r="D822" s="1">
        <x:f>'Входы H'!R26</x:f>
        <x:v>0.65000000000000002</x:v>
      </x:c>
      <x:c r="E822" s="1">
        <x:f>IF(C822=D822,1,0)</x:f>
        <x:v>1</x:v>
      </x:c>
      <x:c r="F822" s="1"/>
      <x:c r="G822" s="1"/>
    </x:row>
    <x:row r="823" ht="26" customHeight="1">
      <x:c r="A823" s="1" t="str">
        <x:v>Входы H</x:v>
      </x:c>
      <x:c r="B823" s="1" t="str">
        <x:v>S26</x:v>
      </x:c>
      <x:c r="C823" s="1">
        <x:v>0.13</x:v>
      </x:c>
      <x:c r="D823" s="1">
        <x:f>'Входы H'!S26</x:f>
        <x:v>0.13</x:v>
      </x:c>
      <x:c r="E823" s="1">
        <x:f>IF(C823=D823,1,0)</x:f>
        <x:v>1</x:v>
      </x:c>
      <x:c r="F823" s="1"/>
      <x:c r="G823" s="1"/>
    </x:row>
    <x:row r="824" ht="26" customHeight="1">
      <x:c r="A824" s="1" t="str">
        <x:v>Входы H</x:v>
      </x:c>
      <x:c r="B824" s="1" t="str">
        <x:v>R27</x:v>
      </x:c>
      <x:c r="C824" s="1">
        <x:v>0.65000000000000002</x:v>
      </x:c>
      <x:c r="D824" s="1">
        <x:f>'Входы H'!R27</x:f>
        <x:v>0.65000000000000002</x:v>
      </x:c>
      <x:c r="E824" s="1">
        <x:f>IF(C824=D824,1,0)</x:f>
        <x:v>1</x:v>
      </x:c>
      <x:c r="F824" s="1"/>
      <x:c r="G824" s="1"/>
    </x:row>
    <x:row r="825" ht="26" customHeight="1">
      <x:c r="A825" s="1" t="str">
        <x:v>Входы H</x:v>
      </x:c>
      <x:c r="B825" s="1" t="str">
        <x:v>S27</x:v>
      </x:c>
      <x:c r="C825" s="1">
        <x:v>0.13</x:v>
      </x:c>
      <x:c r="D825" s="1">
        <x:f>'Входы H'!S27</x:f>
        <x:v>0.13</x:v>
      </x:c>
      <x:c r="E825" s="1">
        <x:f>IF(C825=D825,1,0)</x:f>
        <x:v>1</x:v>
      </x:c>
      <x:c r="F825" s="1"/>
      <x:c r="G825" s="1"/>
    </x:row>
    <x:row r="826" ht="26" customHeight="1">
      <x:c r="A826" s="1" t="str">
        <x:v>Входы H</x:v>
      </x:c>
      <x:c r="B826" s="1" t="str">
        <x:v>R28</x:v>
      </x:c>
      <x:c r="C826" s="1">
        <x:v>0.65000000000000002</x:v>
      </x:c>
      <x:c r="D826" s="1">
        <x:f>'Входы H'!R28</x:f>
        <x:v>0.65000000000000002</x:v>
      </x:c>
      <x:c r="E826" s="1">
        <x:f>IF(C826=D826,1,0)</x:f>
        <x:v>1</x:v>
      </x:c>
      <x:c r="F826" s="1"/>
      <x:c r="G826" s="1"/>
    </x:row>
    <x:row r="827" ht="26" customHeight="1">
      <x:c r="A827" s="1" t="str">
        <x:v>Входы H</x:v>
      </x:c>
      <x:c r="B827" s="1" t="str">
        <x:v>S28</x:v>
      </x:c>
      <x:c r="C827" s="1">
        <x:v>0.13</x:v>
      </x:c>
      <x:c r="D827" s="1">
        <x:f>'Входы H'!S28</x:f>
        <x:v>0.13</x:v>
      </x:c>
      <x:c r="E827" s="1">
        <x:f>IF(C827=D827,1,0)</x:f>
        <x:v>1</x:v>
      </x:c>
      <x:c r="F827" s="1"/>
      <x:c r="G827" s="1"/>
    </x:row>
    <x:row r="828" ht="26" customHeight="1">
      <x:c r="A828" s="1" t="str">
        <x:v>Входы H</x:v>
      </x:c>
      <x:c r="B828" s="1" t="str">
        <x:v>R29</x:v>
      </x:c>
      <x:c r="C828" s="1">
        <x:v>0.65000000000000002</x:v>
      </x:c>
      <x:c r="D828" s="1">
        <x:f>'Входы H'!R29</x:f>
        <x:v>0.65000000000000002</x:v>
      </x:c>
      <x:c r="E828" s="1">
        <x:f>IF(C828=D828,1,0)</x:f>
        <x:v>1</x:v>
      </x:c>
      <x:c r="F828" s="1"/>
      <x:c r="G828" s="1"/>
    </x:row>
    <x:row r="829" ht="26" customHeight="1">
      <x:c r="A829" s="1" t="str">
        <x:v>Входы H</x:v>
      </x:c>
      <x:c r="B829" s="1" t="str">
        <x:v>S29</x:v>
      </x:c>
      <x:c r="C829" s="1">
        <x:v>0.13</x:v>
      </x:c>
      <x:c r="D829" s="1">
        <x:f>'Входы H'!S29</x:f>
        <x:v>0.13</x:v>
      </x:c>
      <x:c r="E829" s="1">
        <x:f>IF(C829=D829,1,0)</x:f>
        <x:v>1</x:v>
      </x:c>
      <x:c r="F829" s="1"/>
      <x:c r="G829" s="1"/>
    </x:row>
    <x:row r="830" ht="26" customHeight="1">
      <x:c r="A830" s="1" t="str">
        <x:v>Входы H</x:v>
      </x:c>
      <x:c r="B830" s="1" t="str">
        <x:v>R30</x:v>
      </x:c>
      <x:c r="C830" s="1">
        <x:v>0.65000000000000002</x:v>
      </x:c>
      <x:c r="D830" s="1">
        <x:f>'Входы H'!R30</x:f>
        <x:v>0.65000000000000002</x:v>
      </x:c>
      <x:c r="E830" s="1">
        <x:f>IF(C830=D830,1,0)</x:f>
        <x:v>1</x:v>
      </x:c>
      <x:c r="F830" s="1"/>
      <x:c r="G830" s="1"/>
    </x:row>
    <x:row r="831" ht="26" customHeight="1">
      <x:c r="A831" s="1" t="str">
        <x:v>Входы H</x:v>
      </x:c>
      <x:c r="B831" s="1" t="str">
        <x:v>S30</x:v>
      </x:c>
      <x:c r="C831" s="1">
        <x:v>0.13</x:v>
      </x:c>
      <x:c r="D831" s="1">
        <x:f>'Входы H'!S30</x:f>
        <x:v>0.13</x:v>
      </x:c>
      <x:c r="E831" s="1">
        <x:f>IF(C831=D831,1,0)</x:f>
        <x:v>1</x:v>
      </x:c>
      <x:c r="F831" s="1"/>
      <x:c r="G831" s="1"/>
    </x:row>
    <x:row r="832" ht="26" customHeight="1">
      <x:c r="A832" s="1" t="str">
        <x:v>Входы H</x:v>
      </x:c>
      <x:c r="B832" s="1" t="str">
        <x:v>R31</x:v>
      </x:c>
      <x:c r="C832" s="1">
        <x:v>0.65000000000000002</x:v>
      </x:c>
      <x:c r="D832" s="1">
        <x:f>'Входы H'!R31</x:f>
        <x:v>0.65000000000000002</x:v>
      </x:c>
      <x:c r="E832" s="1">
        <x:f>IF(C832=D832,1,0)</x:f>
        <x:v>1</x:v>
      </x:c>
      <x:c r="F832" s="1"/>
      <x:c r="G832" s="1"/>
    </x:row>
    <x:row r="833" ht="26" customHeight="1">
      <x:c r="A833" s="1" t="str">
        <x:v>Входы H</x:v>
      </x:c>
      <x:c r="B833" s="1" t="str">
        <x:v>S31</x:v>
      </x:c>
      <x:c r="C833" s="1">
        <x:v>0.13</x:v>
      </x:c>
      <x:c r="D833" s="1">
        <x:f>'Входы H'!S31</x:f>
        <x:v>0.13</x:v>
      </x:c>
      <x:c r="E833" s="1">
        <x:f>IF(C833=D833,1,0)</x:f>
        <x:v>1</x:v>
      </x:c>
      <x:c r="F833" s="1"/>
      <x:c r="G833" s="1"/>
    </x:row>
    <x:row r="834" ht="26" customHeight="1">
      <x:c r="A834" s="1" t="str">
        <x:v>Входы H</x:v>
      </x:c>
      <x:c r="B834" s="1" t="str">
        <x:v>R32</x:v>
      </x:c>
      <x:c r="C834" s="1">
        <x:v>0.65000000000000002</x:v>
      </x:c>
      <x:c r="D834" s="1">
        <x:f>'Входы H'!R32</x:f>
        <x:v>0.65000000000000002</x:v>
      </x:c>
      <x:c r="E834" s="1">
        <x:f>IF(C834=D834,1,0)</x:f>
        <x:v>1</x:v>
      </x:c>
      <x:c r="F834" s="1"/>
      <x:c r="G834" s="1"/>
    </x:row>
    <x:row r="835" ht="26" customHeight="1">
      <x:c r="A835" s="1" t="str">
        <x:v>Входы H</x:v>
      </x:c>
      <x:c r="B835" s="1" t="str">
        <x:v>S32</x:v>
      </x:c>
      <x:c r="C835" s="1">
        <x:v>0.13</x:v>
      </x:c>
      <x:c r="D835" s="1">
        <x:f>'Входы H'!S32</x:f>
        <x:v>0.13</x:v>
      </x:c>
      <x:c r="E835" s="1">
        <x:f>IF(C835=D835,1,0)</x:f>
        <x:v>1</x:v>
      </x:c>
      <x:c r="F835" s="1"/>
      <x:c r="G835" s="1"/>
    </x:row>
    <x:row r="836" ht="26" customHeight="1">
      <x:c r="A836" s="1" t="str">
        <x:v>Входы H</x:v>
      </x:c>
      <x:c r="B836" s="1" t="str">
        <x:v>R33</x:v>
      </x:c>
      <x:c r="C836" s="1">
        <x:v>0.65000000000000002</x:v>
      </x:c>
      <x:c r="D836" s="1">
        <x:f>'Входы H'!R33</x:f>
        <x:v>0.65000000000000002</x:v>
      </x:c>
      <x:c r="E836" s="1">
        <x:f>IF(C836=D836,1,0)</x:f>
        <x:v>1</x:v>
      </x:c>
      <x:c r="F836" s="1"/>
      <x:c r="G836" s="1"/>
    </x:row>
    <x:row r="837" ht="26" customHeight="1">
      <x:c r="A837" s="1" t="str">
        <x:v>Входы H</x:v>
      </x:c>
      <x:c r="B837" s="1" t="str">
        <x:v>S33</x:v>
      </x:c>
      <x:c r="C837" s="1">
        <x:v>0.13</x:v>
      </x:c>
      <x:c r="D837" s="1">
        <x:f>'Входы H'!S33</x:f>
        <x:v>0.13</x:v>
      </x:c>
      <x:c r="E837" s="1">
        <x:f>IF(C837=D837,1,0)</x:f>
        <x:v>1</x:v>
      </x:c>
      <x:c r="F837" s="1"/>
      <x:c r="G837" s="1"/>
    </x:row>
    <x:row r="838" ht="26" customHeight="1">
      <x:c r="A838" s="1" t="str">
        <x:v>Входы H</x:v>
      </x:c>
      <x:c r="B838" s="1" t="str">
        <x:v>R34</x:v>
      </x:c>
      <x:c r="C838" s="1">
        <x:v>0.65000000000000002</x:v>
      </x:c>
      <x:c r="D838" s="1">
        <x:f>'Входы H'!R34</x:f>
        <x:v>0.65000000000000002</x:v>
      </x:c>
      <x:c r="E838" s="1">
        <x:f>IF(C838=D838,1,0)</x:f>
        <x:v>1</x:v>
      </x:c>
      <x:c r="F838" s="1"/>
      <x:c r="G838" s="1"/>
    </x:row>
    <x:row r="839" ht="26" customHeight="1">
      <x:c r="A839" s="1" t="str">
        <x:v>Входы H</x:v>
      </x:c>
      <x:c r="B839" s="1" t="str">
        <x:v>S34</x:v>
      </x:c>
      <x:c r="C839" s="1">
        <x:v>0.13</x:v>
      </x:c>
      <x:c r="D839" s="1">
        <x:f>'Входы H'!S34</x:f>
        <x:v>0.13</x:v>
      </x:c>
      <x:c r="E839" s="1">
        <x:f>IF(C839=D839,1,0)</x:f>
        <x:v>1</x:v>
      </x:c>
      <x:c r="F839" s="1"/>
      <x:c r="G839" s="1"/>
    </x:row>
    <x:row r="840" ht="26" customHeight="1">
      <x:c r="A840" s="1" t="str">
        <x:v>Входы H</x:v>
      </x:c>
      <x:c r="B840" s="1" t="str">
        <x:v>R35</x:v>
      </x:c>
      <x:c r="C840" s="1">
        <x:v>0.65000000000000002</x:v>
      </x:c>
      <x:c r="D840" s="1">
        <x:f>'Входы H'!R35</x:f>
        <x:v>0.65000000000000002</x:v>
      </x:c>
      <x:c r="E840" s="1">
        <x:f>IF(C840=D840,1,0)</x:f>
        <x:v>1</x:v>
      </x:c>
      <x:c r="F840" s="1"/>
      <x:c r="G840" s="1"/>
    </x:row>
    <x:row r="841" ht="26" customHeight="1">
      <x:c r="A841" s="1" t="str">
        <x:v>Входы H</x:v>
      </x:c>
      <x:c r="B841" s="1" t="str">
        <x:v>S35</x:v>
      </x:c>
      <x:c r="C841" s="1">
        <x:v>0.13</x:v>
      </x:c>
      <x:c r="D841" s="1">
        <x:f>'Входы H'!S35</x:f>
        <x:v>0.13</x:v>
      </x:c>
      <x:c r="E841" s="1">
        <x:f>IF(C841=D841,1,0)</x:f>
        <x:v>1</x:v>
      </x:c>
      <x:c r="F841" s="1"/>
      <x:c r="G841" s="1"/>
    </x:row>
    <x:row r="842" ht="26" customHeight="1">
      <x:c r="A842" s="1" t="str">
        <x:v>Входы H</x:v>
      </x:c>
      <x:c r="B842" s="1" t="str">
        <x:v>R36</x:v>
      </x:c>
      <x:c r="C842" s="1">
        <x:v>0.65000000000000002</x:v>
      </x:c>
      <x:c r="D842" s="1">
        <x:f>'Входы H'!R36</x:f>
        <x:v>0.65000000000000002</x:v>
      </x:c>
      <x:c r="E842" s="1">
        <x:f>IF(C842=D842,1,0)</x:f>
        <x:v>1</x:v>
      </x:c>
      <x:c r="F842" s="1"/>
      <x:c r="G842" s="1"/>
    </x:row>
    <x:row r="843" ht="26" customHeight="1">
      <x:c r="A843" s="1" t="str">
        <x:v>Входы H</x:v>
      </x:c>
      <x:c r="B843" s="1" t="str">
        <x:v>S36</x:v>
      </x:c>
      <x:c r="C843" s="1">
        <x:v>0.13</x:v>
      </x:c>
      <x:c r="D843" s="1">
        <x:f>'Входы H'!S36</x:f>
        <x:v>0.13</x:v>
      </x:c>
      <x:c r="E843" s="1">
        <x:f>IF(C843=D843,1,0)</x:f>
        <x:v>1</x:v>
      </x:c>
      <x:c r="F843" s="1"/>
      <x:c r="G843" s="1"/>
    </x:row>
    <x:row r="844" ht="26" customHeight="1">
      <x:c r="A844" s="1" t="str">
        <x:v>Входы H</x:v>
      </x:c>
      <x:c r="B844" s="1" t="str">
        <x:v>R37</x:v>
      </x:c>
      <x:c r="C844" s="1">
        <x:v>0.65000000000000002</x:v>
      </x:c>
      <x:c r="D844" s="1">
        <x:f>'Входы H'!R37</x:f>
        <x:v>0.65000000000000002</x:v>
      </x:c>
      <x:c r="E844" s="1">
        <x:f>IF(C844=D844,1,0)</x:f>
        <x:v>1</x:v>
      </x:c>
      <x:c r="F844" s="1"/>
      <x:c r="G844" s="1"/>
    </x:row>
    <x:row r="845" ht="26" customHeight="1">
      <x:c r="A845" s="1" t="str">
        <x:v>Входы H</x:v>
      </x:c>
      <x:c r="B845" s="1" t="str">
        <x:v>S37</x:v>
      </x:c>
      <x:c r="C845" s="1">
        <x:v>0.13</x:v>
      </x:c>
      <x:c r="D845" s="1">
        <x:f>'Входы H'!S37</x:f>
        <x:v>0.13</x:v>
      </x:c>
      <x:c r="E845" s="1">
        <x:f>IF(C845=D845,1,0)</x:f>
        <x:v>1</x:v>
      </x:c>
      <x:c r="F845" s="1"/>
      <x:c r="G845" s="1"/>
    </x:row>
    <x:row r="846" ht="26" customHeight="1">
      <x:c r="A846" s="1" t="str">
        <x:v>Входы H</x:v>
      </x:c>
      <x:c r="B846" s="1" t="str">
        <x:v>R38</x:v>
      </x:c>
      <x:c r="C846" s="1">
        <x:v>0.65000000000000002</x:v>
      </x:c>
      <x:c r="D846" s="1">
        <x:f>'Входы H'!R38</x:f>
        <x:v>0.65000000000000002</x:v>
      </x:c>
      <x:c r="E846" s="1">
        <x:f>IF(C846=D846,1,0)</x:f>
        <x:v>1</x:v>
      </x:c>
      <x:c r="F846" s="1"/>
      <x:c r="G846" s="1"/>
    </x:row>
    <x:row r="847" ht="26" customHeight="1">
      <x:c r="A847" s="1" t="str">
        <x:v>Входы H</x:v>
      </x:c>
      <x:c r="B847" s="1" t="str">
        <x:v>S38</x:v>
      </x:c>
      <x:c r="C847" s="1">
        <x:v>0.13</x:v>
      </x:c>
      <x:c r="D847" s="1">
        <x:f>'Входы H'!S38</x:f>
        <x:v>0.13</x:v>
      </x:c>
      <x:c r="E847" s="1">
        <x:f>IF(C847=D847,1,0)</x:f>
        <x:v>1</x:v>
      </x:c>
      <x:c r="F847" s="1"/>
      <x:c r="G847" s="1"/>
    </x:row>
    <x:row r="848" ht="26" customHeight="1">
      <x:c r="A848" s="1" t="str">
        <x:v>Входы H</x:v>
      </x:c>
      <x:c r="B848" s="1" t="str">
        <x:v>R39</x:v>
      </x:c>
      <x:c r="C848" s="1">
        <x:v>0.65000000000000002</x:v>
      </x:c>
      <x:c r="D848" s="1">
        <x:f>'Входы H'!R39</x:f>
        <x:v>0.65000000000000002</x:v>
      </x:c>
      <x:c r="E848" s="1">
        <x:f>IF(C848=D848,1,0)</x:f>
        <x:v>1</x:v>
      </x:c>
      <x:c r="F848" s="1"/>
      <x:c r="G848" s="1"/>
    </x:row>
    <x:row r="849" ht="26" customHeight="1">
      <x:c r="A849" s="1" t="str">
        <x:v>Входы H</x:v>
      </x:c>
      <x:c r="B849" s="1" t="str">
        <x:v>S39</x:v>
      </x:c>
      <x:c r="C849" s="1">
        <x:v>0.13</x:v>
      </x:c>
      <x:c r="D849" s="1">
        <x:f>'Входы H'!S39</x:f>
        <x:v>0.13</x:v>
      </x:c>
      <x:c r="E849" s="1">
        <x:f>IF(C849=D849,1,0)</x:f>
        <x:v>1</x:v>
      </x:c>
      <x:c r="F849" s="1"/>
      <x:c r="G849" s="1"/>
    </x:row>
    <x:row r="850" ht="26" customHeight="1">
      <x:c r="A850" s="1" t="str">
        <x:v>Входы H</x:v>
      </x:c>
      <x:c r="B850" s="1" t="str">
        <x:v>R40</x:v>
      </x:c>
      <x:c r="C850" s="1">
        <x:v>0.65000000000000002</x:v>
      </x:c>
      <x:c r="D850" s="1">
        <x:f>'Входы H'!R40</x:f>
        <x:v>0.65000000000000002</x:v>
      </x:c>
      <x:c r="E850" s="1">
        <x:f>IF(C850=D850,1,0)</x:f>
        <x:v>1</x:v>
      </x:c>
      <x:c r="F850" s="1"/>
      <x:c r="G850" s="1"/>
    </x:row>
    <x:row r="851" ht="26" customHeight="1">
      <x:c r="A851" s="1" t="str">
        <x:v>Входы H</x:v>
      </x:c>
      <x:c r="B851" s="1" t="str">
        <x:v>S40</x:v>
      </x:c>
      <x:c r="C851" s="1">
        <x:v>0.13</x:v>
      </x:c>
      <x:c r="D851" s="1">
        <x:f>'Входы H'!S40</x:f>
        <x:v>0.13</x:v>
      </x:c>
      <x:c r="E851" s="1">
        <x:f>IF(C851=D851,1,0)</x:f>
        <x:v>1</x:v>
      </x:c>
      <x:c r="F851" s="1"/>
      <x:c r="G851" s="1"/>
    </x:row>
    <x:row r="852" ht="26" customHeight="1">
      <x:c r="A852" s="1" t="str">
        <x:v>Входы H</x:v>
      </x:c>
      <x:c r="B852" s="1" t="str">
        <x:v>R41</x:v>
      </x:c>
      <x:c r="C852" s="1">
        <x:v>0.65000000000000002</x:v>
      </x:c>
      <x:c r="D852" s="1">
        <x:f>'Входы H'!R41</x:f>
        <x:v>0.65000000000000002</x:v>
      </x:c>
      <x:c r="E852" s="1">
        <x:f>IF(C852=D852,1,0)</x:f>
        <x:v>1</x:v>
      </x:c>
      <x:c r="F852" s="1"/>
      <x:c r="G852" s="1"/>
    </x:row>
    <x:row r="853" ht="26" customHeight="1">
      <x:c r="A853" s="1" t="str">
        <x:v>Входы H</x:v>
      </x:c>
      <x:c r="B853" s="1" t="str">
        <x:v>S41</x:v>
      </x:c>
      <x:c r="C853" s="1">
        <x:v>0.13</x:v>
      </x:c>
      <x:c r="D853" s="1">
        <x:f>'Входы H'!S41</x:f>
        <x:v>0.13</x:v>
      </x:c>
      <x:c r="E853" s="1">
        <x:f>IF(C853=D853,1,0)</x:f>
        <x:v>1</x:v>
      </x:c>
      <x:c r="F853" s="1"/>
      <x:c r="G853" s="1"/>
    </x:row>
    <x:row r="854" ht="26" customHeight="1">
      <x:c r="A854" s="1" t="str">
        <x:v>Входы H</x:v>
      </x:c>
      <x:c r="B854" s="1" t="str">
        <x:v>R42</x:v>
      </x:c>
      <x:c r="C854" s="1">
        <x:v>0.65000000000000002</x:v>
      </x:c>
      <x:c r="D854" s="1">
        <x:f>'Входы H'!R42</x:f>
        <x:v>0.65000000000000002</x:v>
      </x:c>
      <x:c r="E854" s="1">
        <x:f>IF(C854=D854,1,0)</x:f>
        <x:v>1</x:v>
      </x:c>
      <x:c r="F854" s="1"/>
      <x:c r="G854" s="1"/>
    </x:row>
    <x:row r="855" ht="26" customHeight="1">
      <x:c r="A855" s="1" t="str">
        <x:v>Входы H</x:v>
      </x:c>
      <x:c r="B855" s="1" t="str">
        <x:v>S42</x:v>
      </x:c>
      <x:c r="C855" s="1">
        <x:v>0.13</x:v>
      </x:c>
      <x:c r="D855" s="1">
        <x:f>'Входы H'!S42</x:f>
        <x:v>0.13</x:v>
      </x:c>
      <x:c r="E855" s="1">
        <x:f>IF(C855=D855,1,0)</x:f>
        <x:v>1</x:v>
      </x:c>
      <x:c r="F855" s="1"/>
      <x:c r="G855" s="1"/>
    </x:row>
    <x:row r="856" ht="26" customHeight="1">
      <x:c r="A856" s="1" t="str">
        <x:v>Входы H</x:v>
      </x:c>
      <x:c r="B856" s="1" t="str">
        <x:v>R43</x:v>
      </x:c>
      <x:c r="C856" s="1">
        <x:v>0.65000000000000002</x:v>
      </x:c>
      <x:c r="D856" s="1">
        <x:f>'Входы H'!R43</x:f>
        <x:v>0.65000000000000002</x:v>
      </x:c>
      <x:c r="E856" s="1">
        <x:f>IF(C856=D856,1,0)</x:f>
        <x:v>1</x:v>
      </x:c>
      <x:c r="F856" s="1"/>
      <x:c r="G856" s="1"/>
    </x:row>
    <x:row r="857" ht="26" customHeight="1">
      <x:c r="A857" s="1" t="str">
        <x:v>Входы H</x:v>
      </x:c>
      <x:c r="B857" s="1" t="str">
        <x:v>S43</x:v>
      </x:c>
      <x:c r="C857" s="1">
        <x:v>0.13</x:v>
      </x:c>
      <x:c r="D857" s="1">
        <x:f>'Входы H'!S43</x:f>
        <x:v>0.13</x:v>
      </x:c>
      <x:c r="E857" s="1">
        <x:f>IF(C857=D857,1,0)</x:f>
        <x:v>1</x:v>
      </x:c>
      <x:c r="F857" s="1"/>
      <x:c r="G857" s="1"/>
    </x:row>
    <x:row r="858" ht="26" customHeight="1">
      <x:c r="A858" s="1" t="str">
        <x:v>Входы H</x:v>
      </x:c>
      <x:c r="B858" s="1" t="str">
        <x:v>R44</x:v>
      </x:c>
      <x:c r="C858" s="1">
        <x:v>0.65000000000000002</x:v>
      </x:c>
      <x:c r="D858" s="1">
        <x:f>'Входы H'!R44</x:f>
        <x:v>0.65000000000000002</x:v>
      </x:c>
      <x:c r="E858" s="1">
        <x:f>IF(C858=D858,1,0)</x:f>
        <x:v>1</x:v>
      </x:c>
      <x:c r="F858" s="1"/>
      <x:c r="G858" s="1"/>
    </x:row>
    <x:row r="859" ht="26" customHeight="1">
      <x:c r="A859" s="1" t="str">
        <x:v>Входы H</x:v>
      </x:c>
      <x:c r="B859" s="1" t="str">
        <x:v>S44</x:v>
      </x:c>
      <x:c r="C859" s="1">
        <x:v>0.13</x:v>
      </x:c>
      <x:c r="D859" s="1">
        <x:f>'Входы H'!S44</x:f>
        <x:v>0.13</x:v>
      </x:c>
      <x:c r="E859" s="1">
        <x:f>IF(C859=D859,1,0)</x:f>
        <x:v>1</x:v>
      </x:c>
      <x:c r="F859" s="1"/>
      <x:c r="G859" s="1"/>
    </x:row>
    <x:row r="860" ht="26" customHeight="1">
      <x:c r="A860" s="1" t="str">
        <x:v>Входы H</x:v>
      </x:c>
      <x:c r="B860" s="1" t="str">
        <x:v>R45</x:v>
      </x:c>
      <x:c r="C860" s="1">
        <x:v>0.65000000000000002</x:v>
      </x:c>
      <x:c r="D860" s="1">
        <x:f>'Входы H'!R45</x:f>
        <x:v>0.65000000000000002</x:v>
      </x:c>
      <x:c r="E860" s="1">
        <x:f>IF(C860=D860,1,0)</x:f>
        <x:v>1</x:v>
      </x:c>
      <x:c r="F860" s="1"/>
      <x:c r="G860" s="1"/>
    </x:row>
    <x:row r="861" ht="26" customHeight="1">
      <x:c r="A861" s="1" t="str">
        <x:v>Входы H</x:v>
      </x:c>
      <x:c r="B861" s="1" t="str">
        <x:v>S45</x:v>
      </x:c>
      <x:c r="C861" s="1">
        <x:v>0.13</x:v>
      </x:c>
      <x:c r="D861" s="1">
        <x:f>'Входы H'!S45</x:f>
        <x:v>0.13</x:v>
      </x:c>
      <x:c r="E861" s="1">
        <x:f>IF(C861=D861,1,0)</x:f>
        <x:v>1</x:v>
      </x:c>
      <x:c r="F861" s="1"/>
      <x:c r="G861" s="1"/>
    </x:row>
    <x:row r="862" ht="26" customHeight="1">
      <x:c r="A862" s="1" t="str">
        <x:v>Входы H</x:v>
      </x:c>
      <x:c r="B862" s="1" t="str">
        <x:v>R46</x:v>
      </x:c>
      <x:c r="C862" s="1">
        <x:v>0.65000000000000002</x:v>
      </x:c>
      <x:c r="D862" s="1">
        <x:f>'Входы H'!R46</x:f>
        <x:v>0.65000000000000002</x:v>
      </x:c>
      <x:c r="E862" s="1">
        <x:f>IF(C862=D862,1,0)</x:f>
        <x:v>1</x:v>
      </x:c>
      <x:c r="F862" s="1"/>
      <x:c r="G862" s="1"/>
    </x:row>
    <x:row r="863" ht="26" customHeight="1">
      <x:c r="A863" s="1" t="str">
        <x:v>Входы H</x:v>
      </x:c>
      <x:c r="B863" s="1" t="str">
        <x:v>S46</x:v>
      </x:c>
      <x:c r="C863" s="1">
        <x:v>0.13</x:v>
      </x:c>
      <x:c r="D863" s="1">
        <x:f>'Входы H'!S46</x:f>
        <x:v>0.13</x:v>
      </x:c>
      <x:c r="E863" s="1">
        <x:f>IF(C863=D863,1,0)</x:f>
        <x:v>1</x:v>
      </x:c>
      <x:c r="F863" s="1"/>
      <x:c r="G863" s="1"/>
    </x:row>
    <x:row r="864" ht="26" customHeight="1">
      <x:c r="A864" s="1" t="str">
        <x:v>Входы H</x:v>
      </x:c>
      <x:c r="B864" s="1" t="str">
        <x:v>R47</x:v>
      </x:c>
      <x:c r="C864" s="1">
        <x:v>0.65000000000000002</x:v>
      </x:c>
      <x:c r="D864" s="1">
        <x:f>'Входы H'!R47</x:f>
        <x:v>0.65000000000000002</x:v>
      </x:c>
      <x:c r="E864" s="1">
        <x:f>IF(C864=D864,1,0)</x:f>
        <x:v>1</x:v>
      </x:c>
      <x:c r="F864" s="1"/>
      <x:c r="G864" s="1"/>
    </x:row>
    <x:row r="865" ht="26" customHeight="1">
      <x:c r="A865" s="1" t="str">
        <x:v>Входы H</x:v>
      </x:c>
      <x:c r="B865" s="1" t="str">
        <x:v>S47</x:v>
      </x:c>
      <x:c r="C865" s="1">
        <x:v>0.13</x:v>
      </x:c>
      <x:c r="D865" s="1">
        <x:f>'Входы H'!S47</x:f>
        <x:v>0.13</x:v>
      </x:c>
      <x:c r="E865" s="1">
        <x:f>IF(C865=D865,1,0)</x:f>
        <x:v>1</x:v>
      </x:c>
      <x:c r="F865" s="1"/>
      <x:c r="G865" s="1"/>
    </x:row>
    <x:row r="866" ht="26" customHeight="1">
      <x:c r="A866" s="1" t="str">
        <x:v>Входы H</x:v>
      </x:c>
      <x:c r="B866" s="1" t="str">
        <x:v>R48</x:v>
      </x:c>
      <x:c r="C866" s="1">
        <x:v>0.65000000000000002</x:v>
      </x:c>
      <x:c r="D866" s="1">
        <x:f>'Входы H'!R48</x:f>
        <x:v>0.65000000000000002</x:v>
      </x:c>
      <x:c r="E866" s="1">
        <x:f>IF(C866=D866,1,0)</x:f>
        <x:v>1</x:v>
      </x:c>
      <x:c r="F866" s="1"/>
      <x:c r="G866" s="1"/>
    </x:row>
    <x:row r="867" ht="26" customHeight="1">
      <x:c r="A867" s="1" t="str">
        <x:v>Входы H</x:v>
      </x:c>
      <x:c r="B867" s="1" t="str">
        <x:v>S48</x:v>
      </x:c>
      <x:c r="C867" s="1">
        <x:v>0.13</x:v>
      </x:c>
      <x:c r="D867" s="1">
        <x:f>'Входы H'!S48</x:f>
        <x:v>0.13</x:v>
      </x:c>
      <x:c r="E867" s="1">
        <x:f>IF(C867=D867,1,0)</x:f>
        <x:v>1</x:v>
      </x:c>
      <x:c r="F867" s="1"/>
      <x:c r="G867" s="1"/>
    </x:row>
    <x:row r="868" ht="26" customHeight="1">
      <x:c r="A868" s="1" t="str">
        <x:v>Входы H</x:v>
      </x:c>
      <x:c r="B868" s="1" t="str">
        <x:v>R49</x:v>
      </x:c>
      <x:c r="C868" s="1">
        <x:v>0.65000000000000002</x:v>
      </x:c>
      <x:c r="D868" s="1">
        <x:f>'Входы H'!R49</x:f>
        <x:v>0.65000000000000002</x:v>
      </x:c>
      <x:c r="E868" s="1">
        <x:f>IF(C868=D868,1,0)</x:f>
        <x:v>1</x:v>
      </x:c>
      <x:c r="F868" s="1"/>
      <x:c r="G868" s="1"/>
    </x:row>
    <x:row r="869" ht="26" customHeight="1">
      <x:c r="A869" s="1" t="str">
        <x:v>Входы H</x:v>
      </x:c>
      <x:c r="B869" s="1" t="str">
        <x:v>S49</x:v>
      </x:c>
      <x:c r="C869" s="1">
        <x:v>0.13</x:v>
      </x:c>
      <x:c r="D869" s="1">
        <x:f>'Входы H'!S49</x:f>
        <x:v>0.13</x:v>
      </x:c>
      <x:c r="E869" s="1">
        <x:f>IF(C869=D869,1,0)</x:f>
        <x:v>1</x:v>
      </x:c>
      <x:c r="F869" s="1"/>
      <x:c r="G869" s="1"/>
    </x:row>
    <x:row r="870" ht="26" customHeight="1">
      <x:c r="A870" s="1" t="str">
        <x:v>Входы H</x:v>
      </x:c>
      <x:c r="B870" s="1" t="str">
        <x:v>R50</x:v>
      </x:c>
      <x:c r="C870" s="1">
        <x:v>0.65000000000000002</x:v>
      </x:c>
      <x:c r="D870" s="1">
        <x:f>'Входы H'!R50</x:f>
        <x:v>0.65000000000000002</x:v>
      </x:c>
      <x:c r="E870" s="1">
        <x:f>IF(C870=D870,1,0)</x:f>
        <x:v>1</x:v>
      </x:c>
      <x:c r="F870" s="1"/>
      <x:c r="G870" s="1"/>
    </x:row>
    <x:row r="871" ht="26" customHeight="1">
      <x:c r="A871" s="1" t="str">
        <x:v>Входы H</x:v>
      </x:c>
      <x:c r="B871" s="1" t="str">
        <x:v>S50</x:v>
      </x:c>
      <x:c r="C871" s="1">
        <x:v>0.13</x:v>
      </x:c>
      <x:c r="D871" s="1">
        <x:f>'Входы H'!S50</x:f>
        <x:v>0.13</x:v>
      </x:c>
      <x:c r="E871" s="1">
        <x:f>IF(C871=D871,1,0)</x:f>
        <x:v>1</x:v>
      </x:c>
      <x:c r="F871" s="1"/>
      <x:c r="G871" s="1"/>
    </x:row>
    <x:row r="872" ht="26" customHeight="1">
      <x:c r="A872" s="1" t="str">
        <x:v>Входы H</x:v>
      </x:c>
      <x:c r="B872" s="1" t="str">
        <x:v>R51</x:v>
      </x:c>
      <x:c r="C872" s="1">
        <x:v>0.65000000000000002</x:v>
      </x:c>
      <x:c r="D872" s="1">
        <x:f>'Входы H'!R51</x:f>
        <x:v>0.65000000000000002</x:v>
      </x:c>
      <x:c r="E872" s="1">
        <x:f>IF(C872=D872,1,0)</x:f>
        <x:v>1</x:v>
      </x:c>
      <x:c r="F872" s="1"/>
      <x:c r="G872" s="1"/>
    </x:row>
    <x:row r="873" ht="26" customHeight="1">
      <x:c r="A873" s="1" t="str">
        <x:v>Входы H</x:v>
      </x:c>
      <x:c r="B873" s="1" t="str">
        <x:v>S51</x:v>
      </x:c>
      <x:c r="C873" s="1">
        <x:v>0.13</x:v>
      </x:c>
      <x:c r="D873" s="1">
        <x:f>'Входы H'!S51</x:f>
        <x:v>0.13</x:v>
      </x:c>
      <x:c r="E873" s="1">
        <x:f>IF(C873=D873,1,0)</x:f>
        <x:v>1</x:v>
      </x:c>
      <x:c r="F873" s="1"/>
      <x:c r="G873" s="1"/>
    </x:row>
    <x:row r="874" ht="26" customHeight="1">
      <x:c r="A874" s="1" t="str">
        <x:v>Входы H</x:v>
      </x:c>
      <x:c r="B874" s="1" t="str">
        <x:v>R52</x:v>
      </x:c>
      <x:c r="C874" s="1">
        <x:v>0.65000000000000002</x:v>
      </x:c>
      <x:c r="D874" s="1">
        <x:f>'Входы H'!R52</x:f>
        <x:v>0.65000000000000002</x:v>
      </x:c>
      <x:c r="E874" s="1">
        <x:f>IF(C874=D874,1,0)</x:f>
        <x:v>1</x:v>
      </x:c>
      <x:c r="F874" s="1"/>
      <x:c r="G874" s="1"/>
    </x:row>
    <x:row r="875" ht="26" customHeight="1">
      <x:c r="A875" s="1" t="str">
        <x:v>Входы H</x:v>
      </x:c>
      <x:c r="B875" s="1" t="str">
        <x:v>S52</x:v>
      </x:c>
      <x:c r="C875" s="1">
        <x:v>0.13</x:v>
      </x:c>
      <x:c r="D875" s="1">
        <x:f>'Входы H'!S52</x:f>
        <x:v>0.13</x:v>
      </x:c>
      <x:c r="E875" s="1">
        <x:f>IF(C875=D875,1,0)</x:f>
        <x:v>1</x:v>
      </x:c>
      <x:c r="F875" s="1"/>
      <x:c r="G875" s="1"/>
    </x:row>
    <x:row r="876" ht="26" customHeight="1">
      <x:c r="A876" s="1" t="str">
        <x:v>Входы H</x:v>
      </x:c>
      <x:c r="B876" s="1" t="str">
        <x:v>R53</x:v>
      </x:c>
      <x:c r="C876" s="1">
        <x:v>0.65000000000000002</x:v>
      </x:c>
      <x:c r="D876" s="1">
        <x:f>'Входы H'!R53</x:f>
        <x:v>0.65000000000000002</x:v>
      </x:c>
      <x:c r="E876" s="1">
        <x:f>IF(C876=D876,1,0)</x:f>
        <x:v>1</x:v>
      </x:c>
      <x:c r="F876" s="1"/>
      <x:c r="G876" s="1"/>
    </x:row>
    <x:row r="877" ht="26" customHeight="1">
      <x:c r="A877" s="1" t="str">
        <x:v>Входы H</x:v>
      </x:c>
      <x:c r="B877" s="1" t="str">
        <x:v>S53</x:v>
      </x:c>
      <x:c r="C877" s="1">
        <x:v>0.13</x:v>
      </x:c>
      <x:c r="D877" s="1">
        <x:f>'Входы H'!S53</x:f>
        <x:v>0.13</x:v>
      </x:c>
      <x:c r="E877" s="1">
        <x:f>IF(C877=D877,1,0)</x:f>
        <x:v>1</x:v>
      </x:c>
      <x:c r="F877" s="1"/>
      <x:c r="G877" s="1"/>
    </x:row>
    <x:row r="878" ht="26" customHeight="1">
      <x:c r="A878" s="1" t="str">
        <x:v>Входы H</x:v>
      </x:c>
      <x:c r="B878" s="1" t="str">
        <x:v>R54</x:v>
      </x:c>
      <x:c r="C878" s="1">
        <x:v>0.65000000000000002</x:v>
      </x:c>
      <x:c r="D878" s="1">
        <x:f>'Входы H'!R54</x:f>
        <x:v>0.65000000000000002</x:v>
      </x:c>
      <x:c r="E878" s="1">
        <x:f>IF(C878=D878,1,0)</x:f>
        <x:v>1</x:v>
      </x:c>
      <x:c r="F878" s="1"/>
      <x:c r="G878" s="1"/>
    </x:row>
    <x:row r="879" ht="26" customHeight="1">
      <x:c r="A879" s="1" t="str">
        <x:v>Входы H</x:v>
      </x:c>
      <x:c r="B879" s="1" t="str">
        <x:v>S54</x:v>
      </x:c>
      <x:c r="C879" s="1">
        <x:v>0.13</x:v>
      </x:c>
      <x:c r="D879" s="1">
        <x:f>'Входы H'!S54</x:f>
        <x:v>0.13</x:v>
      </x:c>
      <x:c r="E879" s="1">
        <x:f>IF(C879=D879,1,0)</x:f>
        <x:v>1</x:v>
      </x:c>
      <x:c r="F879" s="1"/>
      <x:c r="G879" s="1"/>
    </x:row>
    <x:row r="880" ht="26" customHeight="1">
      <x:c r="A880" s="1" t="str">
        <x:v>Входы H</x:v>
      </x:c>
      <x:c r="B880" s="1" t="str">
        <x:v>R55</x:v>
      </x:c>
      <x:c r="C880" s="1">
        <x:v>0.65000000000000002</x:v>
      </x:c>
      <x:c r="D880" s="1">
        <x:f>'Входы H'!R55</x:f>
        <x:v>0.65000000000000002</x:v>
      </x:c>
      <x:c r="E880" s="1">
        <x:f>IF(C880=D880,1,0)</x:f>
        <x:v>1</x:v>
      </x:c>
      <x:c r="F880" s="1"/>
      <x:c r="G880" s="1"/>
    </x:row>
    <x:row r="881" ht="26" customHeight="1">
      <x:c r="A881" s="1" t="str">
        <x:v>Входы H</x:v>
      </x:c>
      <x:c r="B881" s="1" t="str">
        <x:v>S55</x:v>
      </x:c>
      <x:c r="C881" s="1">
        <x:v>0.13</x:v>
      </x:c>
      <x:c r="D881" s="1">
        <x:f>'Входы H'!S55</x:f>
        <x:v>0.13</x:v>
      </x:c>
      <x:c r="E881" s="1">
        <x:f>IF(C881=D881,1,0)</x:f>
        <x:v>1</x:v>
      </x:c>
      <x:c r="F881" s="1"/>
      <x:c r="G881" s="1"/>
    </x:row>
    <x:row r="882" ht="26" customHeight="1">
      <x:c r="A882" s="1" t="str">
        <x:v>Входы H</x:v>
      </x:c>
      <x:c r="B882" s="1" t="str">
        <x:v>R56</x:v>
      </x:c>
      <x:c r="C882" s="1">
        <x:v>0.65000000000000002</x:v>
      </x:c>
      <x:c r="D882" s="1">
        <x:f>'Входы H'!R56</x:f>
        <x:v>0.65000000000000002</x:v>
      </x:c>
      <x:c r="E882" s="1">
        <x:f>IF(C882=D882,1,0)</x:f>
        <x:v>1</x:v>
      </x:c>
      <x:c r="F882" s="1"/>
      <x:c r="G882" s="1"/>
    </x:row>
    <x:row r="883" ht="26" customHeight="1">
      <x:c r="A883" s="1" t="str">
        <x:v>Входы H</x:v>
      </x:c>
      <x:c r="B883" s="1" t="str">
        <x:v>S56</x:v>
      </x:c>
      <x:c r="C883" s="1">
        <x:v>0.13</x:v>
      </x:c>
      <x:c r="D883" s="1">
        <x:f>'Входы H'!S56</x:f>
        <x:v>0.13</x:v>
      </x:c>
      <x:c r="E883" s="1">
        <x:f>IF(C883=D883,1,0)</x:f>
        <x:v>1</x:v>
      </x:c>
      <x:c r="F883" s="1"/>
      <x:c r="G883" s="1"/>
    </x:row>
    <x:row r="884" ht="26" customHeight="1">
      <x:c r="A884" s="1" t="str">
        <x:v>Входы H</x:v>
      </x:c>
      <x:c r="B884" s="1" t="str">
        <x:v>R57</x:v>
      </x:c>
      <x:c r="C884" s="1">
        <x:v>0.65000000000000002</x:v>
      </x:c>
      <x:c r="D884" s="1">
        <x:f>'Входы H'!R57</x:f>
        <x:v>0.65000000000000002</x:v>
      </x:c>
      <x:c r="E884" s="1">
        <x:f>IF(C884=D884,1,0)</x:f>
        <x:v>1</x:v>
      </x:c>
      <x:c r="F884" s="1"/>
      <x:c r="G884" s="1"/>
    </x:row>
    <x:row r="885" ht="26" customHeight="1">
      <x:c r="A885" s="1" t="str">
        <x:v>Входы H</x:v>
      </x:c>
      <x:c r="B885" s="1" t="str">
        <x:v>S57</x:v>
      </x:c>
      <x:c r="C885" s="1">
        <x:v>0.13</x:v>
      </x:c>
      <x:c r="D885" s="1">
        <x:f>'Входы H'!S57</x:f>
        <x:v>0.13</x:v>
      </x:c>
      <x:c r="E885" s="1">
        <x:f>IF(C885=D885,1,0)</x:f>
        <x:v>1</x:v>
      </x:c>
      <x:c r="F885" s="1"/>
      <x:c r="G885" s="1"/>
    </x:row>
    <x:row r="886" ht="26" customHeight="1">
      <x:c r="A886" s="1" t="str">
        <x:v>Входы H</x:v>
      </x:c>
      <x:c r="B886" s="1" t="str">
        <x:v>R58</x:v>
      </x:c>
      <x:c r="C886" s="1">
        <x:v>0.65000000000000002</x:v>
      </x:c>
      <x:c r="D886" s="1">
        <x:f>'Входы H'!R58</x:f>
        <x:v>0.65000000000000002</x:v>
      </x:c>
      <x:c r="E886" s="1">
        <x:f>IF(C886=D886,1,0)</x:f>
        <x:v>1</x:v>
      </x:c>
      <x:c r="F886" s="1"/>
      <x:c r="G886" s="1"/>
    </x:row>
    <x:row r="887" ht="26" customHeight="1">
      <x:c r="A887" s="1" t="str">
        <x:v>Входы H</x:v>
      </x:c>
      <x:c r="B887" s="1" t="str">
        <x:v>S58</x:v>
      </x:c>
      <x:c r="C887" s="1">
        <x:v>0.13</x:v>
      </x:c>
      <x:c r="D887" s="1">
        <x:f>'Входы H'!S58</x:f>
        <x:v>0.13</x:v>
      </x:c>
      <x:c r="E887" s="1">
        <x:f>IF(C887=D887,1,0)</x:f>
        <x:v>1</x:v>
      </x:c>
      <x:c r="F887" s="1"/>
      <x:c r="G887" s="1"/>
    </x:row>
    <x:row r="888" ht="26" customHeight="1">
      <x:c r="A888" s="1" t="str">
        <x:v>Входы H</x:v>
      </x:c>
      <x:c r="B888" s="1" t="str">
        <x:v>R59</x:v>
      </x:c>
      <x:c r="C888" s="1">
        <x:v>0.65000000000000002</x:v>
      </x:c>
      <x:c r="D888" s="1">
        <x:f>'Входы H'!R59</x:f>
        <x:v>0.65000000000000002</x:v>
      </x:c>
      <x:c r="E888" s="1">
        <x:f>IF(C888=D888,1,0)</x:f>
        <x:v>1</x:v>
      </x:c>
      <x:c r="F888" s="1"/>
      <x:c r="G888" s="1"/>
    </x:row>
    <x:row r="889" ht="26" customHeight="1">
      <x:c r="A889" s="1" t="str">
        <x:v>Входы H</x:v>
      </x:c>
      <x:c r="B889" s="1" t="str">
        <x:v>S59</x:v>
      </x:c>
      <x:c r="C889" s="1">
        <x:v>0.13</x:v>
      </x:c>
      <x:c r="D889" s="1">
        <x:f>'Входы H'!S59</x:f>
        <x:v>0.13</x:v>
      </x:c>
      <x:c r="E889" s="1">
        <x:f>IF(C889=D889,1,0)</x:f>
        <x:v>1</x:v>
      </x:c>
      <x:c r="F889" s="1"/>
      <x:c r="G889" s="1"/>
    </x:row>
    <x:row r="890" ht="26" customHeight="1">
      <x:c r="A890" s="1" t="str">
        <x:v>Входы H</x:v>
      </x:c>
      <x:c r="B890" s="1" t="str">
        <x:v>R60</x:v>
      </x:c>
      <x:c r="C890" s="1">
        <x:v>0.65000000000000002</x:v>
      </x:c>
      <x:c r="D890" s="1">
        <x:f>'Входы H'!R60</x:f>
        <x:v>0.65000000000000002</x:v>
      </x:c>
      <x:c r="E890" s="1">
        <x:f>IF(C890=D890,1,0)</x:f>
        <x:v>1</x:v>
      </x:c>
      <x:c r="F890" s="1"/>
      <x:c r="G890" s="1"/>
    </x:row>
    <x:row r="891" ht="26" customHeight="1">
      <x:c r="A891" s="1" t="str">
        <x:v>Входы H</x:v>
      </x:c>
      <x:c r="B891" s="1" t="str">
        <x:v>S60</x:v>
      </x:c>
      <x:c r="C891" s="1">
        <x:v>0.13</x:v>
      </x:c>
      <x:c r="D891" s="1">
        <x:f>'Входы H'!S60</x:f>
        <x:v>0.13</x:v>
      </x:c>
      <x:c r="E891" s="1">
        <x:f>IF(C891=D891,1,0)</x:f>
        <x:v>1</x:v>
      </x:c>
      <x:c r="F891" s="1"/>
      <x:c r="G891" s="1"/>
    </x:row>
    <x:row r="892" ht="26" customHeight="1">
      <x:c r="A892" s="1" t="str">
        <x:v>Входы H</x:v>
      </x:c>
      <x:c r="B892" s="1" t="str">
        <x:v>R61</x:v>
      </x:c>
      <x:c r="C892" s="1">
        <x:v>0.65000000000000002</x:v>
      </x:c>
      <x:c r="D892" s="1">
        <x:f>'Входы H'!R61</x:f>
        <x:v>0.65000000000000002</x:v>
      </x:c>
      <x:c r="E892" s="1">
        <x:f>IF(C892=D892,1,0)</x:f>
        <x:v>1</x:v>
      </x:c>
      <x:c r="F892" s="1"/>
      <x:c r="G892" s="1"/>
    </x:row>
    <x:row r="893" ht="26" customHeight="1">
      <x:c r="A893" s="1" t="str">
        <x:v>Входы H</x:v>
      </x:c>
      <x:c r="B893" s="1" t="str">
        <x:v>S61</x:v>
      </x:c>
      <x:c r="C893" s="1">
        <x:v>0.13</x:v>
      </x:c>
      <x:c r="D893" s="1">
        <x:f>'Входы H'!S61</x:f>
        <x:v>0.13</x:v>
      </x:c>
      <x:c r="E893" s="1">
        <x:f>IF(C893=D893,1,0)</x:f>
        <x:v>1</x:v>
      </x:c>
      <x:c r="F893" s="1"/>
      <x:c r="G893" s="1"/>
    </x:row>
    <x:row r="894" ht="26" customHeight="1">
      <x:c r="A894" s="1" t="str">
        <x:v>Входы H</x:v>
      </x:c>
      <x:c r="B894" s="1" t="str">
        <x:v>R62</x:v>
      </x:c>
      <x:c r="C894" s="1">
        <x:v>0.65000000000000002</x:v>
      </x:c>
      <x:c r="D894" s="1">
        <x:f>'Входы H'!R62</x:f>
        <x:v>0.65000000000000002</x:v>
      </x:c>
      <x:c r="E894" s="1">
        <x:f>IF(C894=D894,1,0)</x:f>
        <x:v>1</x:v>
      </x:c>
      <x:c r="F894" s="1"/>
      <x:c r="G894" s="1"/>
    </x:row>
    <x:row r="895" ht="26" customHeight="1">
      <x:c r="A895" s="1" t="str">
        <x:v>Входы H</x:v>
      </x:c>
      <x:c r="B895" s="1" t="str">
        <x:v>S62</x:v>
      </x:c>
      <x:c r="C895" s="1">
        <x:v>0.13</x:v>
      </x:c>
      <x:c r="D895" s="1">
        <x:f>'Входы H'!S62</x:f>
        <x:v>0.13</x:v>
      </x:c>
      <x:c r="E895" s="1">
        <x:f>IF(C895=D895,1,0)</x:f>
        <x:v>1</x:v>
      </x:c>
      <x:c r="F895" s="1"/>
      <x:c r="G895" s="1"/>
    </x:row>
    <x:row r="896" ht="26" customHeight="1">
      <x:c r="A896" s="1" t="str">
        <x:v>Входы H</x:v>
      </x:c>
      <x:c r="B896" s="1" t="str">
        <x:v>R63</x:v>
      </x:c>
      <x:c r="C896" s="1">
        <x:v>0.65000000000000002</x:v>
      </x:c>
      <x:c r="D896" s="1">
        <x:f>'Входы H'!R63</x:f>
        <x:v>0.65000000000000002</x:v>
      </x:c>
      <x:c r="E896" s="1">
        <x:f>IF(C896=D896,1,0)</x:f>
        <x:v>1</x:v>
      </x:c>
      <x:c r="F896" s="1"/>
      <x:c r="G896" s="1"/>
    </x:row>
    <x:row r="897" ht="26" customHeight="1">
      <x:c r="A897" s="1" t="str">
        <x:v>Входы H</x:v>
      </x:c>
      <x:c r="B897" s="1" t="str">
        <x:v>S63</x:v>
      </x:c>
      <x:c r="C897" s="1">
        <x:v>0.13</x:v>
      </x:c>
      <x:c r="D897" s="1">
        <x:f>'Входы H'!S63</x:f>
        <x:v>0.13</x:v>
      </x:c>
      <x:c r="E897" s="1">
        <x:f>IF(C897=D897,1,0)</x:f>
        <x:v>1</x:v>
      </x:c>
      <x:c r="F897" s="1"/>
      <x:c r="G897" s="1"/>
    </x:row>
    <x:row r="898" ht="26" customHeight="1">
      <x:c r="A898" s="1" t="str">
        <x:v>Входы H</x:v>
      </x:c>
      <x:c r="B898" s="1" t="str">
        <x:v>R64</x:v>
      </x:c>
      <x:c r="C898" s="1">
        <x:v>0.65000000000000002</x:v>
      </x:c>
      <x:c r="D898" s="1">
        <x:f>'Входы H'!R64</x:f>
        <x:v>0.65000000000000002</x:v>
      </x:c>
      <x:c r="E898" s="1">
        <x:f>IF(C898=D898,1,0)</x:f>
        <x:v>1</x:v>
      </x:c>
      <x:c r="F898" s="1"/>
      <x:c r="G898" s="1"/>
    </x:row>
    <x:row r="899" ht="26" customHeight="1">
      <x:c r="A899" s="1" t="str">
        <x:v>Входы H</x:v>
      </x:c>
      <x:c r="B899" s="1" t="str">
        <x:v>S64</x:v>
      </x:c>
      <x:c r="C899" s="1">
        <x:v>0.13</x:v>
      </x:c>
      <x:c r="D899" s="1">
        <x:f>'Входы H'!S64</x:f>
        <x:v>0.13</x:v>
      </x:c>
      <x:c r="E899" s="1">
        <x:f>IF(C899=D899,1,0)</x:f>
        <x:v>1</x:v>
      </x:c>
      <x:c r="F899" s="1"/>
      <x:c r="G899" s="1"/>
    </x:row>
    <x:row r="900" ht="26" customHeight="1">
      <x:c r="A900" s="1" t="str">
        <x:v>Входы H</x:v>
      </x:c>
      <x:c r="B900" s="1" t="str">
        <x:v>R65</x:v>
      </x:c>
      <x:c r="C900" s="1">
        <x:v>0.65000000000000002</x:v>
      </x:c>
      <x:c r="D900" s="1">
        <x:f>'Входы H'!R65</x:f>
        <x:v>0.65000000000000002</x:v>
      </x:c>
      <x:c r="E900" s="1">
        <x:f>IF(C900=D900,1,0)</x:f>
        <x:v>1</x:v>
      </x:c>
      <x:c r="F900" s="1"/>
      <x:c r="G900" s="1"/>
    </x:row>
    <x:row r="901" ht="26" customHeight="1">
      <x:c r="A901" s="1" t="str">
        <x:v>Входы H</x:v>
      </x:c>
      <x:c r="B901" s="1" t="str">
        <x:v>S65</x:v>
      </x:c>
      <x:c r="C901" s="1">
        <x:v>0.13</x:v>
      </x:c>
      <x:c r="D901" s="1">
        <x:f>'Входы H'!S65</x:f>
        <x:v>0.13</x:v>
      </x:c>
      <x:c r="E901" s="1">
        <x:f>IF(C901=D901,1,0)</x:f>
        <x:v>1</x:v>
      </x:c>
      <x:c r="F901" s="1"/>
      <x:c r="G901" s="1"/>
    </x:row>
    <x:row r="902" ht="26" customHeight="1">
      <x:c r="A902" s="1" t="str">
        <x:v>Входы H</x:v>
      </x:c>
      <x:c r="B902" s="1" t="str">
        <x:v>R66</x:v>
      </x:c>
      <x:c r="C902" s="1">
        <x:v>0.65000000000000002</x:v>
      </x:c>
      <x:c r="D902" s="1">
        <x:f>'Входы H'!R66</x:f>
        <x:v>0.65000000000000002</x:v>
      </x:c>
      <x:c r="E902" s="1">
        <x:f>IF(C902=D902,1,0)</x:f>
        <x:v>1</x:v>
      </x:c>
      <x:c r="F902" s="1"/>
      <x:c r="G902" s="1"/>
    </x:row>
    <x:row r="903" ht="26" customHeight="1">
      <x:c r="A903" s="1" t="str">
        <x:v>Входы H</x:v>
      </x:c>
      <x:c r="B903" s="1" t="str">
        <x:v>S66</x:v>
      </x:c>
      <x:c r="C903" s="1">
        <x:v>0.13</x:v>
      </x:c>
      <x:c r="D903" s="1">
        <x:f>'Входы H'!S66</x:f>
        <x:v>0.13</x:v>
      </x:c>
      <x:c r="E903" s="1">
        <x:f>IF(C903=D903,1,0)</x:f>
        <x:v>1</x:v>
      </x:c>
      <x:c r="F903" s="1"/>
      <x:c r="G903" s="1"/>
    </x:row>
    <x:row r="904" ht="26" customHeight="1">
      <x:c r="A904" s="1" t="str">
        <x:v>Входы H</x:v>
      </x:c>
      <x:c r="B904" s="1" t="str">
        <x:v>R67</x:v>
      </x:c>
      <x:c r="C904" s="1">
        <x:v>0.65000000000000002</x:v>
      </x:c>
      <x:c r="D904" s="1">
        <x:f>'Входы H'!R67</x:f>
        <x:v>0.65000000000000002</x:v>
      </x:c>
      <x:c r="E904" s="1">
        <x:f>IF(C904=D904,1,0)</x:f>
        <x:v>1</x:v>
      </x:c>
      <x:c r="F904" s="1"/>
      <x:c r="G904" s="1"/>
    </x:row>
    <x:row r="905" ht="26" customHeight="1">
      <x:c r="A905" s="1" t="str">
        <x:v>Входы H</x:v>
      </x:c>
      <x:c r="B905" s="1" t="str">
        <x:v>S67</x:v>
      </x:c>
      <x:c r="C905" s="1">
        <x:v>0.13</x:v>
      </x:c>
      <x:c r="D905" s="1">
        <x:f>'Входы H'!S67</x:f>
        <x:v>0.13</x:v>
      </x:c>
      <x:c r="E905" s="1">
        <x:f>IF(C905=D905,1,0)</x:f>
        <x:v>1</x:v>
      </x:c>
      <x:c r="F905" s="1"/>
      <x:c r="G905" s="1"/>
    </x:row>
    <x:row r="906" ht="26" customHeight="1">
      <x:c r="A906" s="1" t="str">
        <x:v>Входы H</x:v>
      </x:c>
      <x:c r="B906" s="1" t="str">
        <x:v>R68</x:v>
      </x:c>
      <x:c r="C906" s="1">
        <x:v>0.65000000000000002</x:v>
      </x:c>
      <x:c r="D906" s="1">
        <x:f>'Входы H'!R68</x:f>
        <x:v>0.65000000000000002</x:v>
      </x:c>
      <x:c r="E906" s="1">
        <x:f>IF(C906=D906,1,0)</x:f>
        <x:v>1</x:v>
      </x:c>
      <x:c r="F906" s="1"/>
      <x:c r="G906" s="1"/>
    </x:row>
    <x:row r="907" ht="26" customHeight="1">
      <x:c r="A907" s="1" t="str">
        <x:v>Входы H</x:v>
      </x:c>
      <x:c r="B907" s="1" t="str">
        <x:v>S68</x:v>
      </x:c>
      <x:c r="C907" s="1">
        <x:v>0.13</x:v>
      </x:c>
      <x:c r="D907" s="1">
        <x:f>'Входы H'!S68</x:f>
        <x:v>0.13</x:v>
      </x:c>
      <x:c r="E907" s="1">
        <x:f>IF(C907=D907,1,0)</x:f>
        <x:v>1</x:v>
      </x:c>
      <x:c r="F907" s="1"/>
      <x:c r="G907" s="1"/>
    </x:row>
    <x:row r="908" ht="26" customHeight="1">
      <x:c r="A908" s="1" t="str">
        <x:v>Входы H</x:v>
      </x:c>
      <x:c r="B908" s="1" t="str">
        <x:v>R69</x:v>
      </x:c>
      <x:c r="C908" s="1">
        <x:v>0.65000000000000002</x:v>
      </x:c>
      <x:c r="D908" s="1">
        <x:f>'Входы H'!R69</x:f>
        <x:v>0.65000000000000002</x:v>
      </x:c>
      <x:c r="E908" s="1">
        <x:f>IF(C908=D908,1,0)</x:f>
        <x:v>1</x:v>
      </x:c>
      <x:c r="F908" s="1"/>
      <x:c r="G908" s="1"/>
    </x:row>
    <x:row r="909" ht="26" customHeight="1">
      <x:c r="A909" s="1" t="str">
        <x:v>Входы H</x:v>
      </x:c>
      <x:c r="B909" s="1" t="str">
        <x:v>S69</x:v>
      </x:c>
      <x:c r="C909" s="1">
        <x:v>0.13</x:v>
      </x:c>
      <x:c r="D909" s="1">
        <x:f>'Входы H'!S69</x:f>
        <x:v>0.13</x:v>
      </x:c>
      <x:c r="E909" s="1">
        <x:f>IF(C909=D909,1,0)</x:f>
        <x:v>1</x:v>
      </x:c>
      <x:c r="F909" s="1"/>
      <x:c r="G909" s="1"/>
    </x:row>
    <x:row r="910" ht="26" customHeight="1">
      <x:c r="A910" s="1" t="str">
        <x:v>Входы H</x:v>
      </x:c>
      <x:c r="B910" s="1" t="str">
        <x:v>R70</x:v>
      </x:c>
      <x:c r="C910" s="1">
        <x:v>0.65000000000000002</x:v>
      </x:c>
      <x:c r="D910" s="1">
        <x:f>'Входы H'!R70</x:f>
        <x:v>0.65000000000000002</x:v>
      </x:c>
      <x:c r="E910" s="1">
        <x:f>IF(C910=D910,1,0)</x:f>
        <x:v>1</x:v>
      </x:c>
      <x:c r="F910" s="1"/>
      <x:c r="G910" s="1"/>
    </x:row>
    <x:row r="911" ht="26" customHeight="1">
      <x:c r="A911" s="1" t="str">
        <x:v>Входы H</x:v>
      </x:c>
      <x:c r="B911" s="1" t="str">
        <x:v>S70</x:v>
      </x:c>
      <x:c r="C911" s="1">
        <x:v>0.13</x:v>
      </x:c>
      <x:c r="D911" s="1">
        <x:f>'Входы H'!S70</x:f>
        <x:v>0.13</x:v>
      </x:c>
      <x:c r="E911" s="1">
        <x:f>IF(C911=D911,1,0)</x:f>
        <x:v>1</x:v>
      </x:c>
      <x:c r="F911" s="1"/>
      <x:c r="G911" s="1"/>
    </x:row>
    <x:row r="912" ht="26" customHeight="1">
      <x:c r="A912" s="1" t="str">
        <x:v>Входы H</x:v>
      </x:c>
      <x:c r="B912" s="1" t="str">
        <x:v>R71</x:v>
      </x:c>
      <x:c r="C912" s="1">
        <x:v>0.65000000000000002</x:v>
      </x:c>
      <x:c r="D912" s="1">
        <x:f>'Входы H'!R71</x:f>
        <x:v>0.65000000000000002</x:v>
      </x:c>
      <x:c r="E912" s="1">
        <x:f>IF(C912=D912,1,0)</x:f>
        <x:v>1</x:v>
      </x:c>
      <x:c r="F912" s="1"/>
      <x:c r="G912" s="1"/>
    </x:row>
    <x:row r="913" ht="26" customHeight="1">
      <x:c r="A913" s="1" t="str">
        <x:v>Входы H</x:v>
      </x:c>
      <x:c r="B913" s="1" t="str">
        <x:v>S71</x:v>
      </x:c>
      <x:c r="C913" s="1">
        <x:v>0.13</x:v>
      </x:c>
      <x:c r="D913" s="1">
        <x:f>'Входы H'!S71</x:f>
        <x:v>0.13</x:v>
      </x:c>
      <x:c r="E913" s="1">
        <x:f>IF(C913=D913,1,0)</x:f>
        <x:v>1</x:v>
      </x:c>
      <x:c r="F913" s="1"/>
      <x:c r="G913" s="1"/>
    </x:row>
    <x:row r="914" ht="26" customHeight="1">
      <x:c r="A914" s="1" t="str">
        <x:v>Входы H</x:v>
      </x:c>
      <x:c r="B914" s="1" t="str">
        <x:v>R72</x:v>
      </x:c>
      <x:c r="C914" s="1">
        <x:v>0.65000000000000002</x:v>
      </x:c>
      <x:c r="D914" s="1">
        <x:f>'Входы H'!R72</x:f>
        <x:v>0.65000000000000002</x:v>
      </x:c>
      <x:c r="E914" s="1">
        <x:f>IF(C914=D914,1,0)</x:f>
        <x:v>1</x:v>
      </x:c>
      <x:c r="F914" s="1"/>
      <x:c r="G914" s="1"/>
    </x:row>
    <x:row r="915" ht="26" customHeight="1">
      <x:c r="A915" s="1" t="str">
        <x:v>Входы H</x:v>
      </x:c>
      <x:c r="B915" s="1" t="str">
        <x:v>S72</x:v>
      </x:c>
      <x:c r="C915" s="1">
        <x:v>0.13</x:v>
      </x:c>
      <x:c r="D915" s="1">
        <x:f>'Входы H'!S72</x:f>
        <x:v>0.13</x:v>
      </x:c>
      <x:c r="E915" s="1">
        <x:f>IF(C915=D915,1,0)</x:f>
        <x:v>1</x:v>
      </x:c>
      <x:c r="F915" s="1"/>
      <x:c r="G915" s="1"/>
    </x:row>
    <x:row r="916" ht="26" customHeight="1">
      <x:c r="A916" s="1" t="str">
        <x:v>Входы H</x:v>
      </x:c>
      <x:c r="B916" s="1" t="str">
        <x:v>R73</x:v>
      </x:c>
      <x:c r="C916" s="1">
        <x:v>0.65000000000000002</x:v>
      </x:c>
      <x:c r="D916" s="1">
        <x:f>'Входы H'!R73</x:f>
        <x:v>0.65000000000000002</x:v>
      </x:c>
      <x:c r="E916" s="1">
        <x:f>IF(C916=D916,1,0)</x:f>
        <x:v>1</x:v>
      </x:c>
      <x:c r="F916" s="1"/>
      <x:c r="G916" s="1"/>
    </x:row>
    <x:row r="917" ht="26" customHeight="1">
      <x:c r="A917" s="1" t="str">
        <x:v>Входы H</x:v>
      </x:c>
      <x:c r="B917" s="1" t="str">
        <x:v>S73</x:v>
      </x:c>
      <x:c r="C917" s="1">
        <x:v>0.13</x:v>
      </x:c>
      <x:c r="D917" s="1">
        <x:f>'Входы H'!S73</x:f>
        <x:v>0.13</x:v>
      </x:c>
      <x:c r="E917" s="1">
        <x:f>IF(C917=D917,1,0)</x:f>
        <x:v>1</x:v>
      </x:c>
      <x:c r="F917" s="1"/>
      <x:c r="G917" s="1"/>
    </x:row>
    <x:row r="918" ht="26" customHeight="1">
      <x:c r="A918" s="1" t="str">
        <x:v>Входы H</x:v>
      </x:c>
      <x:c r="B918" s="1" t="str">
        <x:v>R74</x:v>
      </x:c>
      <x:c r="C918" s="1">
        <x:v>0.65000000000000002</x:v>
      </x:c>
      <x:c r="D918" s="1">
        <x:f>'Входы H'!R74</x:f>
        <x:v>0.65000000000000002</x:v>
      </x:c>
      <x:c r="E918" s="1">
        <x:f>IF(C918=D918,1,0)</x:f>
        <x:v>1</x:v>
      </x:c>
      <x:c r="F918" s="1"/>
      <x:c r="G918" s="1"/>
    </x:row>
    <x:row r="919" ht="26" customHeight="1">
      <x:c r="A919" s="1" t="str">
        <x:v>Входы H</x:v>
      </x:c>
      <x:c r="B919" s="1" t="str">
        <x:v>S74</x:v>
      </x:c>
      <x:c r="C919" s="1">
        <x:v>0.13</x:v>
      </x:c>
      <x:c r="D919" s="1">
        <x:f>'Входы H'!S74</x:f>
        <x:v>0.13</x:v>
      </x:c>
      <x:c r="E919" s="1">
        <x:f>IF(C919=D919,1,0)</x:f>
        <x:v>1</x:v>
      </x:c>
      <x:c r="F919" s="1"/>
      <x:c r="G919" s="1"/>
    </x:row>
    <x:row r="920" ht="26" customHeight="1">
      <x:c r="A920" s="1" t="str">
        <x:v>Входы H</x:v>
      </x:c>
      <x:c r="B920" s="1" t="str">
        <x:v>R75</x:v>
      </x:c>
      <x:c r="C920" s="1">
        <x:v>0.65000000000000002</x:v>
      </x:c>
      <x:c r="D920" s="1">
        <x:f>'Входы H'!R75</x:f>
        <x:v>0.65000000000000002</x:v>
      </x:c>
      <x:c r="E920" s="1">
        <x:f>IF(C920=D920,1,0)</x:f>
        <x:v>1</x:v>
      </x:c>
      <x:c r="F920" s="1"/>
      <x:c r="G920" s="1"/>
    </x:row>
    <x:row r="921" ht="26" customHeight="1">
      <x:c r="A921" s="1" t="str">
        <x:v>Входы H</x:v>
      </x:c>
      <x:c r="B921" s="1" t="str">
        <x:v>S75</x:v>
      </x:c>
      <x:c r="C921" s="1">
        <x:v>0.13</x:v>
      </x:c>
      <x:c r="D921" s="1">
        <x:f>'Входы H'!S75</x:f>
        <x:v>0.13</x:v>
      </x:c>
      <x:c r="E921" s="1">
        <x:f>IF(C921=D921,1,0)</x:f>
        <x:v>1</x:v>
      </x:c>
      <x:c r="F921" s="1"/>
      <x:c r="G921" s="1"/>
    </x:row>
    <x:row r="922" ht="26" customHeight="1">
      <x:c r="A922" s="1" t="str">
        <x:v>Входы H</x:v>
      </x:c>
      <x:c r="B922" s="1" t="str">
        <x:v>R76</x:v>
      </x:c>
      <x:c r="C922" s="1">
        <x:v>0.65000000000000002</x:v>
      </x:c>
      <x:c r="D922" s="1">
        <x:f>'Входы H'!R76</x:f>
        <x:v>0.65000000000000002</x:v>
      </x:c>
      <x:c r="E922" s="1">
        <x:f>IF(C922=D922,1,0)</x:f>
        <x:v>1</x:v>
      </x:c>
      <x:c r="F922" s="1"/>
      <x:c r="G922" s="1"/>
    </x:row>
    <x:row r="923" ht="26" customHeight="1">
      <x:c r="A923" s="1" t="str">
        <x:v>Входы H</x:v>
      </x:c>
      <x:c r="B923" s="1" t="str">
        <x:v>S76</x:v>
      </x:c>
      <x:c r="C923" s="1">
        <x:v>0.13</x:v>
      </x:c>
      <x:c r="D923" s="1">
        <x:f>'Входы H'!S76</x:f>
        <x:v>0.13</x:v>
      </x:c>
      <x:c r="E923" s="1">
        <x:f>IF(C923=D923,1,0)</x:f>
        <x:v>1</x:v>
      </x:c>
      <x:c r="F923" s="1"/>
      <x:c r="G923" s="1"/>
    </x:row>
    <x:row r="924" ht="26" customHeight="1">
      <x:c r="A924" s="1" t="str">
        <x:v>Входы H</x:v>
      </x:c>
      <x:c r="B924" s="1" t="str">
        <x:v>R77</x:v>
      </x:c>
      <x:c r="C924" s="1">
        <x:v>0.65000000000000002</x:v>
      </x:c>
      <x:c r="D924" s="1">
        <x:f>'Входы H'!R77</x:f>
        <x:v>0.65000000000000002</x:v>
      </x:c>
      <x:c r="E924" s="1">
        <x:f>IF(C924=D924,1,0)</x:f>
        <x:v>1</x:v>
      </x:c>
      <x:c r="F924" s="1"/>
      <x:c r="G924" s="1"/>
    </x:row>
    <x:row r="925" ht="26" customHeight="1">
      <x:c r="A925" s="1" t="str">
        <x:v>Входы H</x:v>
      </x:c>
      <x:c r="B925" s="1" t="str">
        <x:v>S77</x:v>
      </x:c>
      <x:c r="C925" s="1">
        <x:v>0.13</x:v>
      </x:c>
      <x:c r="D925" s="1">
        <x:f>'Входы H'!S77</x:f>
        <x:v>0.13</x:v>
      </x:c>
      <x:c r="E925" s="1">
        <x:f>IF(C925=D925,1,0)</x:f>
        <x:v>1</x:v>
      </x:c>
      <x:c r="F925" s="1"/>
      <x:c r="G925" s="1"/>
    </x:row>
    <x:row r="926" ht="26" customHeight="1">
      <x:c r="A926" s="1" t="str">
        <x:v>Входы H</x:v>
      </x:c>
      <x:c r="B926" s="1" t="str">
        <x:v>R78</x:v>
      </x:c>
      <x:c r="C926" s="1">
        <x:v>0.65000000000000002</x:v>
      </x:c>
      <x:c r="D926" s="1">
        <x:f>'Входы H'!R78</x:f>
        <x:v>0.65000000000000002</x:v>
      </x:c>
      <x:c r="E926" s="1">
        <x:f>IF(C926=D926,1,0)</x:f>
        <x:v>1</x:v>
      </x:c>
      <x:c r="F926" s="1"/>
      <x:c r="G926" s="1"/>
    </x:row>
    <x:row r="927" ht="26" customHeight="1">
      <x:c r="A927" s="1" t="str">
        <x:v>Входы H</x:v>
      </x:c>
      <x:c r="B927" s="1" t="str">
        <x:v>S78</x:v>
      </x:c>
      <x:c r="C927" s="1">
        <x:v>0.13</x:v>
      </x:c>
      <x:c r="D927" s="1">
        <x:f>'Входы H'!S78</x:f>
        <x:v>0.13</x:v>
      </x:c>
      <x:c r="E927" s="1">
        <x:f>IF(C927=D927,1,0)</x:f>
        <x:v>1</x:v>
      </x:c>
      <x:c r="F927" s="1"/>
      <x:c r="G927" s="1"/>
    </x:row>
    <x:row r="928" ht="26" customHeight="1">
      <x:c r="A928" s="1" t="str">
        <x:v>Входы H</x:v>
      </x:c>
      <x:c r="B928" s="1" t="str">
        <x:v>R79</x:v>
      </x:c>
      <x:c r="C928" s="1">
        <x:v>0.65000000000000002</x:v>
      </x:c>
      <x:c r="D928" s="1">
        <x:f>'Входы H'!R79</x:f>
        <x:v>0.65000000000000002</x:v>
      </x:c>
      <x:c r="E928" s="1">
        <x:f>IF(C928=D928,1,0)</x:f>
        <x:v>1</x:v>
      </x:c>
      <x:c r="F928" s="1"/>
      <x:c r="G928" s="1"/>
    </x:row>
    <x:row r="929" ht="26" customHeight="1">
      <x:c r="A929" s="1" t="str">
        <x:v>Входы H</x:v>
      </x:c>
      <x:c r="B929" s="1" t="str">
        <x:v>S79</x:v>
      </x:c>
      <x:c r="C929" s="1">
        <x:v>0.13</x:v>
      </x:c>
      <x:c r="D929" s="1">
        <x:f>'Входы H'!S79</x:f>
        <x:v>0.13</x:v>
      </x:c>
      <x:c r="E929" s="1">
        <x:f>IF(C929=D929,1,0)</x:f>
        <x:v>1</x:v>
      </x:c>
      <x:c r="F929" s="1"/>
      <x:c r="G929" s="1"/>
    </x:row>
    <x:row r="930" ht="26" customHeight="1">
      <x:c r="A930" s="1" t="str">
        <x:v>Входы H</x:v>
      </x:c>
      <x:c r="B930" s="1" t="str">
        <x:v>R80</x:v>
      </x:c>
      <x:c r="C930" s="1">
        <x:v>0.65000000000000002</x:v>
      </x:c>
      <x:c r="D930" s="1">
        <x:f>'Входы H'!R80</x:f>
        <x:v>0.65000000000000002</x:v>
      </x:c>
      <x:c r="E930" s="1">
        <x:f>IF(C930=D930,1,0)</x:f>
        <x:v>1</x:v>
      </x:c>
      <x:c r="F930" s="1"/>
      <x:c r="G930" s="1"/>
    </x:row>
    <x:row r="931" ht="26" customHeight="1">
      <x:c r="A931" s="1" t="str">
        <x:v>Входы H</x:v>
      </x:c>
      <x:c r="B931" s="1" t="str">
        <x:v>S80</x:v>
      </x:c>
      <x:c r="C931" s="1">
        <x:v>0.13</x:v>
      </x:c>
      <x:c r="D931" s="1">
        <x:f>'Входы H'!S80</x:f>
        <x:v>0.13</x:v>
      </x:c>
      <x:c r="E931" s="1">
        <x:f>IF(C931=D931,1,0)</x:f>
        <x:v>1</x:v>
      </x:c>
      <x:c r="F931" s="1"/>
      <x:c r="G931" s="1"/>
    </x:row>
    <x:row r="932" ht="26" customHeight="1">
      <x:c r="A932" s="1" t="str">
        <x:v>Входы H</x:v>
      </x:c>
      <x:c r="B932" s="1" t="str">
        <x:v>R81</x:v>
      </x:c>
      <x:c r="C932" s="1">
        <x:v>0.65000000000000002</x:v>
      </x:c>
      <x:c r="D932" s="1">
        <x:f>'Входы H'!R81</x:f>
        <x:v>0.65000000000000002</x:v>
      </x:c>
      <x:c r="E932" s="1">
        <x:f>IF(C932=D932,1,0)</x:f>
        <x:v>1</x:v>
      </x:c>
      <x:c r="F932" s="1"/>
      <x:c r="G932" s="1"/>
    </x:row>
    <x:row r="933" ht="26" customHeight="1">
      <x:c r="A933" s="1" t="str">
        <x:v>Входы H</x:v>
      </x:c>
      <x:c r="B933" s="1" t="str">
        <x:v>S81</x:v>
      </x:c>
      <x:c r="C933" s="1">
        <x:v>0.13</x:v>
      </x:c>
      <x:c r="D933" s="1">
        <x:f>'Входы H'!S81</x:f>
        <x:v>0.13</x:v>
      </x:c>
      <x:c r="E933" s="1">
        <x:f>IF(C933=D933,1,0)</x:f>
        <x:v>1</x:v>
      </x:c>
      <x:c r="F933" s="1"/>
      <x:c r="G933" s="1"/>
    </x:row>
    <x:row r="934" ht="26" customHeight="1">
      <x:c r="A934" s="1" t="str">
        <x:v>Входы H</x:v>
      </x:c>
      <x:c r="B934" s="1" t="str">
        <x:v>R82</x:v>
      </x:c>
      <x:c r="C934" s="1">
        <x:v>0.65000000000000002</x:v>
      </x:c>
      <x:c r="D934" s="1">
        <x:f>'Входы H'!R82</x:f>
        <x:v>0.65000000000000002</x:v>
      </x:c>
      <x:c r="E934" s="1">
        <x:f>IF(C934=D934,1,0)</x:f>
        <x:v>1</x:v>
      </x:c>
      <x:c r="F934" s="1"/>
      <x:c r="G934" s="1"/>
    </x:row>
    <x:row r="935" ht="26" customHeight="1">
      <x:c r="A935" s="1" t="str">
        <x:v>Входы H</x:v>
      </x:c>
      <x:c r="B935" s="1" t="str">
        <x:v>S82</x:v>
      </x:c>
      <x:c r="C935" s="1">
        <x:v>0.13</x:v>
      </x:c>
      <x:c r="D935" s="1">
        <x:f>'Входы H'!S82</x:f>
        <x:v>0.13</x:v>
      </x:c>
      <x:c r="E935" s="1">
        <x:f>IF(C935=D935,1,0)</x:f>
        <x:v>1</x:v>
      </x:c>
      <x:c r="F935" s="1"/>
      <x:c r="G935" s="1"/>
    </x:row>
    <x:row r="936" ht="26" customHeight="1">
      <x:c r="A936" s="1" t="str">
        <x:v>Входы H</x:v>
      </x:c>
      <x:c r="B936" s="1" t="str">
        <x:v>R83</x:v>
      </x:c>
      <x:c r="C936" s="1">
        <x:v>0.65000000000000002</x:v>
      </x:c>
      <x:c r="D936" s="1">
        <x:f>'Входы H'!R83</x:f>
        <x:v>0.65000000000000002</x:v>
      </x:c>
      <x:c r="E936" s="1">
        <x:f>IF(C936=D936,1,0)</x:f>
        <x:v>1</x:v>
      </x:c>
      <x:c r="F936" s="1"/>
      <x:c r="G936" s="1"/>
    </x:row>
    <x:row r="937" ht="26" customHeight="1">
      <x:c r="A937" s="1" t="str">
        <x:v>Входы H</x:v>
      </x:c>
      <x:c r="B937" s="1" t="str">
        <x:v>S83</x:v>
      </x:c>
      <x:c r="C937" s="1">
        <x:v>0.13</x:v>
      </x:c>
      <x:c r="D937" s="1">
        <x:f>'Входы H'!S83</x:f>
        <x:v>0.13</x:v>
      </x:c>
      <x:c r="E937" s="1">
        <x:f>IF(C937=D937,1,0)</x:f>
        <x:v>1</x:v>
      </x:c>
      <x:c r="F937" s="1"/>
      <x:c r="G937" s="1"/>
    </x:row>
    <x:row r="938" ht="26" customHeight="1">
      <x:c r="A938" s="1" t="str">
        <x:v>Входы H</x:v>
      </x:c>
      <x:c r="B938" s="1" t="str">
        <x:v>R84</x:v>
      </x:c>
      <x:c r="C938" s="1">
        <x:v>0.65000000000000002</x:v>
      </x:c>
      <x:c r="D938" s="1">
        <x:f>'Входы H'!R84</x:f>
        <x:v>0.65000000000000002</x:v>
      </x:c>
      <x:c r="E938" s="1">
        <x:f>IF(C938=D938,1,0)</x:f>
        <x:v>1</x:v>
      </x:c>
      <x:c r="F938" s="1"/>
      <x:c r="G938" s="1"/>
    </x:row>
    <x:row r="939" ht="26" customHeight="1">
      <x:c r="A939" s="1" t="str">
        <x:v>Входы H</x:v>
      </x:c>
      <x:c r="B939" s="1" t="str">
        <x:v>S84</x:v>
      </x:c>
      <x:c r="C939" s="1">
        <x:v>0.13</x:v>
      </x:c>
      <x:c r="D939" s="1">
        <x:f>'Входы H'!S84</x:f>
        <x:v>0.13</x:v>
      </x:c>
      <x:c r="E939" s="1">
        <x:f>IF(C939=D939,1,0)</x:f>
        <x:v>1</x:v>
      </x:c>
      <x:c r="F939" s="1"/>
      <x:c r="G939" s="1"/>
    </x:row>
    <x:row r="940" ht="26" customHeight="1">
      <x:c r="A940" s="1" t="str">
        <x:v>Входы H</x:v>
      </x:c>
      <x:c r="B940" s="1" t="str">
        <x:v>R85</x:v>
      </x:c>
      <x:c r="C940" s="1">
        <x:v>0.65000000000000002</x:v>
      </x:c>
      <x:c r="D940" s="1">
        <x:f>'Входы H'!R85</x:f>
        <x:v>0.65000000000000002</x:v>
      </x:c>
      <x:c r="E940" s="1">
        <x:f>IF(C940=D940,1,0)</x:f>
        <x:v>1</x:v>
      </x:c>
      <x:c r="F940" s="1"/>
      <x:c r="G940" s="1"/>
    </x:row>
    <x:row r="941" ht="26" customHeight="1">
      <x:c r="A941" s="1" t="str">
        <x:v>Входы H</x:v>
      </x:c>
      <x:c r="B941" s="1" t="str">
        <x:v>S85</x:v>
      </x:c>
      <x:c r="C941" s="1">
        <x:v>0.13</x:v>
      </x:c>
      <x:c r="D941" s="1">
        <x:f>'Входы H'!S85</x:f>
        <x:v>0.13</x:v>
      </x:c>
      <x:c r="E941" s="1">
        <x:f>IF(C941=D941,1,0)</x:f>
        <x:v>1</x:v>
      </x:c>
      <x:c r="F941" s="1"/>
      <x:c r="G941" s="1"/>
    </x:row>
    <x:row r="942" ht="26" customHeight="1">
      <x:c r="A942" s="1" t="str">
        <x:v>Входы H</x:v>
      </x:c>
      <x:c r="B942" s="1" t="str">
        <x:v>R86</x:v>
      </x:c>
      <x:c r="C942" s="1">
        <x:v>0.65000000000000002</x:v>
      </x:c>
      <x:c r="D942" s="1">
        <x:f>'Входы H'!R86</x:f>
        <x:v>0.65000000000000002</x:v>
      </x:c>
      <x:c r="E942" s="1">
        <x:f>IF(C942=D942,1,0)</x:f>
        <x:v>1</x:v>
      </x:c>
      <x:c r="F942" s="1"/>
      <x:c r="G942" s="1"/>
    </x:row>
    <x:row r="943" ht="26" customHeight="1">
      <x:c r="A943" s="1" t="str">
        <x:v>Входы H</x:v>
      </x:c>
      <x:c r="B943" s="1" t="str">
        <x:v>S86</x:v>
      </x:c>
      <x:c r="C943" s="1">
        <x:v>0.13</x:v>
      </x:c>
      <x:c r="D943" s="1">
        <x:f>'Входы H'!S86</x:f>
        <x:v>0.13</x:v>
      </x:c>
      <x:c r="E943" s="1">
        <x:f>IF(C943=D943,1,0)</x:f>
        <x:v>1</x:v>
      </x:c>
      <x:c r="F943" s="1"/>
      <x:c r="G943" s="1"/>
    </x:row>
    <x:row r="944" ht="26" customHeight="1">
      <x:c r="A944" s="1" t="str">
        <x:v>Входы H</x:v>
      </x:c>
      <x:c r="B944" s="1" t="str">
        <x:v>R87</x:v>
      </x:c>
      <x:c r="C944" s="1">
        <x:v>0.65000000000000002</x:v>
      </x:c>
      <x:c r="D944" s="1">
        <x:f>'Входы H'!R87</x:f>
        <x:v>0.65000000000000002</x:v>
      </x:c>
      <x:c r="E944" s="1">
        <x:f>IF(C944=D944,1,0)</x:f>
        <x:v>1</x:v>
      </x:c>
      <x:c r="F944" s="1"/>
      <x:c r="G944" s="1"/>
    </x:row>
    <x:row r="945" ht="26" customHeight="1">
      <x:c r="A945" s="1" t="str">
        <x:v>Входы H</x:v>
      </x:c>
      <x:c r="B945" s="1" t="str">
        <x:v>S87</x:v>
      </x:c>
      <x:c r="C945" s="1">
        <x:v>0.13</x:v>
      </x:c>
      <x:c r="D945" s="1">
        <x:f>'Входы H'!S87</x:f>
        <x:v>0.13</x:v>
      </x:c>
      <x:c r="E945" s="1">
        <x:f>IF(C945=D945,1,0)</x:f>
        <x:v>1</x:v>
      </x:c>
      <x:c r="F945" s="1"/>
      <x:c r="G945" s="1"/>
    </x:row>
    <x:row r="946" ht="26" customHeight="1">
      <x:c r="A946" s="1" t="str">
        <x:v>Входы H</x:v>
      </x:c>
      <x:c r="B946" s="1" t="str">
        <x:v>R88</x:v>
      </x:c>
      <x:c r="C946" s="1">
        <x:v>0.65000000000000002</x:v>
      </x:c>
      <x:c r="D946" s="1">
        <x:f>'Входы H'!R88</x:f>
        <x:v>0.65000000000000002</x:v>
      </x:c>
      <x:c r="E946" s="1">
        <x:f>IF(C946=D946,1,0)</x:f>
        <x:v>1</x:v>
      </x:c>
      <x:c r="F946" s="1"/>
      <x:c r="G946" s="1"/>
    </x:row>
    <x:row r="947" ht="26" customHeight="1">
      <x:c r="A947" s="1" t="str">
        <x:v>Входы H</x:v>
      </x:c>
      <x:c r="B947" s="1" t="str">
        <x:v>S88</x:v>
      </x:c>
      <x:c r="C947" s="1">
        <x:v>0.13</x:v>
      </x:c>
      <x:c r="D947" s="1">
        <x:f>'Входы H'!S88</x:f>
        <x:v>0.13</x:v>
      </x:c>
      <x:c r="E947" s="1">
        <x:f>IF(C947=D947,1,0)</x:f>
        <x:v>1</x:v>
      </x:c>
      <x:c r="F947" s="1"/>
      <x:c r="G947" s="1"/>
    </x:row>
    <x:row r="948" ht="26" customHeight="1">
      <x:c r="A948" s="1" t="str">
        <x:v>Входы H</x:v>
      </x:c>
      <x:c r="B948" s="1" t="str">
        <x:v>R89</x:v>
      </x:c>
      <x:c r="C948" s="1">
        <x:v>0.65000000000000002</x:v>
      </x:c>
      <x:c r="D948" s="1">
        <x:f>'Входы H'!R89</x:f>
        <x:v>0.65000000000000002</x:v>
      </x:c>
      <x:c r="E948" s="1">
        <x:f>IF(C948=D948,1,0)</x:f>
        <x:v>1</x:v>
      </x:c>
      <x:c r="F948" s="1"/>
      <x:c r="G948" s="1"/>
    </x:row>
    <x:row r="949" ht="26" customHeight="1">
      <x:c r="A949" s="1" t="str">
        <x:v>Входы H</x:v>
      </x:c>
      <x:c r="B949" s="1" t="str">
        <x:v>S89</x:v>
      </x:c>
      <x:c r="C949" s="1">
        <x:v>0.13</x:v>
      </x:c>
      <x:c r="D949" s="1">
        <x:f>'Входы H'!S89</x:f>
        <x:v>0.13</x:v>
      </x:c>
      <x:c r="E949" s="1">
        <x:f>IF(C949=D949,1,0)</x:f>
        <x:v>1</x:v>
      </x:c>
      <x:c r="F949" s="1"/>
      <x:c r="G949" s="1"/>
    </x:row>
    <x:row r="950" ht="26" customHeight="1">
      <x:c r="A950" s="1" t="str">
        <x:v>Входы H</x:v>
      </x:c>
      <x:c r="B950" s="1" t="str">
        <x:v>R90</x:v>
      </x:c>
      <x:c r="C950" s="1">
        <x:v>0.65000000000000002</x:v>
      </x:c>
      <x:c r="D950" s="1">
        <x:f>'Входы H'!R90</x:f>
        <x:v>0.65000000000000002</x:v>
      </x:c>
      <x:c r="E950" s="1">
        <x:f>IF(C950=D950,1,0)</x:f>
        <x:v>1</x:v>
      </x:c>
      <x:c r="F950" s="1"/>
      <x:c r="G950" s="1"/>
    </x:row>
    <x:row r="951" ht="26" customHeight="1">
      <x:c r="A951" s="1" t="str">
        <x:v>Входы H</x:v>
      </x:c>
      <x:c r="B951" s="1" t="str">
        <x:v>S90</x:v>
      </x:c>
      <x:c r="C951" s="1">
        <x:v>0.13</x:v>
      </x:c>
      <x:c r="D951" s="1">
        <x:f>'Входы H'!S90</x:f>
        <x:v>0.13</x:v>
      </x:c>
      <x:c r="E951" s="1">
        <x:f>IF(C951=D951,1,0)</x:f>
        <x:v>1</x:v>
      </x:c>
      <x:c r="F951" s="1"/>
      <x:c r="G951" s="1"/>
    </x:row>
    <x:row r="952" ht="26" customHeight="1">
      <x:c r="A952" s="1" t="str">
        <x:v>Входы H</x:v>
      </x:c>
      <x:c r="B952" s="1" t="str">
        <x:v>R91</x:v>
      </x:c>
      <x:c r="C952" s="1">
        <x:v>0.65000000000000002</x:v>
      </x:c>
      <x:c r="D952" s="1">
        <x:f>'Входы H'!R91</x:f>
        <x:v>0.65000000000000002</x:v>
      </x:c>
      <x:c r="E952" s="1">
        <x:f>IF(C952=D952,1,0)</x:f>
        <x:v>1</x:v>
      </x:c>
      <x:c r="F952" s="1"/>
      <x:c r="G952" s="1"/>
    </x:row>
    <x:row r="953" ht="26" customHeight="1">
      <x:c r="A953" s="1" t="str">
        <x:v>Входы H</x:v>
      </x:c>
      <x:c r="B953" s="1" t="str">
        <x:v>S91</x:v>
      </x:c>
      <x:c r="C953" s="1">
        <x:v>0.13</x:v>
      </x:c>
      <x:c r="D953" s="1">
        <x:f>'Входы H'!S91</x:f>
        <x:v>0.13</x:v>
      </x:c>
      <x:c r="E953" s="1">
        <x:f>IF(C953=D953,1,0)</x:f>
        <x:v>1</x:v>
      </x:c>
      <x:c r="F953" s="1"/>
      <x:c r="G953" s="1"/>
    </x:row>
    <x:row r="954" ht="26" customHeight="1">
      <x:c r="A954" s="1" t="str">
        <x:v>Входы H</x:v>
      </x:c>
      <x:c r="B954" s="1" t="str">
        <x:v>R92</x:v>
      </x:c>
      <x:c r="C954" s="1">
        <x:v>0.65000000000000002</x:v>
      </x:c>
      <x:c r="D954" s="1">
        <x:f>'Входы H'!R92</x:f>
        <x:v>0.65000000000000002</x:v>
      </x:c>
      <x:c r="E954" s="1">
        <x:f>IF(C954=D954,1,0)</x:f>
        <x:v>1</x:v>
      </x:c>
      <x:c r="F954" s="1"/>
      <x:c r="G954" s="1"/>
    </x:row>
    <x:row r="955" ht="26" customHeight="1">
      <x:c r="A955" s="1" t="str">
        <x:v>Входы H</x:v>
      </x:c>
      <x:c r="B955" s="1" t="str">
        <x:v>S92</x:v>
      </x:c>
      <x:c r="C955" s="1">
        <x:v>0.13</x:v>
      </x:c>
      <x:c r="D955" s="1">
        <x:f>'Входы H'!S92</x:f>
        <x:v>0.13</x:v>
      </x:c>
      <x:c r="E955" s="1">
        <x:f>IF(C955=D955,1,0)</x:f>
        <x:v>1</x:v>
      </x:c>
      <x:c r="F955" s="1"/>
      <x:c r="G955" s="1"/>
    </x:row>
    <x:row r="956" ht="26" customHeight="1">
      <x:c r="A956" s="1" t="str">
        <x:v>Входы H</x:v>
      </x:c>
      <x:c r="B956" s="1" t="str">
        <x:v>R93</x:v>
      </x:c>
      <x:c r="C956" s="1">
        <x:v>0.65000000000000002</x:v>
      </x:c>
      <x:c r="D956" s="1">
        <x:f>'Входы H'!R93</x:f>
        <x:v>0.65000000000000002</x:v>
      </x:c>
      <x:c r="E956" s="1">
        <x:f>IF(C956=D956,1,0)</x:f>
        <x:v>1</x:v>
      </x:c>
      <x:c r="F956" s="1"/>
      <x:c r="G956" s="1"/>
    </x:row>
    <x:row r="957" ht="26" customHeight="1">
      <x:c r="A957" s="1" t="str">
        <x:v>Входы H</x:v>
      </x:c>
      <x:c r="B957" s="1" t="str">
        <x:v>S93</x:v>
      </x:c>
      <x:c r="C957" s="1">
        <x:v>0.13</x:v>
      </x:c>
      <x:c r="D957" s="1">
        <x:f>'Входы H'!S93</x:f>
        <x:v>0.13</x:v>
      </x:c>
      <x:c r="E957" s="1">
        <x:f>IF(C957=D957,1,0)</x:f>
        <x:v>1</x:v>
      </x:c>
      <x:c r="F957" s="1"/>
      <x:c r="G957" s="1"/>
    </x:row>
    <x:row r="958" ht="26" customHeight="1">
      <x:c r="A958" s="1" t="str">
        <x:v>Входы H</x:v>
      </x:c>
      <x:c r="B958" s="1" t="str">
        <x:v>R94</x:v>
      </x:c>
      <x:c r="C958" s="1">
        <x:v>0.65000000000000002</x:v>
      </x:c>
      <x:c r="D958" s="1">
        <x:f>'Входы H'!R94</x:f>
        <x:v>0.65000000000000002</x:v>
      </x:c>
      <x:c r="E958" s="1">
        <x:f>IF(C958=D958,1,0)</x:f>
        <x:v>1</x:v>
      </x:c>
      <x:c r="F958" s="1"/>
      <x:c r="G958" s="1"/>
    </x:row>
    <x:row r="959" ht="26" customHeight="1">
      <x:c r="A959" s="1" t="str">
        <x:v>Входы H</x:v>
      </x:c>
      <x:c r="B959" s="1" t="str">
        <x:v>S94</x:v>
      </x:c>
      <x:c r="C959" s="1">
        <x:v>0.13</x:v>
      </x:c>
      <x:c r="D959" s="1">
        <x:f>'Входы H'!S94</x:f>
        <x:v>0.13</x:v>
      </x:c>
      <x:c r="E959" s="1">
        <x:f>IF(C959=D959,1,0)</x:f>
        <x:v>1</x:v>
      </x:c>
      <x:c r="F959" s="1"/>
      <x:c r="G959" s="1"/>
    </x:row>
    <x:row r="960" ht="26" customHeight="1">
      <x:c r="A960" s="1" t="str">
        <x:v>Входы H</x:v>
      </x:c>
      <x:c r="B960" s="1" t="str">
        <x:v>R95</x:v>
      </x:c>
      <x:c r="C960" s="1">
        <x:v>0.65000000000000002</x:v>
      </x:c>
      <x:c r="D960" s="1">
        <x:f>'Входы H'!R95</x:f>
        <x:v>0.65000000000000002</x:v>
      </x:c>
      <x:c r="E960" s="1">
        <x:f>IF(C960=D960,1,0)</x:f>
        <x:v>1</x:v>
      </x:c>
      <x:c r="F960" s="1"/>
      <x:c r="G960" s="1"/>
    </x:row>
    <x:row r="961" ht="26" customHeight="1">
      <x:c r="A961" s="1" t="str">
        <x:v>Входы H</x:v>
      </x:c>
      <x:c r="B961" s="1" t="str">
        <x:v>S95</x:v>
      </x:c>
      <x:c r="C961" s="1">
        <x:v>0.13</x:v>
      </x:c>
      <x:c r="D961" s="1">
        <x:f>'Входы H'!S95</x:f>
        <x:v>0.13</x:v>
      </x:c>
      <x:c r="E961" s="1">
        <x:f>IF(C961=D961,1,0)</x:f>
        <x:v>1</x:v>
      </x:c>
      <x:c r="F961" s="1"/>
      <x:c r="G961" s="1"/>
    </x:row>
    <x:row r="962" ht="26" customHeight="1">
      <x:c r="A962" s="1" t="str">
        <x:v>Входы H</x:v>
      </x:c>
      <x:c r="B962" s="1" t="str">
        <x:v>R96</x:v>
      </x:c>
      <x:c r="C962" s="1">
        <x:v>0.65000000000000002</x:v>
      </x:c>
      <x:c r="D962" s="1">
        <x:f>'Входы H'!R96</x:f>
        <x:v>0.65000000000000002</x:v>
      </x:c>
      <x:c r="E962" s="1">
        <x:f>IF(C962=D962,1,0)</x:f>
        <x:v>1</x:v>
      </x:c>
      <x:c r="F962" s="1"/>
      <x:c r="G962" s="1"/>
    </x:row>
    <x:row r="963" ht="26" customHeight="1">
      <x:c r="A963" s="1" t="str">
        <x:v>Входы H</x:v>
      </x:c>
      <x:c r="B963" s="1" t="str">
        <x:v>S96</x:v>
      </x:c>
      <x:c r="C963" s="1">
        <x:v>0.13</x:v>
      </x:c>
      <x:c r="D963" s="1">
        <x:f>'Входы H'!S96</x:f>
        <x:v>0.13</x:v>
      </x:c>
      <x:c r="E963" s="1">
        <x:f>IF(C963=D963,1,0)</x:f>
        <x:v>1</x:v>
      </x:c>
      <x:c r="F963" s="1"/>
      <x:c r="G963" s="1"/>
    </x:row>
    <x:row r="964" ht="26" customHeight="1">
      <x:c r="A964" s="1" t="str">
        <x:v>Входы H</x:v>
      </x:c>
      <x:c r="B964" s="1" t="str">
        <x:v>R97</x:v>
      </x:c>
      <x:c r="C964" s="1">
        <x:v>0.65000000000000002</x:v>
      </x:c>
      <x:c r="D964" s="1">
        <x:f>'Входы H'!R97</x:f>
        <x:v>0.65000000000000002</x:v>
      </x:c>
      <x:c r="E964" s="1">
        <x:f>IF(C964=D964,1,0)</x:f>
        <x:v>1</x:v>
      </x:c>
      <x:c r="F964" s="1"/>
      <x:c r="G964" s="1"/>
    </x:row>
    <x:row r="965" ht="26" customHeight="1">
      <x:c r="A965" s="1" t="str">
        <x:v>Входы H</x:v>
      </x:c>
      <x:c r="B965" s="1" t="str">
        <x:v>S97</x:v>
      </x:c>
      <x:c r="C965" s="1">
        <x:v>0.13</x:v>
      </x:c>
      <x:c r="D965" s="1">
        <x:f>'Входы H'!S97</x:f>
        <x:v>0.13</x:v>
      </x:c>
      <x:c r="E965" s="1">
        <x:f>IF(C965=D965,1,0)</x:f>
        <x:v>1</x:v>
      </x:c>
      <x:c r="F965" s="1"/>
      <x:c r="G965" s="1"/>
    </x:row>
    <x:row r="966" ht="26" customHeight="1">
      <x:c r="A966" s="1" t="str">
        <x:v>Входы H</x:v>
      </x:c>
      <x:c r="B966" s="1" t="str">
        <x:v>R98</x:v>
      </x:c>
      <x:c r="C966" s="1">
        <x:v>0.65000000000000002</x:v>
      </x:c>
      <x:c r="D966" s="1">
        <x:f>'Входы H'!R98</x:f>
        <x:v>0.65000000000000002</x:v>
      </x:c>
      <x:c r="E966" s="1">
        <x:f>IF(C966=D966,1,0)</x:f>
        <x:v>1</x:v>
      </x:c>
      <x:c r="F966" s="1"/>
      <x:c r="G966" s="1"/>
    </x:row>
    <x:row r="967" ht="26" customHeight="1">
      <x:c r="A967" s="1" t="str">
        <x:v>Входы H</x:v>
      </x:c>
      <x:c r="B967" s="1" t="str">
        <x:v>S98</x:v>
      </x:c>
      <x:c r="C967" s="1">
        <x:v>0.13</x:v>
      </x:c>
      <x:c r="D967" s="1">
        <x:f>'Входы H'!S98</x:f>
        <x:v>0.13</x:v>
      </x:c>
      <x:c r="E967" s="1">
        <x:f>IF(C967=D967,1,0)</x:f>
        <x:v>1</x:v>
      </x:c>
      <x:c r="F967" s="1"/>
      <x:c r="G967" s="1"/>
    </x:row>
    <x:row r="968" ht="26" customHeight="1">
      <x:c r="A968" s="1" t="str">
        <x:v>Входы H</x:v>
      </x:c>
      <x:c r="B968" s="1" t="str">
        <x:v>R99</x:v>
      </x:c>
      <x:c r="C968" s="1">
        <x:v>0.65000000000000002</x:v>
      </x:c>
      <x:c r="D968" s="1">
        <x:f>'Входы H'!R99</x:f>
        <x:v>0.65000000000000002</x:v>
      </x:c>
      <x:c r="E968" s="1">
        <x:f>IF(C968=D968,1,0)</x:f>
        <x:v>1</x:v>
      </x:c>
      <x:c r="F968" s="1"/>
      <x:c r="G968" s="1"/>
    </x:row>
    <x:row r="969" ht="26" customHeight="1">
      <x:c r="A969" s="1" t="str">
        <x:v>Входы H</x:v>
      </x:c>
      <x:c r="B969" s="1" t="str">
        <x:v>S99</x:v>
      </x:c>
      <x:c r="C969" s="1">
        <x:v>0.13</x:v>
      </x:c>
      <x:c r="D969" s="1">
        <x:f>'Входы H'!S99</x:f>
        <x:v>0.13</x:v>
      </x:c>
      <x:c r="E969" s="1">
        <x:f>IF(C969=D969,1,0)</x:f>
        <x:v>1</x:v>
      </x:c>
      <x:c r="F969" s="1"/>
      <x:c r="G969" s="1"/>
    </x:row>
    <x:row r="970" ht="26" customHeight="1">
      <x:c r="A970" s="1" t="str">
        <x:v>Входы H</x:v>
      </x:c>
      <x:c r="B970" s="1" t="str">
        <x:v>R100</x:v>
      </x:c>
      <x:c r="C970" s="1">
        <x:v>0.65000000000000002</x:v>
      </x:c>
      <x:c r="D970" s="1">
        <x:f>'Входы H'!R100</x:f>
        <x:v>0.65000000000000002</x:v>
      </x:c>
      <x:c r="E970" s="1">
        <x:f>IF(C970=D970,1,0)</x:f>
        <x:v>1</x:v>
      </x:c>
      <x:c r="F970" s="1"/>
      <x:c r="G970" s="1"/>
    </x:row>
    <x:row r="971" ht="26" customHeight="1">
      <x:c r="A971" s="1" t="str">
        <x:v>Входы H</x:v>
      </x:c>
      <x:c r="B971" s="1" t="str">
        <x:v>S100</x:v>
      </x:c>
      <x:c r="C971" s="1">
        <x:v>0.13</x:v>
      </x:c>
      <x:c r="D971" s="1">
        <x:f>'Входы H'!S100</x:f>
        <x:v>0.13</x:v>
      </x:c>
      <x:c r="E971" s="1">
        <x:f>IF(C971=D971,1,0)</x:f>
        <x:v>1</x:v>
      </x:c>
      <x:c r="F971" s="1"/>
      <x:c r="G971" s="1"/>
    </x:row>
    <x:row r="972" ht="26" customHeight="1">
      <x:c r="A972" s="1" t="str">
        <x:v>Входы H</x:v>
      </x:c>
      <x:c r="B972" s="1" t="str">
        <x:v>R101</x:v>
      </x:c>
      <x:c r="C972" s="1">
        <x:v>0.65000000000000002</x:v>
      </x:c>
      <x:c r="D972" s="1">
        <x:f>'Входы H'!R101</x:f>
        <x:v>0.65000000000000002</x:v>
      </x:c>
      <x:c r="E972" s="1">
        <x:f>IF(C972=D972,1,0)</x:f>
        <x:v>1</x:v>
      </x:c>
      <x:c r="F972" s="1"/>
      <x:c r="G972" s="1"/>
    </x:row>
    <x:row r="973" ht="26" customHeight="1">
      <x:c r="A973" s="1" t="str">
        <x:v>Входы H</x:v>
      </x:c>
      <x:c r="B973" s="1" t="str">
        <x:v>S101</x:v>
      </x:c>
      <x:c r="C973" s="1">
        <x:v>0.13</x:v>
      </x:c>
      <x:c r="D973" s="1">
        <x:f>'Входы H'!S101</x:f>
        <x:v>0.13</x:v>
      </x:c>
      <x:c r="E973" s="1">
        <x:f>IF(C973=D973,1,0)</x:f>
        <x:v>1</x:v>
      </x:c>
      <x:c r="F973" s="1"/>
      <x:c r="G973" s="1"/>
    </x:row>
    <x:row r="974" ht="26" customHeight="1">
      <x:c r="A974" s="1" t="str">
        <x:v>Входы H</x:v>
      </x:c>
      <x:c r="B974" s="1" t="str">
        <x:v>R102</x:v>
      </x:c>
      <x:c r="C974" s="1">
        <x:v>0.65000000000000002</x:v>
      </x:c>
      <x:c r="D974" s="1">
        <x:f>'Входы H'!R102</x:f>
        <x:v>0.65000000000000002</x:v>
      </x:c>
      <x:c r="E974" s="1">
        <x:f>IF(C974=D974,1,0)</x:f>
        <x:v>1</x:v>
      </x:c>
      <x:c r="F974" s="1"/>
      <x:c r="G974" s="1"/>
    </x:row>
    <x:row r="975" ht="26" customHeight="1">
      <x:c r="A975" s="1" t="str">
        <x:v>Входы H</x:v>
      </x:c>
      <x:c r="B975" s="1" t="str">
        <x:v>S102</x:v>
      </x:c>
      <x:c r="C975" s="1">
        <x:v>0.13</x:v>
      </x:c>
      <x:c r="D975" s="1">
        <x:f>'Входы H'!S102</x:f>
        <x:v>0.13</x:v>
      </x:c>
      <x:c r="E975" s="1">
        <x:f>IF(C975=D975,1,0)</x:f>
        <x:v>1</x:v>
      </x:c>
      <x:c r="F975" s="1"/>
      <x:c r="G975" s="1"/>
    </x:row>
    <x:row r="976" ht="26" customHeight="1">
      <x:c r="A976" s="1" t="str">
        <x:v>Входы H</x:v>
      </x:c>
      <x:c r="B976" s="1" t="str">
        <x:v>R103</x:v>
      </x:c>
      <x:c r="C976" s="1">
        <x:v>0.65000000000000002</x:v>
      </x:c>
      <x:c r="D976" s="1">
        <x:f>'Входы H'!R103</x:f>
        <x:v>0.65000000000000002</x:v>
      </x:c>
      <x:c r="E976" s="1">
        <x:f>IF(C976=D976,1,0)</x:f>
        <x:v>1</x:v>
      </x:c>
      <x:c r="F976" s="1"/>
      <x:c r="G976" s="1"/>
    </x:row>
    <x:row r="977" ht="26" customHeight="1">
      <x:c r="A977" s="1" t="str">
        <x:v>Входы H</x:v>
      </x:c>
      <x:c r="B977" s="1" t="str">
        <x:v>S103</x:v>
      </x:c>
      <x:c r="C977" s="1">
        <x:v>0.13</x:v>
      </x:c>
      <x:c r="D977" s="1">
        <x:f>'Входы H'!S103</x:f>
        <x:v>0.13</x:v>
      </x:c>
      <x:c r="E977" s="1">
        <x:f>IF(C977=D977,1,0)</x:f>
        <x:v>1</x:v>
      </x:c>
      <x:c r="F977" s="1"/>
      <x:c r="G977" s="1"/>
    </x:row>
    <x:row r="978" ht="26" customHeight="1">
      <x:c r="A978" s="1" t="str">
        <x:v>Входы H</x:v>
      </x:c>
      <x:c r="B978" s="1" t="str">
        <x:v>R104</x:v>
      </x:c>
      <x:c r="C978" s="1">
        <x:v>0.65000000000000002</x:v>
      </x:c>
      <x:c r="D978" s="1">
        <x:f>'Входы H'!R104</x:f>
        <x:v>0.65000000000000002</x:v>
      </x:c>
      <x:c r="E978" s="1">
        <x:f>IF(C978=D978,1,0)</x:f>
        <x:v>1</x:v>
      </x:c>
      <x:c r="F978" s="1"/>
      <x:c r="G978" s="1"/>
    </x:row>
    <x:row r="979" ht="26" customHeight="1">
      <x:c r="A979" s="1" t="str">
        <x:v>Входы H</x:v>
      </x:c>
      <x:c r="B979" s="1" t="str">
        <x:v>S104</x:v>
      </x:c>
      <x:c r="C979" s="1">
        <x:v>0.13</x:v>
      </x:c>
      <x:c r="D979" s="1">
        <x:f>'Входы H'!S104</x:f>
        <x:v>0.13</x:v>
      </x:c>
      <x:c r="E979" s="1">
        <x:f>IF(C979=D979,1,0)</x:f>
        <x:v>1</x:v>
      </x:c>
      <x:c r="F979" s="1"/>
      <x:c r="G979" s="1"/>
    </x:row>
    <x:row r="980" ht="26" customHeight="1">
      <x:c r="A980" s="1" t="str">
        <x:v>Входы H</x:v>
      </x:c>
      <x:c r="B980" s="1" t="str">
        <x:v>R105</x:v>
      </x:c>
      <x:c r="C980" s="1">
        <x:v>0.65000000000000002</x:v>
      </x:c>
      <x:c r="D980" s="1">
        <x:f>'Входы H'!R105</x:f>
        <x:v>0.65000000000000002</x:v>
      </x:c>
      <x:c r="E980" s="1">
        <x:f>IF(C980=D980,1,0)</x:f>
        <x:v>1</x:v>
      </x:c>
      <x:c r="F980" s="1"/>
      <x:c r="G980" s="1"/>
    </x:row>
    <x:row r="981" ht="26" customHeight="1">
      <x:c r="A981" s="1" t="str">
        <x:v>Входы H</x:v>
      </x:c>
      <x:c r="B981" s="1" t="str">
        <x:v>S105</x:v>
      </x:c>
      <x:c r="C981" s="1">
        <x:v>0.13</x:v>
      </x:c>
      <x:c r="D981" s="1">
        <x:f>'Входы H'!S105</x:f>
        <x:v>0.13</x:v>
      </x:c>
      <x:c r="E981" s="1">
        <x:f>IF(C981=D981,1,0)</x:f>
        <x:v>1</x:v>
      </x:c>
      <x:c r="F981" s="1"/>
      <x:c r="G981" s="1"/>
    </x:row>
    <x:row r="982" ht="26" customHeight="1">
      <x:c r="A982" s="1" t="str">
        <x:v>Входы H</x:v>
      </x:c>
      <x:c r="B982" s="1" t="str">
        <x:v>R106</x:v>
      </x:c>
      <x:c r="C982" s="1">
        <x:v>0.65000000000000002</x:v>
      </x:c>
      <x:c r="D982" s="1">
        <x:f>'Входы H'!R106</x:f>
        <x:v>0.65000000000000002</x:v>
      </x:c>
      <x:c r="E982" s="1">
        <x:f>IF(C982=D982,1,0)</x:f>
        <x:v>1</x:v>
      </x:c>
      <x:c r="F982" s="1"/>
      <x:c r="G982" s="1"/>
    </x:row>
    <x:row r="983" ht="26" customHeight="1">
      <x:c r="A983" s="1" t="str">
        <x:v>Входы H</x:v>
      </x:c>
      <x:c r="B983" s="1" t="str">
        <x:v>S106</x:v>
      </x:c>
      <x:c r="C983" s="1">
        <x:v>0.13</x:v>
      </x:c>
      <x:c r="D983" s="1">
        <x:f>'Входы H'!S106</x:f>
        <x:v>0.13</x:v>
      </x:c>
      <x:c r="E983" s="1">
        <x:f>IF(C983=D983,1,0)</x:f>
        <x:v>1</x:v>
      </x:c>
      <x:c r="F983" s="1"/>
      <x:c r="G983" s="1"/>
    </x:row>
    <x:row r="984" ht="26" customHeight="1">
      <x:c r="A984" s="1" t="str">
        <x:v>Входы H</x:v>
      </x:c>
      <x:c r="B984" s="1" t="str">
        <x:v>R107</x:v>
      </x:c>
      <x:c r="C984" s="1">
        <x:v>0.65000000000000002</x:v>
      </x:c>
      <x:c r="D984" s="1">
        <x:f>'Входы H'!R107</x:f>
        <x:v>0.65000000000000002</x:v>
      </x:c>
      <x:c r="E984" s="1">
        <x:f>IF(C984=D984,1,0)</x:f>
        <x:v>1</x:v>
      </x:c>
      <x:c r="F984" s="1"/>
      <x:c r="G984" s="1"/>
    </x:row>
    <x:row r="985" ht="26" customHeight="1">
      <x:c r="A985" s="1" t="str">
        <x:v>Входы H</x:v>
      </x:c>
      <x:c r="B985" s="1" t="str">
        <x:v>S107</x:v>
      </x:c>
      <x:c r="C985" s="1">
        <x:v>0.13</x:v>
      </x:c>
      <x:c r="D985" s="1">
        <x:f>'Входы H'!S107</x:f>
        <x:v>0.13</x:v>
      </x:c>
      <x:c r="E985" s="1">
        <x:f>IF(C985=D985,1,0)</x:f>
        <x:v>1</x:v>
      </x:c>
      <x:c r="F985" s="1"/>
      <x:c r="G985" s="1"/>
    </x:row>
    <x:row r="986" ht="26" customHeight="1">
      <x:c r="A986" s="1" t="str">
        <x:v>Входы H</x:v>
      </x:c>
      <x:c r="B986" s="1" t="str">
        <x:v>R108</x:v>
      </x:c>
      <x:c r="C986" s="1">
        <x:v>0.65000000000000002</x:v>
      </x:c>
      <x:c r="D986" s="1">
        <x:f>'Входы H'!R108</x:f>
        <x:v>0.65000000000000002</x:v>
      </x:c>
      <x:c r="E986" s="1">
        <x:f>IF(C986=D986,1,0)</x:f>
        <x:v>1</x:v>
      </x:c>
      <x:c r="F986" s="1"/>
      <x:c r="G986" s="1"/>
    </x:row>
    <x:row r="987" ht="26" customHeight="1">
      <x:c r="A987" s="1" t="str">
        <x:v>Входы H</x:v>
      </x:c>
      <x:c r="B987" s="1" t="str">
        <x:v>S108</x:v>
      </x:c>
      <x:c r="C987" s="1">
        <x:v>0.13</x:v>
      </x:c>
      <x:c r="D987" s="1">
        <x:f>'Входы H'!S108</x:f>
        <x:v>0.13</x:v>
      </x:c>
      <x:c r="E987" s="1">
        <x:f>IF(C987=D987,1,0)</x:f>
        <x:v>1</x:v>
      </x:c>
      <x:c r="F987" s="1"/>
      <x:c r="G987" s="1"/>
    </x:row>
    <x:row r="988" ht="26" customHeight="1">
      <x:c r="A988" s="1" t="str">
        <x:v>Входы H</x:v>
      </x:c>
      <x:c r="B988" s="1" t="str">
        <x:v>R109</x:v>
      </x:c>
      <x:c r="C988" s="1">
        <x:v>0.65000000000000002</x:v>
      </x:c>
      <x:c r="D988" s="1">
        <x:f>'Входы H'!R109</x:f>
        <x:v>0.65000000000000002</x:v>
      </x:c>
      <x:c r="E988" s="1">
        <x:f>IF(C988=D988,1,0)</x:f>
        <x:v>1</x:v>
      </x:c>
      <x:c r="F988" s="1"/>
      <x:c r="G988" s="1"/>
    </x:row>
    <x:row r="989" ht="26" customHeight="1">
      <x:c r="A989" s="1" t="str">
        <x:v>Входы H</x:v>
      </x:c>
      <x:c r="B989" s="1" t="str">
        <x:v>S109</x:v>
      </x:c>
      <x:c r="C989" s="1">
        <x:v>0.13</x:v>
      </x:c>
      <x:c r="D989" s="1">
        <x:f>'Входы H'!S109</x:f>
        <x:v>0.13</x:v>
      </x:c>
      <x:c r="E989" s="1">
        <x:f>IF(C989=D989,1,0)</x:f>
        <x:v>1</x:v>
      </x:c>
      <x:c r="F989" s="1"/>
      <x:c r="G989" s="1"/>
    </x:row>
    <x:row r="990" ht="26" customHeight="1">
      <x:c r="A990" s="1" t="str">
        <x:v>Входы H</x:v>
      </x:c>
      <x:c r="B990" s="1" t="str">
        <x:v>R110</x:v>
      </x:c>
      <x:c r="C990" s="1">
        <x:v>0.65000000000000002</x:v>
      </x:c>
      <x:c r="D990" s="1">
        <x:f>'Входы H'!R110</x:f>
        <x:v>0.65000000000000002</x:v>
      </x:c>
      <x:c r="E990" s="1">
        <x:f>IF(C990=D990,1,0)</x:f>
        <x:v>1</x:v>
      </x:c>
      <x:c r="F990" s="1"/>
      <x:c r="G990" s="1"/>
    </x:row>
    <x:row r="991" ht="26" customHeight="1">
      <x:c r="A991" s="1" t="str">
        <x:v>Входы H</x:v>
      </x:c>
      <x:c r="B991" s="1" t="str">
        <x:v>S110</x:v>
      </x:c>
      <x:c r="C991" s="1">
        <x:v>0.13</x:v>
      </x:c>
      <x:c r="D991" s="1">
        <x:f>'Входы H'!S110</x:f>
        <x:v>0.13</x:v>
      </x:c>
      <x:c r="E991" s="1">
        <x:f>IF(C991=D991,1,0)</x:f>
        <x:v>1</x:v>
      </x:c>
      <x:c r="F991" s="1"/>
      <x:c r="G991" s="1"/>
    </x:row>
    <x:row r="992" ht="26" customHeight="1">
      <x:c r="A992" s="1" t="str">
        <x:v>Входы H</x:v>
      </x:c>
      <x:c r="B992" s="1" t="str">
        <x:v>R111</x:v>
      </x:c>
      <x:c r="C992" s="1">
        <x:v>0.65000000000000002</x:v>
      </x:c>
      <x:c r="D992" s="1">
        <x:f>'Входы H'!R111</x:f>
        <x:v>0.65000000000000002</x:v>
      </x:c>
      <x:c r="E992" s="1">
        <x:f>IF(C992=D992,1,0)</x:f>
        <x:v>1</x:v>
      </x:c>
      <x:c r="F992" s="1"/>
      <x:c r="G992" s="1"/>
    </x:row>
    <x:row r="993" ht="26" customHeight="1">
      <x:c r="A993" s="1" t="str">
        <x:v>Входы H</x:v>
      </x:c>
      <x:c r="B993" s="1" t="str">
        <x:v>S111</x:v>
      </x:c>
      <x:c r="C993" s="1">
        <x:v>0.13</x:v>
      </x:c>
      <x:c r="D993" s="1">
        <x:f>'Входы H'!S111</x:f>
        <x:v>0.13</x:v>
      </x:c>
      <x:c r="E993" s="1">
        <x:f>IF(C993=D993,1,0)</x:f>
        <x:v>1</x:v>
      </x:c>
      <x:c r="F993" s="1"/>
      <x:c r="G993" s="1"/>
    </x:row>
    <x:row r="994" ht="26" customHeight="1">
      <x:c r="A994" s="1" t="str">
        <x:v>Входы H</x:v>
      </x:c>
      <x:c r="B994" s="1" t="str">
        <x:v>R112</x:v>
      </x:c>
      <x:c r="C994" s="1">
        <x:v>0.65000000000000002</x:v>
      </x:c>
      <x:c r="D994" s="1">
        <x:f>'Входы H'!R112</x:f>
        <x:v>0.65000000000000002</x:v>
      </x:c>
      <x:c r="E994" s="1">
        <x:f>IF(C994=D994,1,0)</x:f>
        <x:v>1</x:v>
      </x:c>
      <x:c r="F994" s="1"/>
      <x:c r="G994" s="1"/>
    </x:row>
    <x:row r="995" ht="26" customHeight="1">
      <x:c r="A995" s="1" t="str">
        <x:v>Входы H</x:v>
      </x:c>
      <x:c r="B995" s="1" t="str">
        <x:v>S112</x:v>
      </x:c>
      <x:c r="C995" s="1">
        <x:v>0.13</x:v>
      </x:c>
      <x:c r="D995" s="1">
        <x:f>'Входы H'!S112</x:f>
        <x:v>0.13</x:v>
      </x:c>
      <x:c r="E995" s="1">
        <x:f>IF(C995=D995,1,0)</x:f>
        <x:v>1</x:v>
      </x:c>
      <x:c r="F995" s="1"/>
      <x:c r="G995" s="1"/>
    </x:row>
    <x:row r="996" ht="26" customHeight="1">
      <x:c r="A996" s="1" t="str">
        <x:v>Входы H</x:v>
      </x:c>
      <x:c r="B996" s="1" t="str">
        <x:v>R113</x:v>
      </x:c>
      <x:c r="C996" s="1">
        <x:v>0.65000000000000002</x:v>
      </x:c>
      <x:c r="D996" s="1">
        <x:f>'Входы H'!R113</x:f>
        <x:v>0.65000000000000002</x:v>
      </x:c>
      <x:c r="E996" s="1">
        <x:f>IF(C996=D996,1,0)</x:f>
        <x:v>1</x:v>
      </x:c>
      <x:c r="F996" s="1"/>
      <x:c r="G996" s="1"/>
    </x:row>
    <x:row r="997" ht="26" customHeight="1">
      <x:c r="A997" s="1" t="str">
        <x:v>Входы H</x:v>
      </x:c>
      <x:c r="B997" s="1" t="str">
        <x:v>S113</x:v>
      </x:c>
      <x:c r="C997" s="1">
        <x:v>0.13</x:v>
      </x:c>
      <x:c r="D997" s="1">
        <x:f>'Входы H'!S113</x:f>
        <x:v>0.13</x:v>
      </x:c>
      <x:c r="E997" s="1">
        <x:f>IF(C997=D997,1,0)</x:f>
        <x:v>1</x:v>
      </x:c>
      <x:c r="F997" s="1"/>
      <x:c r="G997" s="1"/>
    </x:row>
    <x:row r="998" ht="26" customHeight="1">
      <x:c r="A998" s="1" t="str">
        <x:v>Входы H</x:v>
      </x:c>
      <x:c r="B998" s="1" t="str">
        <x:v>R114</x:v>
      </x:c>
      <x:c r="C998" s="1">
        <x:v>0.65000000000000002</x:v>
      </x:c>
      <x:c r="D998" s="1">
        <x:f>'Входы H'!R114</x:f>
        <x:v>0.65000000000000002</x:v>
      </x:c>
      <x:c r="E998" s="1">
        <x:f>IF(C998=D998,1,0)</x:f>
        <x:v>1</x:v>
      </x:c>
      <x:c r="F998" s="1"/>
      <x:c r="G998" s="1"/>
    </x:row>
    <x:row r="999" ht="26" customHeight="1">
      <x:c r="A999" s="1" t="str">
        <x:v>Входы H</x:v>
      </x:c>
      <x:c r="B999" s="1" t="str">
        <x:v>S114</x:v>
      </x:c>
      <x:c r="C999" s="1">
        <x:v>0.13</x:v>
      </x:c>
      <x:c r="D999" s="1">
        <x:f>'Входы H'!S114</x:f>
        <x:v>0.13</x:v>
      </x:c>
      <x:c r="E999" s="1">
        <x:f>IF(C999=D999,1,0)</x:f>
        <x:v>1</x:v>
      </x:c>
      <x:c r="F999" s="1"/>
      <x:c r="G999" s="1"/>
    </x:row>
    <x:row r="1000" ht="26" customHeight="1">
      <x:c r="A1000" s="1" t="str">
        <x:v>Входы H</x:v>
      </x:c>
      <x:c r="B1000" s="1" t="str">
        <x:v>R115</x:v>
      </x:c>
      <x:c r="C1000" s="1">
        <x:v>0.65000000000000002</x:v>
      </x:c>
      <x:c r="D1000" s="1">
        <x:f>'Входы H'!R115</x:f>
        <x:v>0.65000000000000002</x:v>
      </x:c>
      <x:c r="E1000" s="1">
        <x:f>IF(C1000=D1000,1,0)</x:f>
        <x:v>1</x:v>
      </x:c>
      <x:c r="F1000" s="1"/>
      <x:c r="G1000" s="1"/>
    </x:row>
    <x:row r="1001">
      <x:c r="A1001" t="str">
        <x:v>Входы H</x:v>
      </x:c>
      <x:c r="B1001" t="str">
        <x:v>S115</x:v>
      </x:c>
      <x:c r="C1001">
        <x:v>0.13</x:v>
      </x:c>
      <x:c r="D1001">
        <x:f>'Входы H'!S115</x:f>
        <x:v>0.13</x:v>
      </x:c>
      <x:c r="E1001">
        <x:f>IF(C1001=D1001,1,0)</x:f>
        <x:v>1</x:v>
      </x:c>
    </x:row>
    <x:row r="1002">
      <x:c r="A1002" t="str">
        <x:v>Входы H</x:v>
      </x:c>
      <x:c r="B1002" t="str">
        <x:v>R116</x:v>
      </x:c>
      <x:c r="C1002">
        <x:v>0.65000000000000002</x:v>
      </x:c>
      <x:c r="D1002">
        <x:f>'Входы H'!R116</x:f>
        <x:v>0.65000000000000002</x:v>
      </x:c>
      <x:c r="E1002">
        <x:f>IF(C1002=D1002,1,0)</x:f>
        <x:v>1</x:v>
      </x:c>
    </x:row>
    <x:row r="1003">
      <x:c r="A1003" t="str">
        <x:v>Входы H</x:v>
      </x:c>
      <x:c r="B1003" t="str">
        <x:v>S116</x:v>
      </x:c>
      <x:c r="C1003">
        <x:v>0.13</x:v>
      </x:c>
      <x:c r="D1003">
        <x:f>'Входы H'!S116</x:f>
        <x:v>0.13</x:v>
      </x:c>
      <x:c r="E1003">
        <x:f>IF(C1003=D1003,1,0)</x:f>
        <x:v>1</x:v>
      </x:c>
    </x:row>
    <x:row r="1004">
      <x:c r="A1004" t="str">
        <x:v>Входы H</x:v>
      </x:c>
      <x:c r="B1004" t="str">
        <x:v>R117</x:v>
      </x:c>
      <x:c r="C1004">
        <x:v>0.65000000000000002</x:v>
      </x:c>
      <x:c r="D1004">
        <x:f>'Входы H'!R117</x:f>
        <x:v>0.65000000000000002</x:v>
      </x:c>
      <x:c r="E1004">
        <x:f>IF(C1004=D1004,1,0)</x:f>
        <x:v>1</x:v>
      </x:c>
    </x:row>
    <x:row r="1005">
      <x:c r="A1005" t="str">
        <x:v>Входы H</x:v>
      </x:c>
      <x:c r="B1005" t="str">
        <x:v>S117</x:v>
      </x:c>
      <x:c r="C1005">
        <x:v>0.13</x:v>
      </x:c>
      <x:c r="D1005">
        <x:f>'Входы H'!S117</x:f>
        <x:v>0.13</x:v>
      </x:c>
      <x:c r="E1005">
        <x:f>IF(C1005=D1005,1,0)</x:f>
        <x:v>1</x:v>
      </x:c>
    </x:row>
    <x:row r="1006">
      <x:c r="A1006" t="str">
        <x:v>Входы H</x:v>
      </x:c>
      <x:c r="B1006" t="str">
        <x:v>R118</x:v>
      </x:c>
      <x:c r="C1006">
        <x:v>0.65000000000000002</x:v>
      </x:c>
      <x:c r="D1006">
        <x:f>'Входы H'!R118</x:f>
        <x:v>0.65000000000000002</x:v>
      </x:c>
      <x:c r="E1006">
        <x:f>IF(C1006=D1006,1,0)</x:f>
        <x:v>1</x:v>
      </x:c>
    </x:row>
    <x:row r="1007">
      <x:c r="A1007" t="str">
        <x:v>Входы H</x:v>
      </x:c>
      <x:c r="B1007" t="str">
        <x:v>S118</x:v>
      </x:c>
      <x:c r="C1007">
        <x:v>0.13</x:v>
      </x:c>
      <x:c r="D1007">
        <x:f>'Входы H'!S118</x:f>
        <x:v>0.13</x:v>
      </x:c>
      <x:c r="E1007">
        <x:f>IF(C1007=D1007,1,0)</x:f>
        <x:v>1</x:v>
      </x:c>
    </x:row>
    <x:row r="1008">
      <x:c r="A1008" t="str">
        <x:v>Входы H</x:v>
      </x:c>
      <x:c r="B1008" t="str">
        <x:v>R119</x:v>
      </x:c>
      <x:c r="C1008">
        <x:v>0.65000000000000002</x:v>
      </x:c>
      <x:c r="D1008">
        <x:f>'Входы H'!R119</x:f>
        <x:v>0.65000000000000002</x:v>
      </x:c>
      <x:c r="E1008">
        <x:f>IF(C1008=D1008,1,0)</x:f>
        <x:v>1</x:v>
      </x:c>
    </x:row>
    <x:row r="1009">
      <x:c r="A1009" t="str">
        <x:v>Входы H</x:v>
      </x:c>
      <x:c r="B1009" t="str">
        <x:v>S119</x:v>
      </x:c>
      <x:c r="C1009">
        <x:v>0.13</x:v>
      </x:c>
      <x:c r="D1009">
        <x:f>'Входы H'!S119</x:f>
        <x:v>0.13</x:v>
      </x:c>
      <x:c r="E1009">
        <x:f>IF(C1009=D1009,1,0)</x:f>
        <x:v>1</x:v>
      </x:c>
    </x:row>
    <x:row r="1010">
      <x:c r="A1010" t="str">
        <x:v>Входы H</x:v>
      </x:c>
      <x:c r="B1010" t="str">
        <x:v>R120</x:v>
      </x:c>
      <x:c r="C1010">
        <x:v>0.65000000000000002</x:v>
      </x:c>
      <x:c r="D1010">
        <x:f>'Входы H'!R120</x:f>
        <x:v>0.65000000000000002</x:v>
      </x:c>
      <x:c r="E1010">
        <x:f>IF(C1010=D1010,1,0)</x:f>
        <x:v>1</x:v>
      </x:c>
    </x:row>
    <x:row r="1011">
      <x:c r="A1011" t="str">
        <x:v>Входы H</x:v>
      </x:c>
      <x:c r="B1011" t="str">
        <x:v>S120</x:v>
      </x:c>
      <x:c r="C1011">
        <x:v>0.13</x:v>
      </x:c>
      <x:c r="D1011">
        <x:f>'Входы H'!S120</x:f>
        <x:v>0.13</x:v>
      </x:c>
      <x:c r="E1011">
        <x:f>IF(C1011=D1011,1,0)</x:f>
        <x:v>1</x:v>
      </x:c>
    </x:row>
    <x:row r="1012">
      <x:c r="A1012" t="str">
        <x:v>Входы H</x:v>
      </x:c>
      <x:c r="B1012" t="str">
        <x:v>R121</x:v>
      </x:c>
      <x:c r="C1012">
        <x:v>0.65000000000000002</x:v>
      </x:c>
      <x:c r="D1012">
        <x:f>'Входы H'!R121</x:f>
        <x:v>0.65000000000000002</x:v>
      </x:c>
      <x:c r="E1012">
        <x:f>IF(C1012=D1012,1,0)</x:f>
        <x:v>1</x:v>
      </x:c>
    </x:row>
    <x:row r="1013">
      <x:c r="A1013" t="str">
        <x:v>Входы H</x:v>
      </x:c>
      <x:c r="B1013" t="str">
        <x:v>S121</x:v>
      </x:c>
      <x:c r="C1013">
        <x:v>0.13</x:v>
      </x:c>
      <x:c r="D1013">
        <x:f>'Входы H'!S121</x:f>
        <x:v>0.13</x:v>
      </x:c>
      <x:c r="E1013">
        <x:f>IF(C1013=D1013,1,0)</x:f>
        <x:v>1</x:v>
      </x:c>
    </x:row>
    <x:row r="1014">
      <x:c r="A1014" t="str">
        <x:v>Входы H</x:v>
      </x:c>
      <x:c r="B1014" t="str">
        <x:v>R122</x:v>
      </x:c>
      <x:c r="C1014">
        <x:v>0.65000000000000002</x:v>
      </x:c>
      <x:c r="D1014">
        <x:f>'Входы H'!R122</x:f>
        <x:v>0.65000000000000002</x:v>
      </x:c>
      <x:c r="E1014">
        <x:f>IF(C1014=D1014,1,0)</x:f>
        <x:v>1</x:v>
      </x:c>
    </x:row>
    <x:row r="1015">
      <x:c r="A1015" t="str">
        <x:v>Входы H</x:v>
      </x:c>
      <x:c r="B1015" t="str">
        <x:v>S122</x:v>
      </x:c>
      <x:c r="C1015">
        <x:v>0.13</x:v>
      </x:c>
      <x:c r="D1015">
        <x:f>'Входы H'!S122</x:f>
        <x:v>0.13</x:v>
      </x:c>
      <x:c r="E1015">
        <x:f>IF(C1015=D1015,1,0)</x:f>
        <x:v>1</x:v>
      </x:c>
    </x:row>
    <x:row r="1016">
      <x:c r="A1016" t="str">
        <x:v>Входы H</x:v>
      </x:c>
      <x:c r="B1016" t="str">
        <x:v>R123</x:v>
      </x:c>
      <x:c r="C1016">
        <x:v>0.65000000000000002</x:v>
      </x:c>
      <x:c r="D1016">
        <x:f>'Входы H'!R123</x:f>
        <x:v>0.65000000000000002</x:v>
      </x:c>
      <x:c r="E1016">
        <x:f>IF(C1016=D1016,1,0)</x:f>
        <x:v>1</x:v>
      </x:c>
    </x:row>
    <x:row r="1017">
      <x:c r="A1017" t="str">
        <x:v>Входы H</x:v>
      </x:c>
      <x:c r="B1017" t="str">
        <x:v>S123</x:v>
      </x:c>
      <x:c r="C1017">
        <x:v>0.13</x:v>
      </x:c>
      <x:c r="D1017">
        <x:f>'Входы H'!S123</x:f>
        <x:v>0.13</x:v>
      </x:c>
      <x:c r="E1017">
        <x:f>IF(C1017=D1017,1,0)</x:f>
        <x:v>1</x:v>
      </x:c>
    </x:row>
    <x:row r="1018">
      <x:c r="A1018" t="str">
        <x:v>Входы H</x:v>
      </x:c>
      <x:c r="B1018" t="str">
        <x:v>R124</x:v>
      </x:c>
      <x:c r="C1018">
        <x:v>0.65000000000000002</x:v>
      </x:c>
      <x:c r="D1018">
        <x:f>'Входы H'!R124</x:f>
        <x:v>0.65000000000000002</x:v>
      </x:c>
      <x:c r="E1018">
        <x:f>IF(C1018=D1018,1,0)</x:f>
        <x:v>1</x:v>
      </x:c>
    </x:row>
    <x:row r="1019">
      <x:c r="A1019" t="str">
        <x:v>Входы H</x:v>
      </x:c>
      <x:c r="B1019" t="str">
        <x:v>S124</x:v>
      </x:c>
      <x:c r="C1019">
        <x:v>0.13</x:v>
      </x:c>
      <x:c r="D1019">
        <x:f>'Входы H'!S124</x:f>
        <x:v>0.13</x:v>
      </x:c>
      <x:c r="E1019">
        <x:f>IF(C1019=D1019,1,0)</x:f>
        <x:v>1</x:v>
      </x:c>
    </x:row>
    <x:row r="1020">
      <x:c r="A1020" t="str">
        <x:v>Входы H</x:v>
      </x:c>
      <x:c r="B1020" t="str">
        <x:v>R125</x:v>
      </x:c>
      <x:c r="C1020">
        <x:v>0.65000000000000002</x:v>
      </x:c>
      <x:c r="D1020">
        <x:f>'Входы H'!R125</x:f>
        <x:v>0.65000000000000002</x:v>
      </x:c>
      <x:c r="E1020">
        <x:f>IF(C1020=D1020,1,0)</x:f>
        <x:v>1</x:v>
      </x:c>
    </x:row>
    <x:row r="1021">
      <x:c r="A1021" t="str">
        <x:v>Входы H</x:v>
      </x:c>
      <x:c r="B1021" t="str">
        <x:v>S125</x:v>
      </x:c>
      <x:c r="C1021">
        <x:v>0.13</x:v>
      </x:c>
      <x:c r="D1021">
        <x:f>'Входы H'!S125</x:f>
        <x:v>0.13</x:v>
      </x:c>
      <x:c r="E1021">
        <x:f>IF(C1021=D1021,1,0)</x:f>
        <x:v>1</x:v>
      </x:c>
    </x:row>
    <x:row r="1022">
      <x:c r="A1022" t="str">
        <x:v>Входы H</x:v>
      </x:c>
      <x:c r="B1022" t="str">
        <x:v>R126</x:v>
      </x:c>
      <x:c r="C1022">
        <x:v>0.65000000000000002</x:v>
      </x:c>
      <x:c r="D1022">
        <x:f>'Входы H'!R126</x:f>
        <x:v>0.65000000000000002</x:v>
      </x:c>
      <x:c r="E1022">
        <x:f>IF(C1022=D1022,1,0)</x:f>
        <x:v>1</x:v>
      </x:c>
    </x:row>
    <x:row r="1023">
      <x:c r="A1023" t="str">
        <x:v>Входы H</x:v>
      </x:c>
      <x:c r="B1023" t="str">
        <x:v>S126</x:v>
      </x:c>
      <x:c r="C1023">
        <x:v>0.13</x:v>
      </x:c>
      <x:c r="D1023">
        <x:f>'Входы H'!S126</x:f>
        <x:v>0.13</x:v>
      </x:c>
      <x:c r="E1023">
        <x:f>IF(C1023=D1023,1,0)</x:f>
        <x:v>1</x:v>
      </x:c>
    </x:row>
    <x:row r="1024">
      <x:c r="A1024" t="str">
        <x:v>Входы H</x:v>
      </x:c>
      <x:c r="B1024" t="str">
        <x:v>R127</x:v>
      </x:c>
      <x:c r="C1024">
        <x:v>0.65000000000000002</x:v>
      </x:c>
      <x:c r="D1024">
        <x:f>'Входы H'!R127</x:f>
        <x:v>0.65000000000000002</x:v>
      </x:c>
      <x:c r="E1024">
        <x:f>IF(C1024=D1024,1,0)</x:f>
        <x:v>1</x:v>
      </x:c>
    </x:row>
    <x:row r="1025">
      <x:c r="A1025" t="str">
        <x:v>Входы H</x:v>
      </x:c>
      <x:c r="B1025" t="str">
        <x:v>S127</x:v>
      </x:c>
      <x:c r="C1025">
        <x:v>0.13</x:v>
      </x:c>
      <x:c r="D1025">
        <x:f>'Входы H'!S127</x:f>
        <x:v>0.13</x:v>
      </x:c>
      <x:c r="E1025">
        <x:f>IF(C1025=D1025,1,0)</x:f>
        <x:v>1</x:v>
      </x:c>
    </x:row>
    <x:row r="1026">
      <x:c r="A1026" t="str">
        <x:v>Входы H</x:v>
      </x:c>
      <x:c r="B1026" t="str">
        <x:v>R128</x:v>
      </x:c>
      <x:c r="C1026">
        <x:v>0.65000000000000002</x:v>
      </x:c>
      <x:c r="D1026">
        <x:f>'Входы H'!R128</x:f>
        <x:v>0.65000000000000002</x:v>
      </x:c>
      <x:c r="E1026">
        <x:f>IF(C1026=D1026,1,0)</x:f>
        <x:v>1</x:v>
      </x:c>
    </x:row>
    <x:row r="1027">
      <x:c r="A1027" t="str">
        <x:v>Входы H</x:v>
      </x:c>
      <x:c r="B1027" t="str">
        <x:v>S128</x:v>
      </x:c>
      <x:c r="C1027">
        <x:v>0.13</x:v>
      </x:c>
      <x:c r="D1027">
        <x:f>'Входы H'!S128</x:f>
        <x:v>0.13</x:v>
      </x:c>
      <x:c r="E1027">
        <x:f>IF(C1027=D1027,1,0)</x:f>
        <x:v>1</x:v>
      </x:c>
    </x:row>
    <x:row r="1028">
      <x:c r="A1028" t="str">
        <x:v>Входы H</x:v>
      </x:c>
      <x:c r="B1028" t="str">
        <x:v>R129</x:v>
      </x:c>
      <x:c r="C1028">
        <x:v>0.78928571428571437</x:v>
      </x:c>
      <x:c r="D1028">
        <x:f>'Входы H'!R129</x:f>
        <x:v>0.78928571428571437</x:v>
      </x:c>
      <x:c r="E1028">
        <x:f>IF(C1028=D1028,1,0)</x:f>
        <x:v>1</x:v>
      </x:c>
    </x:row>
    <x:row r="1029">
      <x:c r="A1029" t="str">
        <x:v>Входы H</x:v>
      </x:c>
      <x:c r="B1029" t="str">
        <x:v>S129</x:v>
      </x:c>
      <x:c r="C1029">
        <x:v>0.13</x:v>
      </x:c>
      <x:c r="D1029">
        <x:f>'Входы H'!S129</x:f>
        <x:v>0.13</x:v>
      </x:c>
      <x:c r="E1029">
        <x:f>IF(C1029=D1029,1,0)</x:f>
        <x:v>1</x:v>
      </x:c>
    </x:row>
    <x:row r="1030">
      <x:c r="A1030" t="str">
        <x:v>Входы H</x:v>
      </x:c>
      <x:c r="B1030" t="str">
        <x:v>R130</x:v>
      </x:c>
      <x:c r="C1030">
        <x:v>0.32500000000000001</x:v>
      </x:c>
      <x:c r="D1030">
        <x:f>'Входы H'!R130</x:f>
        <x:v>0.32500000000000001</x:v>
      </x:c>
      <x:c r="E1030">
        <x:f>IF(C1030=D1030,1,0)</x:f>
        <x:v>1</x:v>
      </x:c>
    </x:row>
    <x:row r="1031">
      <x:c r="A1031" t="str">
        <x:v>Входы H</x:v>
      </x:c>
      <x:c r="B1031" t="str">
        <x:v>S130</x:v>
      </x:c>
      <x:c r="C1031">
        <x:v>0.13</x:v>
      </x:c>
      <x:c r="D1031">
        <x:f>'Входы H'!S130</x:f>
        <x:v>0.13</x:v>
      </x:c>
      <x:c r="E1031">
        <x:f>IF(C1031=D1031,1,0)</x:f>
        <x:v>1</x:v>
      </x:c>
    </x:row>
    <x:row r="1032">
      <x:c r="A1032" t="str">
        <x:v>Входы H</x:v>
      </x:c>
      <x:c r="B1032" t="str">
        <x:v>R131</x:v>
      </x:c>
      <x:c r="C1032">
        <x:v>0.32500000000000001</x:v>
      </x:c>
      <x:c r="D1032">
        <x:f>'Входы H'!R131</x:f>
        <x:v>0.32500000000000001</x:v>
      </x:c>
      <x:c r="E1032">
        <x:f>IF(C1032=D1032,1,0)</x:f>
        <x:v>1</x:v>
      </x:c>
    </x:row>
    <x:row r="1033">
      <x:c r="A1033" t="str">
        <x:v>Входы H</x:v>
      </x:c>
      <x:c r="B1033" t="str">
        <x:v>S131</x:v>
      </x:c>
      <x:c r="C1033">
        <x:v>0.13</x:v>
      </x:c>
      <x:c r="D1033">
        <x:f>'Входы H'!S131</x:f>
        <x:v>0.13</x:v>
      </x:c>
      <x:c r="E1033">
        <x:f>IF(C1033=D1033,1,0)</x:f>
        <x:v>1</x:v>
      </x:c>
    </x:row>
    <x:row r="1034">
      <x:c r="A1034" t="str">
        <x:v>Входы H</x:v>
      </x:c>
      <x:c r="B1034" t="str">
        <x:v>R132</x:v>
      </x:c>
      <x:c r="C1034">
        <x:v>0.78928571428571437</x:v>
      </x:c>
      <x:c r="D1034">
        <x:f>'Входы H'!R132</x:f>
        <x:v>0.78928571428571437</x:v>
      </x:c>
      <x:c r="E1034">
        <x:f>IF(C1034=D1034,1,0)</x:f>
        <x:v>1</x:v>
      </x:c>
    </x:row>
    <x:row r="1035">
      <x:c r="A1035" t="str">
        <x:v>Входы H</x:v>
      </x:c>
      <x:c r="B1035" t="str">
        <x:v>S132</x:v>
      </x:c>
      <x:c r="C1035">
        <x:v>0.13</x:v>
      </x:c>
      <x:c r="D1035">
        <x:f>'Входы H'!S132</x:f>
        <x:v>0.13</x:v>
      </x:c>
      <x:c r="E1035">
        <x:f>IF(C1035=D1035,1,0)</x:f>
        <x:v>1</x:v>
      </x:c>
    </x:row>
    <x:row r="1036">
      <x:c r="A1036" t="str">
        <x:v>Входы H</x:v>
      </x:c>
      <x:c r="B1036" t="str">
        <x:v>R133</x:v>
      </x:c>
      <x:c r="C1036">
        <x:v>0.5385714285714287</x:v>
      </x:c>
      <x:c r="D1036">
        <x:f>'Входы H'!R133</x:f>
        <x:v>0.5385714285714287</x:v>
      </x:c>
      <x:c r="E1036">
        <x:f>IF(C1036=D1036,1,0)</x:f>
        <x:v>1</x:v>
      </x:c>
    </x:row>
    <x:row r="1037">
      <x:c r="A1037" t="str">
        <x:v>Входы H</x:v>
      </x:c>
      <x:c r="B1037" t="str">
        <x:v>S133</x:v>
      </x:c>
      <x:c r="C1037">
        <x:v>0.13</x:v>
      </x:c>
      <x:c r="D1037">
        <x:f>'Входы H'!S133</x:f>
        <x:v>0.13</x:v>
      </x:c>
      <x:c r="E1037">
        <x:f>IF(C1037=D1037,1,0)</x:f>
        <x:v>1</x:v>
      </x:c>
    </x:row>
    <x:row r="1038">
      <x:c r="A1038" t="str">
        <x:v>Входы H</x:v>
      </x:c>
      <x:c r="B1038" t="str">
        <x:v>R134</x:v>
      </x:c>
      <x:c r="C1038">
        <x:v>0.90999999999999992</x:v>
      </x:c>
      <x:c r="D1038">
        <x:f>'Входы H'!R134</x:f>
        <x:v>0.90999999999999992</x:v>
      </x:c>
      <x:c r="E1038">
        <x:f>IF(C1038=D1038,1,0)</x:f>
        <x:v>1</x:v>
      </x:c>
    </x:row>
    <x:row r="1039">
      <x:c r="A1039" t="str">
        <x:v>Входы H</x:v>
      </x:c>
      <x:c r="B1039" t="str">
        <x:v>S134</x:v>
      </x:c>
      <x:c r="C1039">
        <x:v>0.13</x:v>
      </x:c>
      <x:c r="D1039">
        <x:f>'Входы H'!S134</x:f>
        <x:v>0.13</x:v>
      </x:c>
      <x:c r="E1039">
        <x:f>IF(C1039=D1039,1,0)</x:f>
        <x:v>1</x:v>
      </x:c>
    </x:row>
    <x:row r="1040">
      <x:c r="A1040" t="str">
        <x:v>Входы H</x:v>
      </x:c>
      <x:c r="B1040" t="str">
        <x:v>R135</x:v>
      </x:c>
      <x:c r="C1040">
        <x:v>0.90999999999999992</x:v>
      </x:c>
      <x:c r="D1040">
        <x:f>'Входы H'!R135</x:f>
        <x:v>0.90999999999999992</x:v>
      </x:c>
      <x:c r="E1040">
        <x:f>IF(C1040=D1040,1,0)</x:f>
        <x:v>1</x:v>
      </x:c>
    </x:row>
    <x:row r="1041">
      <x:c r="A1041" t="str">
        <x:v>Входы H</x:v>
      </x:c>
      <x:c r="B1041" t="str">
        <x:v>S135</x:v>
      </x:c>
      <x:c r="C1041">
        <x:v>0.13</x:v>
      </x:c>
      <x:c r="D1041">
        <x:f>'Входы H'!S135</x:f>
        <x:v>0.13</x:v>
      </x:c>
      <x:c r="E1041">
        <x:f>IF(C1041=D1041,1,0)</x:f>
        <x:v>1</x:v>
      </x:c>
    </x:row>
    <x:row r="1042">
      <x:c r="A1042" t="str">
        <x:v>Входы H</x:v>
      </x:c>
      <x:c r="B1042" t="str">
        <x:v>R136</x:v>
      </x:c>
      <x:c r="C1042">
        <x:v>0.5385714285714287</x:v>
      </x:c>
      <x:c r="D1042">
        <x:f>'Входы H'!R136</x:f>
        <x:v>0.5385714285714287</x:v>
      </x:c>
      <x:c r="E1042">
        <x:f>IF(C1042=D1042,1,0)</x:f>
        <x:v>1</x:v>
      </x:c>
    </x:row>
    <x:row r="1043">
      <x:c r="A1043" t="str">
        <x:v>Входы H</x:v>
      </x:c>
      <x:c r="B1043" t="str">
        <x:v>S136</x:v>
      </x:c>
      <x:c r="C1043">
        <x:v>0.13</x:v>
      </x:c>
      <x:c r="D1043">
        <x:f>'Входы H'!S136</x:f>
        <x:v>0.13</x:v>
      </x:c>
      <x:c r="E1043">
        <x:f>IF(C1043=D1043,1,0)</x:f>
        <x:v>1</x:v>
      </x:c>
    </x:row>
    <x:row r="1044">
      <x:c r="A1044" t="str">
        <x:v>Входы H</x:v>
      </x:c>
      <x:c r="B1044" t="str">
        <x:v>R137</x:v>
      </x:c>
      <x:c r="C1044">
        <x:v>0.65000000000000002</x:v>
      </x:c>
      <x:c r="D1044">
        <x:f>'Входы H'!R137</x:f>
        <x:v>0.65000000000000002</x:v>
      </x:c>
      <x:c r="E1044">
        <x:f>IF(C1044=D1044,1,0)</x:f>
        <x:v>1</x:v>
      </x:c>
    </x:row>
    <x:row r="1045">
      <x:c r="A1045" t="str">
        <x:v>Входы H</x:v>
      </x:c>
      <x:c r="B1045" t="str">
        <x:v>S137</x:v>
      </x:c>
      <x:c r="C1045">
        <x:v>0.13</x:v>
      </x:c>
      <x:c r="D1045">
        <x:f>'Входы H'!S137</x:f>
        <x:v>0.13</x:v>
      </x:c>
      <x:c r="E1045">
        <x:f>IF(C1045=D1045,1,0)</x:f>
        <x:v>1</x:v>
      </x:c>
    </x:row>
    <x:row r="1046">
      <x:c r="A1046" t="str">
        <x:v>Входы H</x:v>
      </x:c>
      <x:c r="B1046" t="str">
        <x:v>R138</x:v>
      </x:c>
      <x:c r="C1046">
        <x:v>0.65000000000000002</x:v>
      </x:c>
      <x:c r="D1046">
        <x:f>'Входы H'!R138</x:f>
        <x:v>0.65000000000000002</x:v>
      </x:c>
      <x:c r="E1046">
        <x:f>IF(C1046=D1046,1,0)</x:f>
        <x:v>1</x:v>
      </x:c>
    </x:row>
    <x:row r="1047">
      <x:c r="A1047" t="str">
        <x:v>Входы H</x:v>
      </x:c>
      <x:c r="B1047" t="str">
        <x:v>S138</x:v>
      </x:c>
      <x:c r="C1047">
        <x:v>0.13</x:v>
      </x:c>
      <x:c r="D1047">
        <x:f>'Входы H'!S138</x:f>
        <x:v>0.13</x:v>
      </x:c>
      <x:c r="E1047">
        <x:f>IF(C1047=D1047,1,0)</x:f>
        <x:v>1</x:v>
      </x:c>
    </x:row>
    <x:row r="1048">
      <x:c r="A1048" t="str">
        <x:v>Входы H</x:v>
      </x:c>
      <x:c r="B1048" t="str">
        <x:v>R139</x:v>
      </x:c>
      <x:c r="C1048">
        <x:v>0.65000000000000002</x:v>
      </x:c>
      <x:c r="D1048">
        <x:f>'Входы H'!R139</x:f>
        <x:v>0.65000000000000002</x:v>
      </x:c>
      <x:c r="E1048">
        <x:f>IF(C1048=D1048,1,0)</x:f>
        <x:v>1</x:v>
      </x:c>
    </x:row>
    <x:row r="1049">
      <x:c r="A1049" t="str">
        <x:v>Входы H</x:v>
      </x:c>
      <x:c r="B1049" t="str">
        <x:v>S139</x:v>
      </x:c>
      <x:c r="C1049">
        <x:v>0.13</x:v>
      </x:c>
      <x:c r="D1049">
        <x:f>'Входы H'!S139</x:f>
        <x:v>0.13</x:v>
      </x:c>
      <x:c r="E1049">
        <x:f>IF(C1049=D1049,1,0)</x:f>
        <x:v>1</x:v>
      </x:c>
    </x:row>
    <x:row r="1050">
      <x:c r="A1050" t="str">
        <x:v>Входы H</x:v>
      </x:c>
      <x:c r="B1050" t="str">
        <x:v>R140</x:v>
      </x:c>
      <x:c r="C1050">
        <x:v>0.65000000000000002</x:v>
      </x:c>
      <x:c r="D1050">
        <x:f>'Входы H'!R140</x:f>
        <x:v>0.65000000000000002</x:v>
      </x:c>
      <x:c r="E1050">
        <x:f>IF(C1050=D1050,1,0)</x:f>
        <x:v>1</x:v>
      </x:c>
    </x:row>
    <x:row r="1051">
      <x:c r="A1051" t="str">
        <x:v>Входы H</x:v>
      </x:c>
      <x:c r="B1051" t="str">
        <x:v>S140</x:v>
      </x:c>
      <x:c r="C1051">
        <x:v>0.13</x:v>
      </x:c>
      <x:c r="D1051">
        <x:f>'Входы H'!S140</x:f>
        <x:v>0.13</x:v>
      </x:c>
      <x:c r="E1051">
        <x:f>IF(C1051=D1051,1,0)</x:f>
        <x:v>1</x:v>
      </x:c>
    </x:row>
    <x:row r="1052">
      <x:c r="A1052" t="str">
        <x:v>Входы H</x:v>
      </x:c>
      <x:c r="B1052" t="str">
        <x:v>R141</x:v>
      </x:c>
      <x:c r="C1052">
        <x:v>0.65000000000000002</x:v>
      </x:c>
      <x:c r="D1052">
        <x:f>'Входы H'!R141</x:f>
        <x:v>0.65000000000000002</x:v>
      </x:c>
      <x:c r="E1052">
        <x:f>IF(C1052=D1052,1,0)</x:f>
        <x:v>1</x:v>
      </x:c>
    </x:row>
    <x:row r="1053">
      <x:c r="A1053" t="str">
        <x:v>Входы H</x:v>
      </x:c>
      <x:c r="B1053" t="str">
        <x:v>S141</x:v>
      </x:c>
      <x:c r="C1053">
        <x:v>0.13</x:v>
      </x:c>
      <x:c r="D1053">
        <x:f>'Входы H'!S141</x:f>
        <x:v>0.13</x:v>
      </x:c>
      <x:c r="E1053">
        <x:f>IF(C1053=D1053,1,0)</x:f>
        <x:v>1</x:v>
      </x:c>
    </x:row>
    <x:row r="1054">
      <x:c r="A1054" t="str">
        <x:v>Входы H</x:v>
      </x:c>
      <x:c r="B1054" t="str">
        <x:v>R142</x:v>
      </x:c>
      <x:c r="C1054">
        <x:v>0.65000000000000002</x:v>
      </x:c>
      <x:c r="D1054">
        <x:f>'Входы H'!R142</x:f>
        <x:v>0.65000000000000002</x:v>
      </x:c>
      <x:c r="E1054">
        <x:f>IF(C1054=D1054,1,0)</x:f>
        <x:v>1</x:v>
      </x:c>
    </x:row>
    <x:row r="1055">
      <x:c r="A1055" t="str">
        <x:v>Входы H</x:v>
      </x:c>
      <x:c r="B1055" t="str">
        <x:v>S142</x:v>
      </x:c>
      <x:c r="C1055">
        <x:v>0.13</x:v>
      </x:c>
      <x:c r="D1055">
        <x:f>'Входы H'!S142</x:f>
        <x:v>0.13</x:v>
      </x:c>
      <x:c r="E1055">
        <x:f>IF(C1055=D1055,1,0)</x:f>
        <x:v>1</x:v>
      </x:c>
    </x:row>
    <x:row r="1056">
      <x:c r="A1056" t="str">
        <x:v>Входы H</x:v>
      </x:c>
      <x:c r="B1056" t="str">
        <x:v>R143</x:v>
      </x:c>
      <x:c r="C1056">
        <x:v>0.65000000000000002</x:v>
      </x:c>
      <x:c r="D1056">
        <x:f>'Входы H'!R143</x:f>
        <x:v>0.65000000000000002</x:v>
      </x:c>
      <x:c r="E1056">
        <x:f>IF(C1056=D1056,1,0)</x:f>
        <x:v>1</x:v>
      </x:c>
    </x:row>
    <x:row r="1057">
      <x:c r="A1057" t="str">
        <x:v>Входы H</x:v>
      </x:c>
      <x:c r="B1057" t="str">
        <x:v>S143</x:v>
      </x:c>
      <x:c r="C1057">
        <x:v>0.13</x:v>
      </x:c>
      <x:c r="D1057">
        <x:f>'Входы H'!S143</x:f>
        <x:v>0.13</x:v>
      </x:c>
      <x:c r="E1057">
        <x:f>IF(C1057=D1057,1,0)</x:f>
        <x:v>1</x:v>
      </x:c>
    </x:row>
    <x:row r="1058">
      <x:c r="A1058" t="str">
        <x:v>Входы H</x:v>
      </x:c>
      <x:c r="B1058" t="str">
        <x:v>R144</x:v>
      </x:c>
      <x:c r="C1058">
        <x:v>0.65000000000000002</x:v>
      </x:c>
      <x:c r="D1058">
        <x:f>'Входы H'!R144</x:f>
        <x:v>0.65000000000000002</x:v>
      </x:c>
      <x:c r="E1058">
        <x:f>IF(C1058=D1058,1,0)</x:f>
        <x:v>1</x:v>
      </x:c>
    </x:row>
    <x:row r="1059">
      <x:c r="A1059" t="str">
        <x:v>Входы H</x:v>
      </x:c>
      <x:c r="B1059" t="str">
        <x:v>S144</x:v>
      </x:c>
      <x:c r="C1059">
        <x:v>0.13</x:v>
      </x:c>
      <x:c r="D1059">
        <x:f>'Входы H'!S144</x:f>
        <x:v>0.13</x:v>
      </x:c>
      <x:c r="E1059">
        <x:f>IF(C1059=D1059,1,0)</x:f>
        <x:v>1</x:v>
      </x:c>
    </x:row>
    <x:row r="1060">
      <x:c r="A1060" t="str">
        <x:v>Исходные</x:v>
      </x:c>
      <x:c r="B1060" t="str">
        <x:v>B5</x:v>
      </x:c>
      <x:c r="C1060">
        <x:v>0.65000000000000002</x:v>
      </x:c>
      <x:c r="D1060">
        <x:f>'Исходные'!B5</x:f>
        <x:v>0.65000000000000002</x:v>
      </x:c>
      <x:c r="E1060">
        <x:f>IF(C1060=D1060,1,0)</x:f>
        <x:v>1</x:v>
      </x:c>
    </x:row>
    <x:row r="1061">
      <x:c r="A1061" t="str">
        <x:v>Исходные</x:v>
      </x:c>
      <x:c r="B1061" t="str">
        <x:v>B6</x:v>
      </x:c>
      <x:c r="C1061">
        <x:v>0.13</x:v>
      </x:c>
      <x:c r="D1061">
        <x:f>'Исходные'!B6</x:f>
        <x:v>0.13</x:v>
      </x:c>
      <x:c r="E1061">
        <x:f>IF(C1061=D1061,1,0)</x:f>
        <x:v>1</x:v>
      </x:c>
    </x:row>
    <x:row r="1062">
      <x:c r="A1062" t="str">
        <x:v>Исходные</x:v>
      </x:c>
      <x:c r="B1062" t="str">
        <x:v>B7</x:v>
      </x:c>
      <x:c r="C1062">
        <x:v>0.91000000000000003</x:v>
      </x:c>
      <x:c r="D1062">
        <x:f>'Исходные'!B7</x:f>
        <x:v>0.91000000000000003</x:v>
      </x:c>
      <x:c r="E1062">
        <x:f>IF(C1062=D1062,1,0)</x:f>
        <x:v>1</x:v>
      </x:c>
    </x:row>
    <x:row r="1063">
      <x:c r="A1063" t="str">
        <x:v>Исходные</x:v>
      </x:c>
      <x:c r="B1063" t="str">
        <x:v>B8</x:v>
      </x:c>
      <x:c r="C1063">
        <x:v>0.20000000000000001</x:v>
      </x:c>
      <x:c r="D1063">
        <x:f>'Исходные'!B8</x:f>
        <x:v>0.20000000000000001</x:v>
      </x:c>
      <x:c r="E1063">
        <x:f>IF(C1063=D1063,1,0)</x:f>
        <x:v>1</x:v>
      </x:c>
    </x:row>
    <x:row r="1064">
      <x:c r="A1064" t="str">
        <x:v>Исходные</x:v>
      </x:c>
      <x:c r="B1064" t="str">
        <x:v>B9</x:v>
      </x:c>
      <x:c r="C1064">
        <x:v>0.59999999999999998</x:v>
      </x:c>
      <x:c r="D1064">
        <x:f>'Исходные'!B9</x:f>
        <x:v>0.59999999999999998</x:v>
      </x:c>
      <x:c r="E1064">
        <x:f>IF(C1064=D1064,1,0)</x:f>
        <x:v>1</x:v>
      </x:c>
    </x:row>
    <x:row r="1065">
      <x:c r="A1065" t="str">
        <x:v>Исходные</x:v>
      </x:c>
      <x:c r="B1065" t="str">
        <x:v>B10</x:v>
      </x:c>
      <x:c r="C1065">
        <x:v>0.80000000000000004</x:v>
      </x:c>
      <x:c r="D1065">
        <x:f>'Исходные'!B10</x:f>
        <x:v>0.80000000000000004</x:v>
      </x:c>
      <x:c r="E1065">
        <x:f>IF(C1065=D1065,1,0)</x:f>
        <x:v>1</x:v>
      </x:c>
    </x:row>
    <x:row r="1066">
      <x:c r="A1066" t="str">
        <x:v>Исходные</x:v>
      </x:c>
      <x:c r="B1066" t="str">
        <x:v>B11</x:v>
      </x:c>
      <x:c r="C1066">
        <x:v>60</x:v>
      </x:c>
      <x:c r="D1066">
        <x:f>'Исходные'!B11</x:f>
        <x:v>60</x:v>
      </x:c>
      <x:c r="E1066">
        <x:f>IF(C1066=D1066,1,0)</x:f>
        <x:v>1</x:v>
      </x:c>
    </x:row>
    <x:row r="1067">
      <x:c r="A1067" t="str">
        <x:v>Исходные</x:v>
      </x:c>
      <x:c r="B1067" t="str">
        <x:v>B12</x:v>
      </x:c>
      <x:c r="C1067">
        <x:v>24</x:v>
      </x:c>
      <x:c r="D1067">
        <x:f>'Исходные'!B12</x:f>
        <x:v>24</x:v>
      </x:c>
      <x:c r="E1067">
        <x:f>IF(C1067=D1067,1,0)</x:f>
        <x:v>1</x:v>
      </x:c>
    </x:row>
    <x:row r="1068">
      <x:c r="A1068" t="str">
        <x:v>Исходные</x:v>
      </x:c>
      <x:c r="B1068" t="str">
        <x:v>B13</x:v>
      </x:c>
      <x:c r="C1068">
        <x:v>300</x:v>
      </x:c>
      <x:c r="D1068">
        <x:f>'Исходные'!B13</x:f>
        <x:v>300</x:v>
      </x:c>
      <x:c r="E1068">
        <x:f>IF(C1068=D1068,1,0)</x:f>
        <x:v>1</x:v>
      </x:c>
    </x:row>
    <x:row r="1069">
      <x:c r="A1069" t="str">
        <x:v>Исходные</x:v>
      </x:c>
      <x:c r="B1069" t="str">
        <x:v>B14</x:v>
      </x:c>
      <x:c r="C1069">
        <x:v>420</x:v>
      </x:c>
      <x:c r="D1069">
        <x:f>'Исходные'!B14</x:f>
        <x:v>420</x:v>
      </x:c>
      <x:c r="E1069">
        <x:f>IF(C1069=D1069,1,0)</x:f>
        <x:v>1</x:v>
      </x:c>
    </x:row>
    <x:row r="1070">
      <x:c r="A1070" t="str">
        <x:v>Исходные</x:v>
      </x:c>
      <x:c r="B1070" t="str">
        <x:v>B15</x:v>
      </x:c>
      <x:c r="C1070">
        <x:v>32</x:v>
      </x:c>
      <x:c r="D1070">
        <x:f>'Исходные'!B15</x:f>
        <x:v>32</x:v>
      </x:c>
      <x:c r="E1070">
        <x:f>IF(C1070=D1070,1,0)</x:f>
        <x:v>1</x:v>
      </x:c>
    </x:row>
    <x:row r="1071">
      <x:c r="A1071" t="str">
        <x:v>Исходные</x:v>
      </x:c>
      <x:c r="B1071" t="str">
        <x:v>B16</x:v>
      </x:c>
      <x:c r="C1071">
        <x:v>40</x:v>
      </x:c>
      <x:c r="D1071">
        <x:f>'Исходные'!B16</x:f>
        <x:v>40</x:v>
      </x:c>
      <x:c r="E1071">
        <x:f>IF(C1071=D1071,1,0)</x:f>
        <x:v>1</x:v>
      </x:c>
    </x:row>
    <x:row r="1072">
      <x:c r="A1072" t="str">
        <x:v>Исходные</x:v>
      </x:c>
      <x:c r="B1072" t="str">
        <x:v>B17</x:v>
      </x:c>
      <x:c r="C1072">
        <x:v>-9</x:v>
      </x:c>
      <x:c r="D1072">
        <x:f>'Исходные'!B17</x:f>
        <x:v>-9</x:v>
      </x:c>
      <x:c r="E1072">
        <x:f>IF(C1072=D1072,1,0)</x:f>
        <x:v>1</x:v>
      </x:c>
    </x:row>
    <x:row r="1073">
      <x:c r="A1073" t="str">
        <x:v>Исходные</x:v>
      </x:c>
      <x:c r="B1073" t="str">
        <x:v>B18</x:v>
      </x:c>
      <x:c r="C1073">
        <x:v>-18</x:v>
      </x:c>
      <x:c r="D1073">
        <x:f>'Исходные'!B18</x:f>
        <x:v>-18</x:v>
      </x:c>
      <x:c r="E1073">
        <x:f>IF(C1073=D1073,1,0)</x:f>
        <x:v>1</x:v>
      </x:c>
    </x:row>
    <x:row r="1074">
      <x:c r="A1074" t="str">
        <x:v>Исходные</x:v>
      </x:c>
      <x:c r="B1074" t="str">
        <x:v>B19</x:v>
      </x:c>
      <x:c r="C1074">
        <x:v>-9</x:v>
      </x:c>
      <x:c r="D1074">
        <x:f>'Исходные'!B19</x:f>
        <x:v>-9</x:v>
      </x:c>
      <x:c r="E1074">
        <x:f>IF(C1074=D1074,1,0)</x:f>
        <x:v>1</x:v>
      </x:c>
    </x:row>
    <x:row r="1075">
      <x:c r="A1075" t="str">
        <x:v>Исходные</x:v>
      </x:c>
      <x:c r="B1075" t="str">
        <x:v>B20</x:v>
      </x:c>
      <x:c r="C1075">
        <x:v>6</x:v>
      </x:c>
      <x:c r="D1075">
        <x:f>'Исходные'!B20</x:f>
        <x:v>6</x:v>
      </x:c>
      <x:c r="E1075">
        <x:f>IF(C1075=D1075,1,0)</x:f>
        <x:v>1</x:v>
      </x:c>
    </x:row>
    <x:row r="1076">
      <x:c r="A1076" t="str">
        <x:v>Исходные</x:v>
      </x:c>
      <x:c r="B1076" t="str">
        <x:v>B21</x:v>
      </x:c>
      <x:c r="C1076">
        <x:v>30</x:v>
      </x:c>
      <x:c r="D1076">
        <x:f>'Исходные'!B21</x:f>
        <x:v>30</x:v>
      </x:c>
      <x:c r="E1076">
        <x:f>IF(C1076=D1076,1,0)</x:f>
        <x:v>1</x:v>
      </x:c>
    </x:row>
    <x:row r="1077">
      <x:c r="A1077" t="str">
        <x:v>Исходные</x:v>
      </x:c>
      <x:c r="B1077" t="str">
        <x:v>B22</x:v>
      </x:c>
      <x:c r="C1077">
        <x:v>0</x:v>
      </x:c>
      <x:c r="D1077">
        <x:f>'Исходные'!B22</x:f>
        <x:v>0</x:v>
      </x:c>
      <x:c r="E1077">
        <x:f>IF(C1077=D1077,1,0)</x:f>
        <x:v>1</x:v>
      </x:c>
    </x:row>
    <x:row r="1078">
      <x:c r="A1078" t="str">
        <x:v>Исходные</x:v>
      </x:c>
      <x:c r="B1078" t="str">
        <x:v>B23</x:v>
      </x:c>
      <x:c r="C1078">
        <x:v>0</x:v>
      </x:c>
      <x:c r="D1078">
        <x:f>'Исходные'!B23</x:f>
        <x:v>0</x:v>
      </x:c>
      <x:c r="E1078">
        <x:f>IF(C1078=D1078,1,0)</x:f>
        <x:v>1</x:v>
      </x:c>
    </x:row>
    <x:row r="1079">
      <x:c r="A1079" t="str">
        <x:v>Исходные</x:v>
      </x:c>
      <x:c r="B1079" t="str">
        <x:v>B24</x:v>
      </x:c>
      <x:c r="C1079">
        <x:v>0</x:v>
      </x:c>
      <x:c r="D1079">
        <x:f>'Исходные'!B24</x:f>
        <x:v>0</x:v>
      </x:c>
      <x:c r="E1079">
        <x:f>IF(C1079=D1079,1,0)</x:f>
        <x:v>1</x:v>
      </x:c>
    </x:row>
    <x:row r="1080">
      <x:c r="A1080" t="str">
        <x:v>Масштаб</x:v>
      </x:c>
      <x:c r="B1080" t="str">
        <x:v>B6</x:v>
      </x:c>
      <x:c r="C1080">
        <x:v>44000000</x:v>
      </x:c>
      <x:c r="D1080">
        <x:f>'Масштаб'!B6</x:f>
        <x:v>44000000</x:v>
      </x:c>
      <x:c r="E1080">
        <x:f>IF(C1080=D1080,1,0)</x:f>
        <x:v>1</x:v>
      </x:c>
    </x:row>
    <x:row r="1081">
      <x:c r="A1081" t="str">
        <x:v>Масштаб</x:v>
      </x:c>
      <x:c r="B1081" t="str">
        <x:v>B7</x:v>
      </x:c>
      <x:c r="C1081">
        <x:v>84000000</x:v>
      </x:c>
      <x:c r="D1081">
        <x:f>'Масштаб'!B7</x:f>
        <x:v>84000000</x:v>
      </x:c>
      <x:c r="E1081">
        <x:f>IF(C1081=D1081,1,0)</x:f>
        <x:v>1</x:v>
      </x:c>
    </x:row>
    <x:row r="1082">
      <x:c r="A1082" t="str">
        <x:v>Масштаб</x:v>
      </x:c>
      <x:c r="B1082" t="str">
        <x:v>B8</x:v>
      </x:c>
      <x:c r="C1082">
        <x:v>807700000</x:v>
      </x:c>
      <x:c r="D1082">
        <x:f>'Масштаб'!B8</x:f>
        <x:v>807700000</x:v>
      </x:c>
      <x:c r="E1082">
        <x:f>IF(C1082=D1082,1,0)</x:f>
        <x:v>1</x:v>
      </x:c>
    </x:row>
    <x:row r="1083">
      <x:c r="A1083" t="str">
        <x:v>Масштаб</x:v>
      </x:c>
      <x:c r="B1083" t="str">
        <x:v>B9</x:v>
      </x:c>
      <x:c r="C1083">
        <x:v>90</x:v>
      </x:c>
      <x:c r="D1083">
        <x:f>'Масштаб'!B9</x:f>
        <x:v>90</x:v>
      </x:c>
      <x:c r="E1083">
        <x:f>IF(C1083=D1083,1,0)</x:f>
        <x:v>1</x:v>
      </x:c>
    </x:row>
    <x:row r="1084">
      <x:c r="A1084" t="str">
        <x:v>Масштаб</x:v>
      </x:c>
      <x:c r="B1084" t="str">
        <x:v>B10</x:v>
      </x:c>
      <x:c r="C1084">
        <x:v>67300000</x:v>
      </x:c>
      <x:c r="D1084">
        <x:f>'Масштаб'!B10</x:f>
        <x:v>67300000</x:v>
      </x:c>
      <x:c r="E1084">
        <x:f>IF(C1084=D1084,1,0)</x:f>
        <x:v>1</x:v>
      </x:c>
    </x:row>
    <x:row r="1085">
      <x:c r="A1085" t="str">
        <x:v>Масштаб</x:v>
      </x:c>
      <x:c r="B1085" t="str">
        <x:v>B11</x:v>
      </x:c>
      <x:c r="C1085">
        <x:v>42</x:v>
      </x:c>
      <x:c r="D1085">
        <x:f>'Масштаб'!B11</x:f>
        <x:v>42</x:v>
      </x:c>
      <x:c r="E1085">
        <x:f>IF(C1085=D1085,1,0)</x:f>
        <x:v>1</x:v>
      </x:c>
    </x:row>
    <x:row r="1086">
      <x:c r="A1086" t="str">
        <x:v>Масштаб</x:v>
      </x:c>
      <x:c r="B1086" t="str">
        <x:v>B12</x:v>
      </x:c>
      <x:c r="C1086">
        <x:v>1200000000</x:v>
      </x:c>
      <x:c r="D1086">
        <x:f>'Масштаб'!B12</x:f>
        <x:v>1200000000</x:v>
      </x:c>
      <x:c r="E1086">
        <x:f>IF(C1086=D1086,1,0)</x:f>
        <x:v>1</x:v>
      </x:c>
    </x:row>
    <x:row r="1087">
      <x:c r="A1087" t="str">
        <x:v>Масштаб</x:v>
      </x:c>
      <x:c r="B1087" t="str">
        <x:v>B13</x:v>
      </x:c>
      <x:c r="C1087">
        <x:v>51</x:v>
      </x:c>
      <x:c r="D1087">
        <x:f>'Масштаб'!B13</x:f>
        <x:v>51</x:v>
      </x:c>
      <x:c r="E1087">
        <x:f>IF(C1087=D1087,1,0)</x:f>
        <x:v>1</x:v>
      </x:c>
    </x:row>
    <x:row r="1088">
      <x:c r="A1088" t="str">
        <x:v>Сценарии</x:v>
      </x:c>
      <x:c r="B1088" t="str">
        <x:v>D6</x:v>
      </x:c>
      <x:c r="C1088">
        <x:v>100000</x:v>
      </x:c>
      <x:c r="D1088">
        <x:f>'Сценарии'!D6</x:f>
        <x:v>100000</x:v>
      </x:c>
      <x:c r="E1088">
        <x:f>IF(C1088=D1088,1,0)</x:f>
        <x:v>1</x:v>
      </x:c>
    </x:row>
    <x:row r="1089">
      <x:c r="A1089" t="str">
        <x:v>Сценарии</x:v>
      </x:c>
      <x:c r="B1089" t="str">
        <x:v>E6</x:v>
      </x:c>
      <x:c r="C1089">
        <x:v>400000</x:v>
      </x:c>
      <x:c r="D1089">
        <x:f>'Сценарии'!E6</x:f>
        <x:v>400000</x:v>
      </x:c>
      <x:c r="E1089">
        <x:f>IF(C1089=D1089,1,0)</x:f>
        <x:v>1</x:v>
      </x:c>
    </x:row>
    <x:row r="1090">
      <x:c r="A1090" t="str">
        <x:v>Сценарии</x:v>
      </x:c>
      <x:c r="B1090" t="str">
        <x:v>F6</x:v>
      </x:c>
      <x:c r="C1090">
        <x:v>0.10000000000000001</x:v>
      </x:c>
      <x:c r="D1090">
        <x:f>'Сценарии'!F6</x:f>
        <x:v>0.10000000000000001</x:v>
      </x:c>
      <x:c r="E1090">
        <x:f>IF(C1090=D1090,1,0)</x:f>
        <x:v>1</x:v>
      </x:c>
    </x:row>
    <x:row r="1091">
      <x:c r="A1091" t="str">
        <x:v>Сценарии</x:v>
      </x:c>
      <x:c r="B1091" t="str">
        <x:v>G6</x:v>
      </x:c>
      <x:c r="C1091">
        <x:v>0.14999999999999999</x:v>
      </x:c>
      <x:c r="D1091">
        <x:f>'Сценарии'!G6</x:f>
        <x:v>0.14999999999999999</x:v>
      </x:c>
      <x:c r="E1091">
        <x:f>IF(C1091=D1091,1,0)</x:f>
        <x:v>1</x:v>
      </x:c>
    </x:row>
    <x:row r="1092">
      <x:c r="A1092" t="str">
        <x:v>Сценарии</x:v>
      </x:c>
      <x:c r="B1092" t="str">
        <x:v>H6</x:v>
      </x:c>
      <x:c r="C1092">
        <x:v>0.34999999999999998</x:v>
      </x:c>
      <x:c r="D1092">
        <x:f>'Сценарии'!H6</x:f>
        <x:v>0.34999999999999998</x:v>
      </x:c>
      <x:c r="E1092">
        <x:f>IF(C1092=D1092,1,0)</x:f>
        <x:v>1</x:v>
      </x:c>
    </x:row>
    <x:row r="1093">
      <x:c r="A1093" t="str">
        <x:v>Сценарии</x:v>
      </x:c>
      <x:c r="B1093" t="str">
        <x:v>I6</x:v>
      </x:c>
      <x:c r="C1093">
        <x:v>0.40000000000000002</x:v>
      </x:c>
      <x:c r="D1093">
        <x:f>'Сценарии'!I6</x:f>
        <x:v>0.40000000000000002</x:v>
      </x:c>
      <x:c r="E1093">
        <x:f>IF(C1093=D1093,1,0)</x:f>
        <x:v>1</x:v>
      </x:c>
    </x:row>
    <x:row r="1094">
      <x:c r="A1094" t="str">
        <x:v>Сценарии</x:v>
      </x:c>
      <x:c r="B1094" t="str">
        <x:v>J6</x:v>
      </x:c>
      <x:c r="C1094">
        <x:v>0.12</x:v>
      </x:c>
      <x:c r="D1094">
        <x:f>'Сценарии'!J6</x:f>
        <x:v>0.12</x:v>
      </x:c>
      <x:c r="E1094">
        <x:f>IF(C1094=D1094,1,0)</x:f>
        <x:v>1</x:v>
      </x:c>
    </x:row>
    <x:row r="1095">
      <x:c r="A1095" t="str">
        <x:v>Сценарии</x:v>
      </x:c>
      <x:c r="B1095" t="str">
        <x:v>K6</x:v>
      </x:c>
      <x:c r="C1095">
        <x:v>0.25</x:v>
      </x:c>
      <x:c r="D1095">
        <x:f>'Сценарии'!K6</x:f>
        <x:v>0.25</x:v>
      </x:c>
      <x:c r="E1095">
        <x:f>IF(C1095=D1095,1,0)</x:f>
        <x:v>1</x:v>
      </x:c>
    </x:row>
    <x:row r="1096">
      <x:c r="A1096" t="str">
        <x:v>Сценарии</x:v>
      </x:c>
      <x:c r="B1096" t="str">
        <x:v>L6</x:v>
      </x:c>
      <x:c r="C1096">
        <x:v>1</x:v>
      </x:c>
      <x:c r="D1096">
        <x:f>'Сценарии'!L6</x:f>
        <x:v>1</x:v>
      </x:c>
      <x:c r="E1096">
        <x:f>IF(C1096=D1096,1,0)</x:f>
        <x:v>1</x:v>
      </x:c>
    </x:row>
    <x:row r="1097">
      <x:c r="A1097" t="str">
        <x:v>Сценарии</x:v>
      </x:c>
      <x:c r="B1097" t="str">
        <x:v>M6</x:v>
      </x:c>
      <x:c r="C1097">
        <x:v>0.59999999999999998</x:v>
      </x:c>
      <x:c r="D1097">
        <x:f>'Сценарии'!M6</x:f>
        <x:v>0.59999999999999998</x:v>
      </x:c>
      <x:c r="E1097">
        <x:f>IF(C1097=D1097,1,0)</x:f>
        <x:v>1</x:v>
      </x:c>
    </x:row>
    <x:row r="1098">
      <x:c r="A1098" t="str">
        <x:v>Сценарии</x:v>
      </x:c>
      <x:c r="B1098" t="str">
        <x:v>N6</x:v>
      </x:c>
      <x:c r="C1098">
        <x:v>0.80000000000000004</x:v>
      </x:c>
      <x:c r="D1098">
        <x:f>'Сценарии'!N6</x:f>
        <x:v>0.80000000000000004</x:v>
      </x:c>
      <x:c r="E1098">
        <x:f>IF(C1098=D1098,1,0)</x:f>
        <x:v>1</x:v>
      </x:c>
    </x:row>
    <x:row r="1099">
      <x:c r="A1099" t="str">
        <x:v>Сценарии</x:v>
      </x:c>
      <x:c r="B1099" t="str">
        <x:v>O6</x:v>
      </x:c>
      <x:c r="C1099">
        <x:v>1</x:v>
      </x:c>
      <x:c r="D1099">
        <x:f>'Сценарии'!O6</x:f>
        <x:v>1</x:v>
      </x:c>
      <x:c r="E1099">
        <x:f>IF(C1099=D1099,1,0)</x:f>
        <x:v>1</x:v>
      </x:c>
    </x:row>
    <x:row r="1100">
      <x:c r="A1100" t="str">
        <x:v>Сценарии</x:v>
      </x:c>
      <x:c r="B1100" t="str">
        <x:v>P6</x:v>
      </x:c>
      <x:c r="C1100">
        <x:v>0.25</x:v>
      </x:c>
      <x:c r="D1100">
        <x:f>'Сценарии'!P6</x:f>
        <x:v>0.25</x:v>
      </x:c>
      <x:c r="E1100">
        <x:f>IF(C1100=D1100,1,0)</x:f>
        <x:v>1</x:v>
      </x:c>
    </x:row>
    <x:row r="1101">
      <x:c r="A1101" t="str">
        <x:v>Сценарии</x:v>
      </x:c>
      <x:c r="B1101" t="str">
        <x:v>Q6</x:v>
      </x:c>
      <x:c r="C1101">
        <x:v>0.25</x:v>
      </x:c>
      <x:c r="D1101">
        <x:f>'Сценарии'!Q6</x:f>
        <x:v>0.25</x:v>
      </x:c>
      <x:c r="E1101">
        <x:f>IF(C1101=D1101,1,0)</x:f>
        <x:v>1</x:v>
      </x:c>
    </x:row>
    <x:row r="1102">
      <x:c r="A1102" t="str">
        <x:v>Сценарии</x:v>
      </x:c>
      <x:c r="B1102" t="str">
        <x:v>R6</x:v>
      </x:c>
      <x:c r="C1102">
        <x:v>0</x:v>
      </x:c>
      <x:c r="D1102">
        <x:f>'Сценарии'!R6</x:f>
        <x:v>0</x:v>
      </x:c>
      <x:c r="E1102">
        <x:f>IF(C1102=D1102,1,0)</x:f>
        <x:v>1</x:v>
      </x:c>
    </x:row>
    <x:row r="1103">
      <x:c r="A1103" t="str">
        <x:v>Сценарии</x:v>
      </x:c>
      <x:c r="B1103" t="str">
        <x:v>S6</x:v>
      </x:c>
      <x:c r="C1103">
        <x:v>0</x:v>
      </x:c>
      <x:c r="D1103">
        <x:f>'Сценарии'!S6</x:f>
        <x:v>0</x:v>
      </x:c>
      <x:c r="E1103">
        <x:f>IF(C1103=D1103,1,0)</x:f>
        <x:v>1</x:v>
      </x:c>
    </x:row>
    <x:row r="1104">
      <x:c r="A1104" t="str">
        <x:v>Сценарии</x:v>
      </x:c>
      <x:c r="B1104" t="str">
        <x:v>T6</x:v>
      </x:c>
      <x:c r="C1104">
        <x:v>0</x:v>
      </x:c>
      <x:c r="D1104">
        <x:f>'Сценарии'!T6</x:f>
        <x:v>0</x:v>
      </x:c>
      <x:c r="E1104">
        <x:f>IF(C1104=D1104,1,0)</x:f>
        <x:v>1</x:v>
      </x:c>
    </x:row>
    <x:row r="1105">
      <x:c r="A1105" t="str">
        <x:v>Сценарии</x:v>
      </x:c>
      <x:c r="B1105" t="str">
        <x:v>U6</x:v>
      </x:c>
      <x:c r="C1105">
        <x:v>1000</x:v>
      </x:c>
      <x:c r="D1105">
        <x:f>'Сценарии'!U6</x:f>
        <x:v>1000</x:v>
      </x:c>
      <x:c r="E1105">
        <x:f>IF(C1105=D1105,1,0)</x:f>
        <x:v>1</x:v>
      </x:c>
    </x:row>
    <x:row r="1106">
      <x:c r="A1106" t="str">
        <x:v>Сценарии</x:v>
      </x:c>
      <x:c r="B1106" t="str">
        <x:v>V6</x:v>
      </x:c>
      <x:c r="C1106">
        <x:v>1</x:v>
      </x:c>
      <x:c r="D1106">
        <x:f>'Сценарии'!V6</x:f>
        <x:v>1</x:v>
      </x:c>
      <x:c r="E1106">
        <x:f>IF(C1106=D1106,1,0)</x:f>
        <x:v>1</x:v>
      </x:c>
    </x:row>
    <x:row r="1107">
      <x:c r="A1107" t="str">
        <x:v>Сценарии</x:v>
      </x:c>
      <x:c r="B1107" t="str">
        <x:v>X6</x:v>
      </x:c>
      <x:c r="C1107">
        <x:v>1.5</x:v>
      </x:c>
      <x:c r="D1107">
        <x:f>'Сценарии'!X6</x:f>
        <x:v>1.5</x:v>
      </x:c>
      <x:c r="E1107">
        <x:f>IF(C1107=D1107,1,0)</x:f>
        <x:v>1</x:v>
      </x:c>
    </x:row>
    <x:row r="1108">
      <x:c r="A1108" t="str">
        <x:v>Сценарии</x:v>
      </x:c>
      <x:c r="B1108" t="str">
        <x:v>Y6</x:v>
      </x:c>
      <x:c r="C1108">
        <x:v>0.20000000000000001</x:v>
      </x:c>
      <x:c r="D1108">
        <x:f>'Сценарии'!Y6</x:f>
        <x:v>0.20000000000000001</x:v>
      </x:c>
      <x:c r="E1108">
        <x:f>IF(C1108=D1108,1,0)</x:f>
        <x:v>1</x:v>
      </x:c>
    </x:row>
    <x:row r="1109">
      <x:c r="A1109" t="str">
        <x:v>Сценарии</x:v>
      </x:c>
      <x:c r="B1109" t="str">
        <x:v>Z6</x:v>
      </x:c>
      <x:c r="C1109">
        <x:v>1</x:v>
      </x:c>
      <x:c r="D1109">
        <x:f>'Сценарии'!Z6</x:f>
        <x:v>1</x:v>
      </x:c>
      <x:c r="E1109">
        <x:f>IF(C1109=D1109,1,0)</x:f>
        <x:v>1</x:v>
      </x:c>
    </x:row>
    <x:row r="1110">
      <x:c r="A1110" t="str">
        <x:v>Сценарии</x:v>
      </x:c>
      <x:c r="B1110" t="str">
        <x:v>AA6</x:v>
      </x:c>
      <x:c r="C1110">
        <x:v>0.29999999999999999</x:v>
      </x:c>
      <x:c r="D1110">
        <x:f>'Сценарии'!AA6</x:f>
        <x:v>0.29999999999999999</x:v>
      </x:c>
      <x:c r="E1110">
        <x:f>IF(C1110=D1110,1,0)</x:f>
        <x:v>1</x:v>
      </x:c>
    </x:row>
    <x:row r="1111">
      <x:c r="A1111" t="str">
        <x:v>Сценарии</x:v>
      </x:c>
      <x:c r="B1111" t="str">
        <x:v>AB6</x:v>
      </x:c>
      <x:c r="C1111">
        <x:v>0.40000000000000002</x:v>
      </x:c>
      <x:c r="D1111">
        <x:f>'Сценарии'!AB6</x:f>
        <x:v>0.40000000000000002</x:v>
      </x:c>
      <x:c r="E1111">
        <x:f>IF(C1111=D1111,1,0)</x:f>
        <x:v>1</x:v>
      </x:c>
    </x:row>
    <x:row r="1112">
      <x:c r="A1112" t="str">
        <x:v>Сценарии</x:v>
      </x:c>
      <x:c r="B1112" t="str">
        <x:v>AC6</x:v>
      </x:c>
      <x:c r="C1112">
        <x:v>1</x:v>
      </x:c>
      <x:c r="D1112">
        <x:f>'Сценарии'!AC6</x:f>
        <x:v>1</x:v>
      </x:c>
      <x:c r="E1112">
        <x:f>IF(C1112=D1112,1,0)</x:f>
        <x:v>1</x:v>
      </x:c>
    </x:row>
    <x:row r="1113">
      <x:c r="A1113" t="str">
        <x:v>Сценарии</x:v>
      </x:c>
      <x:c r="B1113" t="str">
        <x:v>D7</x:v>
      </x:c>
      <x:c r="C1113">
        <x:v>100000</x:v>
      </x:c>
      <x:c r="D1113">
        <x:f>'Сценарии'!D7</x:f>
        <x:v>100000</x:v>
      </x:c>
      <x:c r="E1113">
        <x:f>IF(C1113=D1113,1,0)</x:f>
        <x:v>1</x:v>
      </x:c>
    </x:row>
    <x:row r="1114">
      <x:c r="A1114" t="str">
        <x:v>Сценарии</x:v>
      </x:c>
      <x:c r="B1114" t="str">
        <x:v>E7</x:v>
      </x:c>
      <x:c r="C1114">
        <x:v>400000</x:v>
      </x:c>
      <x:c r="D1114">
        <x:f>'Сценарии'!E7</x:f>
        <x:v>400000</x:v>
      </x:c>
      <x:c r="E1114">
        <x:f>IF(C1114=D1114,1,0)</x:f>
        <x:v>1</x:v>
      </x:c>
    </x:row>
    <x:row r="1115">
      <x:c r="A1115" t="str">
        <x:v>Сценарии</x:v>
      </x:c>
      <x:c r="B1115" t="str">
        <x:v>F7</x:v>
      </x:c>
      <x:c r="C1115">
        <x:v>0.20000000000000001</x:v>
      </x:c>
      <x:c r="D1115">
        <x:f>'Сценарии'!F7</x:f>
        <x:v>0.20000000000000001</x:v>
      </x:c>
      <x:c r="E1115">
        <x:f>IF(C1115=D1115,1,0)</x:f>
        <x:v>1</x:v>
      </x:c>
    </x:row>
    <x:row r="1116">
      <x:c r="A1116" t="str">
        <x:v>Сценарии</x:v>
      </x:c>
      <x:c r="B1116" t="str">
        <x:v>G7</x:v>
      </x:c>
      <x:c r="C1116">
        <x:v>0.20000000000000001</x:v>
      </x:c>
      <x:c r="D1116">
        <x:f>'Сценарии'!G7</x:f>
        <x:v>0.20000000000000001</x:v>
      </x:c>
      <x:c r="E1116">
        <x:f>IF(C1116=D1116,1,0)</x:f>
        <x:v>1</x:v>
      </x:c>
    </x:row>
    <x:row r="1117">
      <x:c r="A1117" t="str">
        <x:v>Сценарии</x:v>
      </x:c>
      <x:c r="B1117" t="str">
        <x:v>H7</x:v>
      </x:c>
      <x:c r="C1117">
        <x:v>0.29999999999999999</x:v>
      </x:c>
      <x:c r="D1117">
        <x:f>'Сценарии'!H7</x:f>
        <x:v>0.29999999999999999</x:v>
      </x:c>
      <x:c r="E1117">
        <x:f>IF(C1117=D1117,1,0)</x:f>
        <x:v>1</x:v>
      </x:c>
    </x:row>
    <x:row r="1118">
      <x:c r="A1118" t="str">
        <x:v>Сценарии</x:v>
      </x:c>
      <x:c r="B1118" t="str">
        <x:v>I7</x:v>
      </x:c>
      <x:c r="C1118">
        <x:v>0.29999999999999999</x:v>
      </x:c>
      <x:c r="D1118">
        <x:f>'Сценарии'!I7</x:f>
        <x:v>0.29999999999999999</x:v>
      </x:c>
      <x:c r="E1118">
        <x:f>IF(C1118=D1118,1,0)</x:f>
        <x:v>1</x:v>
      </x:c>
    </x:row>
    <x:row r="1119">
      <x:c r="A1119" t="str">
        <x:v>Сценарии</x:v>
      </x:c>
      <x:c r="B1119" t="str">
        <x:v>J7</x:v>
      </x:c>
      <x:c r="C1119">
        <x:v>0.17999999999999999</x:v>
      </x:c>
      <x:c r="D1119">
        <x:f>'Сценарии'!J7</x:f>
        <x:v>0.17999999999999999</x:v>
      </x:c>
      <x:c r="E1119">
        <x:f>IF(C1119=D1119,1,0)</x:f>
        <x:v>1</x:v>
      </x:c>
    </x:row>
    <x:row r="1120">
      <x:c r="A1120" t="str">
        <x:v>Сценарии</x:v>
      </x:c>
      <x:c r="B1120" t="str">
        <x:v>K7</x:v>
      </x:c>
      <x:c r="C1120">
        <x:v>0.29999999999999999</x:v>
      </x:c>
      <x:c r="D1120">
        <x:f>'Сценарии'!K7</x:f>
        <x:v>0.29999999999999999</x:v>
      </x:c>
      <x:c r="E1120">
        <x:f>IF(C1120=D1120,1,0)</x:f>
        <x:v>1</x:v>
      </x:c>
    </x:row>
    <x:row r="1121">
      <x:c r="A1121" t="str">
        <x:v>Сценарии</x:v>
      </x:c>
      <x:c r="B1121" t="str">
        <x:v>L7</x:v>
      </x:c>
      <x:c r="C1121">
        <x:v>1</x:v>
      </x:c>
      <x:c r="D1121">
        <x:f>'Сценарии'!L7</x:f>
        <x:v>1</x:v>
      </x:c>
      <x:c r="E1121">
        <x:f>IF(C1121=D1121,1,0)</x:f>
        <x:v>1</x:v>
      </x:c>
    </x:row>
    <x:row r="1122">
      <x:c r="A1122" t="str">
        <x:v>Сценарии</x:v>
      </x:c>
      <x:c r="B1122" t="str">
        <x:v>M7</x:v>
      </x:c>
      <x:c r="C1122">
        <x:v>0.5</x:v>
      </x:c>
      <x:c r="D1122">
        <x:f>'Сценарии'!M7</x:f>
        <x:v>0.5</x:v>
      </x:c>
      <x:c r="E1122">
        <x:f>IF(C1122=D1122,1,0)</x:f>
        <x:v>1</x:v>
      </x:c>
    </x:row>
    <x:row r="1123">
      <x:c r="A1123" t="str">
        <x:v>Сценарии</x:v>
      </x:c>
      <x:c r="B1123" t="str">
        <x:v>N7</x:v>
      </x:c>
      <x:c r="C1123">
        <x:v>0.80000000000000004</x:v>
      </x:c>
      <x:c r="D1123">
        <x:f>'Сценарии'!N7</x:f>
        <x:v>0.80000000000000004</x:v>
      </x:c>
      <x:c r="E1123">
        <x:f>IF(C1123=D1123,1,0)</x:f>
        <x:v>1</x:v>
      </x:c>
    </x:row>
    <x:row r="1124">
      <x:c r="A1124" t="str">
        <x:v>Сценарии</x:v>
      </x:c>
      <x:c r="B1124" t="str">
        <x:v>O7</x:v>
      </x:c>
      <x:c r="C1124">
        <x:v>1</x:v>
      </x:c>
      <x:c r="D1124">
        <x:f>'Сценарии'!O7</x:f>
        <x:v>1</x:v>
      </x:c>
      <x:c r="E1124">
        <x:f>IF(C1124=D1124,1,0)</x:f>
        <x:v>1</x:v>
      </x:c>
    </x:row>
    <x:row r="1125">
      <x:c r="A1125" t="str">
        <x:v>Сценарии</x:v>
      </x:c>
      <x:c r="B1125" t="str">
        <x:v>P7</x:v>
      </x:c>
      <x:c r="C1125">
        <x:v>0.25</x:v>
      </x:c>
      <x:c r="D1125">
        <x:f>'Сценарии'!P7</x:f>
        <x:v>0.25</x:v>
      </x:c>
      <x:c r="E1125">
        <x:f>IF(C1125=D1125,1,0)</x:f>
        <x:v>1</x:v>
      </x:c>
    </x:row>
    <x:row r="1126">
      <x:c r="A1126" t="str">
        <x:v>Сценарии</x:v>
      </x:c>
      <x:c r="B1126" t="str">
        <x:v>Q7</x:v>
      </x:c>
      <x:c r="C1126">
        <x:v>0.25</x:v>
      </x:c>
      <x:c r="D1126">
        <x:f>'Сценарии'!Q7</x:f>
        <x:v>0.25</x:v>
      </x:c>
      <x:c r="E1126">
        <x:f>IF(C1126=D1126,1,0)</x:f>
        <x:v>1</x:v>
      </x:c>
    </x:row>
    <x:row r="1127">
      <x:c r="A1127" t="str">
        <x:v>Сценарии</x:v>
      </x:c>
      <x:c r="B1127" t="str">
        <x:v>R7</x:v>
      </x:c>
      <x:c r="C1127">
        <x:v>0</x:v>
      </x:c>
      <x:c r="D1127">
        <x:f>'Сценарии'!R7</x:f>
        <x:v>0</x:v>
      </x:c>
      <x:c r="E1127">
        <x:f>IF(C1127=D1127,1,0)</x:f>
        <x:v>1</x:v>
      </x:c>
    </x:row>
    <x:row r="1128">
      <x:c r="A1128" t="str">
        <x:v>Сценарии</x:v>
      </x:c>
      <x:c r="B1128" t="str">
        <x:v>S7</x:v>
      </x:c>
      <x:c r="C1128">
        <x:v>0</x:v>
      </x:c>
      <x:c r="D1128">
        <x:f>'Сценарии'!S7</x:f>
        <x:v>0</x:v>
      </x:c>
      <x:c r="E1128">
        <x:f>IF(C1128=D1128,1,0)</x:f>
        <x:v>1</x:v>
      </x:c>
    </x:row>
    <x:row r="1129">
      <x:c r="A1129" t="str">
        <x:v>Сценарии</x:v>
      </x:c>
      <x:c r="B1129" t="str">
        <x:v>T7</x:v>
      </x:c>
      <x:c r="C1129">
        <x:v>0</x:v>
      </x:c>
      <x:c r="D1129">
        <x:f>'Сценарии'!T7</x:f>
        <x:v>0</x:v>
      </x:c>
      <x:c r="E1129">
        <x:f>IF(C1129=D1129,1,0)</x:f>
        <x:v>1</x:v>
      </x:c>
    </x:row>
    <x:row r="1130">
      <x:c r="A1130" t="str">
        <x:v>Сценарии</x:v>
      </x:c>
      <x:c r="B1130" t="str">
        <x:v>U7</x:v>
      </x:c>
      <x:c r="C1130">
        <x:v>1000</x:v>
      </x:c>
      <x:c r="D1130">
        <x:f>'Сценарии'!U7</x:f>
        <x:v>1000</x:v>
      </x:c>
      <x:c r="E1130">
        <x:f>IF(C1130=D1130,1,0)</x:f>
        <x:v>1</x:v>
      </x:c>
    </x:row>
    <x:row r="1131">
      <x:c r="A1131" t="str">
        <x:v>Сценарии</x:v>
      </x:c>
      <x:c r="B1131" t="str">
        <x:v>V7</x:v>
      </x:c>
      <x:c r="C1131">
        <x:v>1</x:v>
      </x:c>
      <x:c r="D1131">
        <x:f>'Сценарии'!V7</x:f>
        <x:v>1</x:v>
      </x:c>
      <x:c r="E1131">
        <x:f>IF(C1131=D1131,1,0)</x:f>
        <x:v>1</x:v>
      </x:c>
    </x:row>
    <x:row r="1132">
      <x:c r="A1132" t="str">
        <x:v>Сценарии</x:v>
      </x:c>
      <x:c r="B1132" t="str">
        <x:v>X7</x:v>
      </x:c>
      <x:c r="C1132">
        <x:v>1.5</x:v>
      </x:c>
      <x:c r="D1132">
        <x:f>'Сценарии'!X7</x:f>
        <x:v>1.5</x:v>
      </x:c>
      <x:c r="E1132">
        <x:f>IF(C1132=D1132,1,0)</x:f>
        <x:v>1</x:v>
      </x:c>
    </x:row>
    <x:row r="1133">
      <x:c r="A1133" t="str">
        <x:v>Сценарии</x:v>
      </x:c>
      <x:c r="B1133" t="str">
        <x:v>Y7</x:v>
      </x:c>
      <x:c r="C1133">
        <x:v>0.20000000000000001</x:v>
      </x:c>
      <x:c r="D1133">
        <x:f>'Сценарии'!Y7</x:f>
        <x:v>0.20000000000000001</x:v>
      </x:c>
      <x:c r="E1133">
        <x:f>IF(C1133=D1133,1,0)</x:f>
        <x:v>1</x:v>
      </x:c>
    </x:row>
    <x:row r="1134">
      <x:c r="A1134" t="str">
        <x:v>Сценарии</x:v>
      </x:c>
      <x:c r="B1134" t="str">
        <x:v>Z7</x:v>
      </x:c>
      <x:c r="C1134">
        <x:v>1</x:v>
      </x:c>
      <x:c r="D1134">
        <x:f>'Сценарии'!Z7</x:f>
        <x:v>1</x:v>
      </x:c>
      <x:c r="E1134">
        <x:f>IF(C1134=D1134,1,0)</x:f>
        <x:v>1</x:v>
      </x:c>
    </x:row>
    <x:row r="1135">
      <x:c r="A1135" t="str">
        <x:v>Сценарии</x:v>
      </x:c>
      <x:c r="B1135" t="str">
        <x:v>AA7</x:v>
      </x:c>
      <x:c r="C1135">
        <x:v>0.29999999999999999</x:v>
      </x:c>
      <x:c r="D1135">
        <x:f>'Сценарии'!AA7</x:f>
        <x:v>0.29999999999999999</x:v>
      </x:c>
      <x:c r="E1135">
        <x:f>IF(C1135=D1135,1,0)</x:f>
        <x:v>1</x:v>
      </x:c>
    </x:row>
    <x:row r="1136">
      <x:c r="A1136" t="str">
        <x:v>Сценарии</x:v>
      </x:c>
      <x:c r="B1136" t="str">
        <x:v>AB7</x:v>
      </x:c>
      <x:c r="C1136">
        <x:v>0.40000000000000002</x:v>
      </x:c>
      <x:c r="D1136">
        <x:f>'Сценарии'!AB7</x:f>
        <x:v>0.40000000000000002</x:v>
      </x:c>
      <x:c r="E1136">
        <x:f>IF(C1136=D1136,1,0)</x:f>
        <x:v>1</x:v>
      </x:c>
    </x:row>
    <x:row r="1137">
      <x:c r="A1137" t="str">
        <x:v>Сценарии</x:v>
      </x:c>
      <x:c r="B1137" t="str">
        <x:v>AC7</x:v>
      </x:c>
      <x:c r="C1137">
        <x:v>1</x:v>
      </x:c>
      <x:c r="D1137">
        <x:f>'Сценарии'!AC7</x:f>
        <x:v>1</x:v>
      </x:c>
      <x:c r="E1137">
        <x:f>IF(C1137=D1137,1,0)</x:f>
        <x:v>1</x:v>
      </x:c>
    </x:row>
    <x:row r="1138">
      <x:c r="A1138" t="str">
        <x:v>Сценарии</x:v>
      </x:c>
      <x:c r="B1138" t="str">
        <x:v>D8</x:v>
      </x:c>
      <x:c r="C1138">
        <x:v>100000</x:v>
      </x:c>
      <x:c r="D1138">
        <x:f>'Сценарии'!D8</x:f>
        <x:v>100000</x:v>
      </x:c>
      <x:c r="E1138">
        <x:f>IF(C1138=D1138,1,0)</x:f>
        <x:v>1</x:v>
      </x:c>
    </x:row>
    <x:row r="1139">
      <x:c r="A1139" t="str">
        <x:v>Сценарии</x:v>
      </x:c>
      <x:c r="B1139" t="str">
        <x:v>E8</x:v>
      </x:c>
      <x:c r="C1139">
        <x:v>400000</x:v>
      </x:c>
      <x:c r="D1139">
        <x:f>'Сценарии'!E8</x:f>
        <x:v>400000</x:v>
      </x:c>
      <x:c r="E1139">
        <x:f>IF(C1139=D1139,1,0)</x:f>
        <x:v>1</x:v>
      </x:c>
    </x:row>
    <x:row r="1140">
      <x:c r="A1140" t="str">
        <x:v>Сценарии</x:v>
      </x:c>
      <x:c r="B1140" t="str">
        <x:v>F8</x:v>
      </x:c>
      <x:c r="C1140">
        <x:v>0.29999999999999999</x:v>
      </x:c>
      <x:c r="D1140">
        <x:f>'Сценарии'!F8</x:f>
        <x:v>0.29999999999999999</x:v>
      </x:c>
      <x:c r="E1140">
        <x:f>IF(C1140=D1140,1,0)</x:f>
        <x:v>1</x:v>
      </x:c>
    </x:row>
    <x:row r="1141">
      <x:c r="A1141" t="str">
        <x:v>Сценарии</x:v>
      </x:c>
      <x:c r="B1141" t="str">
        <x:v>G8</x:v>
      </x:c>
      <x:c r="C1141">
        <x:v>0.25</x:v>
      </x:c>
      <x:c r="D1141">
        <x:f>'Сценарии'!G8</x:f>
        <x:v>0.25</x:v>
      </x:c>
      <x:c r="E1141">
        <x:f>IF(C1141=D1141,1,0)</x:f>
        <x:v>1</x:v>
      </x:c>
    </x:row>
    <x:row r="1142">
      <x:c r="A1142" t="str">
        <x:v>Сценарии</x:v>
      </x:c>
      <x:c r="B1142" t="str">
        <x:v>H8</x:v>
      </x:c>
      <x:c r="C1142">
        <x:v>0.25</x:v>
      </x:c>
      <x:c r="D1142">
        <x:f>'Сценарии'!H8</x:f>
        <x:v>0.25</x:v>
      </x:c>
      <x:c r="E1142">
        <x:f>IF(C1142=D1142,1,0)</x:f>
        <x:v>1</x:v>
      </x:c>
    </x:row>
    <x:row r="1143">
      <x:c r="A1143" t="str">
        <x:v>Сценарии</x:v>
      </x:c>
      <x:c r="B1143" t="str">
        <x:v>I8</x:v>
      </x:c>
      <x:c r="C1143">
        <x:v>0.20000000000000001</x:v>
      </x:c>
      <x:c r="D1143">
        <x:f>'Сценарии'!I8</x:f>
        <x:v>0.20000000000000001</x:v>
      </x:c>
      <x:c r="E1143">
        <x:f>IF(C1143=D1143,1,0)</x:f>
        <x:v>1</x:v>
      </x:c>
    </x:row>
    <x:row r="1144">
      <x:c r="A1144" t="str">
        <x:v>Сценарии</x:v>
      </x:c>
      <x:c r="B1144" t="str">
        <x:v>J8</x:v>
      </x:c>
      <x:c r="C1144">
        <x:v>0.25</x:v>
      </x:c>
      <x:c r="D1144">
        <x:f>'Сценарии'!J8</x:f>
        <x:v>0.25</x:v>
      </x:c>
      <x:c r="E1144">
        <x:f>IF(C1144=D1144,1,0)</x:f>
        <x:v>1</x:v>
      </x:c>
    </x:row>
    <x:row r="1145">
      <x:c r="A1145" t="str">
        <x:v>Сценарии</x:v>
      </x:c>
      <x:c r="B1145" t="str">
        <x:v>K8</x:v>
      </x:c>
      <x:c r="C1145">
        <x:v>0.40000000000000002</x:v>
      </x:c>
      <x:c r="D1145">
        <x:f>'Сценарии'!K8</x:f>
        <x:v>0.40000000000000002</x:v>
      </x:c>
      <x:c r="E1145">
        <x:f>IF(C1145=D1145,1,0)</x:f>
        <x:v>1</x:v>
      </x:c>
    </x:row>
    <x:row r="1146">
      <x:c r="A1146" t="str">
        <x:v>Сценарии</x:v>
      </x:c>
      <x:c r="B1146" t="str">
        <x:v>L8</x:v>
      </x:c>
      <x:c r="C1146">
        <x:v>1</x:v>
      </x:c>
      <x:c r="D1146">
        <x:f>'Сценарии'!L8</x:f>
        <x:v>1</x:v>
      </x:c>
      <x:c r="E1146">
        <x:f>IF(C1146=D1146,1,0)</x:f>
        <x:v>1</x:v>
      </x:c>
    </x:row>
    <x:row r="1147">
      <x:c r="A1147" t="str">
        <x:v>Сценарии</x:v>
      </x:c>
      <x:c r="B1147" t="str">
        <x:v>M8</x:v>
      </x:c>
      <x:c r="C1147">
        <x:v>0.40000000000000002</x:v>
      </x:c>
      <x:c r="D1147">
        <x:f>'Сценарии'!M8</x:f>
        <x:v>0.40000000000000002</x:v>
      </x:c>
      <x:c r="E1147">
        <x:f>IF(C1147=D1147,1,0)</x:f>
        <x:v>1</x:v>
      </x:c>
    </x:row>
    <x:row r="1148">
      <x:c r="A1148" t="str">
        <x:v>Сценарии</x:v>
      </x:c>
      <x:c r="B1148" t="str">
        <x:v>N8</x:v>
      </x:c>
      <x:c r="C1148">
        <x:v>0.80000000000000004</x:v>
      </x:c>
      <x:c r="D1148">
        <x:f>'Сценарии'!N8</x:f>
        <x:v>0.80000000000000004</x:v>
      </x:c>
      <x:c r="E1148">
        <x:f>IF(C1148=D1148,1,0)</x:f>
        <x:v>1</x:v>
      </x:c>
    </x:row>
    <x:row r="1149">
      <x:c r="A1149" t="str">
        <x:v>Сценарии</x:v>
      </x:c>
      <x:c r="B1149" t="str">
        <x:v>O8</x:v>
      </x:c>
      <x:c r="C1149">
        <x:v>1</x:v>
      </x:c>
      <x:c r="D1149">
        <x:f>'Сценарии'!O8</x:f>
        <x:v>1</x:v>
      </x:c>
      <x:c r="E1149">
        <x:f>IF(C1149=D1149,1,0)</x:f>
        <x:v>1</x:v>
      </x:c>
    </x:row>
    <x:row r="1150">
      <x:c r="A1150" t="str">
        <x:v>Сценарии</x:v>
      </x:c>
      <x:c r="B1150" t="str">
        <x:v>P8</x:v>
      </x:c>
      <x:c r="C1150">
        <x:v>0.25</x:v>
      </x:c>
      <x:c r="D1150">
        <x:f>'Сценарии'!P8</x:f>
        <x:v>0.25</x:v>
      </x:c>
      <x:c r="E1150">
        <x:f>IF(C1150=D1150,1,0)</x:f>
        <x:v>1</x:v>
      </x:c>
    </x:row>
    <x:row r="1151">
      <x:c r="A1151" t="str">
        <x:v>Сценарии</x:v>
      </x:c>
      <x:c r="B1151" t="str">
        <x:v>Q8</x:v>
      </x:c>
      <x:c r="C1151">
        <x:v>0.25</x:v>
      </x:c>
      <x:c r="D1151">
        <x:f>'Сценарии'!Q8</x:f>
        <x:v>0.25</x:v>
      </x:c>
      <x:c r="E1151">
        <x:f>IF(C1151=D1151,1,0)</x:f>
        <x:v>1</x:v>
      </x:c>
    </x:row>
    <x:row r="1152">
      <x:c r="A1152" t="str">
        <x:v>Сценарии</x:v>
      </x:c>
      <x:c r="B1152" t="str">
        <x:v>R8</x:v>
      </x:c>
      <x:c r="C1152">
        <x:v>0</x:v>
      </x:c>
      <x:c r="D1152">
        <x:f>'Сценарии'!R8</x:f>
        <x:v>0</x:v>
      </x:c>
      <x:c r="E1152">
        <x:f>IF(C1152=D1152,1,0)</x:f>
        <x:v>1</x:v>
      </x:c>
    </x:row>
    <x:row r="1153">
      <x:c r="A1153" t="str">
        <x:v>Сценарии</x:v>
      </x:c>
      <x:c r="B1153" t="str">
        <x:v>S8</x:v>
      </x:c>
      <x:c r="C1153">
        <x:v>0</x:v>
      </x:c>
      <x:c r="D1153">
        <x:f>'Сценарии'!S8</x:f>
        <x:v>0</x:v>
      </x:c>
      <x:c r="E1153">
        <x:f>IF(C1153=D1153,1,0)</x:f>
        <x:v>1</x:v>
      </x:c>
    </x:row>
    <x:row r="1154">
      <x:c r="A1154" t="str">
        <x:v>Сценарии</x:v>
      </x:c>
      <x:c r="B1154" t="str">
        <x:v>T8</x:v>
      </x:c>
      <x:c r="C1154">
        <x:v>0</x:v>
      </x:c>
      <x:c r="D1154">
        <x:f>'Сценарии'!T8</x:f>
        <x:v>0</x:v>
      </x:c>
      <x:c r="E1154">
        <x:f>IF(C1154=D1154,1,0)</x:f>
        <x:v>1</x:v>
      </x:c>
    </x:row>
    <x:row r="1155">
      <x:c r="A1155" t="str">
        <x:v>Сценарии</x:v>
      </x:c>
      <x:c r="B1155" t="str">
        <x:v>U8</x:v>
      </x:c>
      <x:c r="C1155">
        <x:v>1000</x:v>
      </x:c>
      <x:c r="D1155">
        <x:f>'Сценарии'!U8</x:f>
        <x:v>1000</x:v>
      </x:c>
      <x:c r="E1155">
        <x:f>IF(C1155=D1155,1,0)</x:f>
        <x:v>1</x:v>
      </x:c>
    </x:row>
    <x:row r="1156">
      <x:c r="A1156" t="str">
        <x:v>Сценарии</x:v>
      </x:c>
      <x:c r="B1156" t="str">
        <x:v>V8</x:v>
      </x:c>
      <x:c r="C1156">
        <x:v>1</x:v>
      </x:c>
      <x:c r="D1156">
        <x:f>'Сценарии'!V8</x:f>
        <x:v>1</x:v>
      </x:c>
      <x:c r="E1156">
        <x:f>IF(C1156=D1156,1,0)</x:f>
        <x:v>1</x:v>
      </x:c>
    </x:row>
    <x:row r="1157">
      <x:c r="A1157" t="str">
        <x:v>Сценарии</x:v>
      </x:c>
      <x:c r="B1157" t="str">
        <x:v>X8</x:v>
      </x:c>
      <x:c r="C1157">
        <x:v>1.5</x:v>
      </x:c>
      <x:c r="D1157">
        <x:f>'Сценарии'!X8</x:f>
        <x:v>1.5</x:v>
      </x:c>
      <x:c r="E1157">
        <x:f>IF(C1157=D1157,1,0)</x:f>
        <x:v>1</x:v>
      </x:c>
    </x:row>
    <x:row r="1158">
      <x:c r="A1158" t="str">
        <x:v>Сценарии</x:v>
      </x:c>
      <x:c r="B1158" t="str">
        <x:v>Y8</x:v>
      </x:c>
      <x:c r="C1158">
        <x:v>0.20000000000000001</x:v>
      </x:c>
      <x:c r="D1158">
        <x:f>'Сценарии'!Y8</x:f>
        <x:v>0.20000000000000001</x:v>
      </x:c>
      <x:c r="E1158">
        <x:f>IF(C1158=D1158,1,0)</x:f>
        <x:v>1</x:v>
      </x:c>
    </x:row>
    <x:row r="1159">
      <x:c r="A1159" t="str">
        <x:v>Сценарии</x:v>
      </x:c>
      <x:c r="B1159" t="str">
        <x:v>Z8</x:v>
      </x:c>
      <x:c r="C1159">
        <x:v>1</x:v>
      </x:c>
      <x:c r="D1159">
        <x:f>'Сценарии'!Z8</x:f>
        <x:v>1</x:v>
      </x:c>
      <x:c r="E1159">
        <x:f>IF(C1159=D1159,1,0)</x:f>
        <x:v>1</x:v>
      </x:c>
    </x:row>
    <x:row r="1160">
      <x:c r="A1160" t="str">
        <x:v>Сценарии</x:v>
      </x:c>
      <x:c r="B1160" t="str">
        <x:v>AA8</x:v>
      </x:c>
      <x:c r="C1160">
        <x:v>0.29999999999999999</x:v>
      </x:c>
      <x:c r="D1160">
        <x:f>'Сценарии'!AA8</x:f>
        <x:v>0.29999999999999999</x:v>
      </x:c>
      <x:c r="E1160">
        <x:f>IF(C1160=D1160,1,0)</x:f>
        <x:v>1</x:v>
      </x:c>
    </x:row>
    <x:row r="1161">
      <x:c r="A1161" t="str">
        <x:v>Сценарии</x:v>
      </x:c>
      <x:c r="B1161" t="str">
        <x:v>AB8</x:v>
      </x:c>
      <x:c r="C1161">
        <x:v>0.40000000000000002</x:v>
      </x:c>
      <x:c r="D1161">
        <x:f>'Сценарии'!AB8</x:f>
        <x:v>0.40000000000000002</x:v>
      </x:c>
      <x:c r="E1161">
        <x:f>IF(C1161=D1161,1,0)</x:f>
        <x:v>1</x:v>
      </x:c>
    </x:row>
    <x:row r="1162">
      <x:c r="A1162" t="str">
        <x:v>Сценарии</x:v>
      </x:c>
      <x:c r="B1162" t="str">
        <x:v>AC8</x:v>
      </x:c>
      <x:c r="C1162">
        <x:v>1</x:v>
      </x:c>
      <x:c r="D1162">
        <x:f>'Сценарии'!AC8</x:f>
        <x:v>1</x:v>
      </x:c>
      <x:c r="E1162">
        <x:f>IF(C1162=D1162,1,0)</x:f>
        <x:v>1</x:v>
      </x:c>
    </x:row>
    <x:row r="1163">
      <x:c r="A1163" t="str">
        <x:v>Сценарии</x:v>
      </x:c>
      <x:c r="B1163" t="str">
        <x:v>D9</x:v>
      </x:c>
      <x:c r="C1163">
        <x:v>44000000</x:v>
      </x:c>
      <x:c r="D1163">
        <x:f>'Сценарии'!D9</x:f>
        <x:v>44000000</x:v>
      </x:c>
      <x:c r="E1163">
        <x:f>IF(C1163=D1163,1,0)</x:f>
        <x:v>1</x:v>
      </x:c>
    </x:row>
    <x:row r="1164">
      <x:c r="A1164" t="str">
        <x:v>Сценарии</x:v>
      </x:c>
      <x:c r="B1164" t="str">
        <x:v>E9</x:v>
      </x:c>
      <x:c r="C1164">
        <x:v>84000000</x:v>
      </x:c>
      <x:c r="D1164">
        <x:f>'Сценарии'!E9</x:f>
        <x:v>84000000</x:v>
      </x:c>
      <x:c r="E1164">
        <x:f>IF(C1164=D1164,1,0)</x:f>
        <x:v>1</x:v>
      </x:c>
    </x:row>
    <x:row r="1165">
      <x:c r="A1165" t="str">
        <x:v>Сценарии</x:v>
      </x:c>
      <x:c r="B1165" t="str">
        <x:v>F9</x:v>
      </x:c>
      <x:c r="C1165">
        <x:v>0.35600000000000004</x:v>
      </x:c>
      <x:c r="D1165">
        <x:f>'Сценарии'!F9</x:f>
        <x:v>0.35600000000000004</x:v>
      </x:c>
      <x:c r="E1165">
        <x:f>IF(C1165=D1165,1,0)</x:f>
        <x:v>1</x:v>
      </x:c>
    </x:row>
    <x:row r="1166">
      <x:c r="A1166" t="str">
        <x:v>Сценарии</x:v>
      </x:c>
      <x:c r="B1166" t="str">
        <x:v>G9</x:v>
      </x:c>
      <x:c r="C1166">
        <x:v>0.044000000000000004</x:v>
      </x:c>
      <x:c r="D1166">
        <x:f>'Сценарии'!G9</x:f>
        <x:v>0.044000000000000004</x:v>
      </x:c>
      <x:c r="E1166">
        <x:f>IF(C1166=D1166,1,0)</x:f>
        <x:v>1</x:v>
      </x:c>
    </x:row>
    <x:row r="1167">
      <x:c r="A1167" t="str">
        <x:v>Сценарии</x:v>
      </x:c>
      <x:c r="B1167" t="str">
        <x:v>H9</x:v>
      </x:c>
      <x:c r="C1167">
        <x:v>0.066000000000000003</x:v>
      </x:c>
      <x:c r="D1167">
        <x:f>'Сценарии'!H9</x:f>
        <x:v>0.066000000000000003</x:v>
      </x:c>
      <x:c r="E1167">
        <x:f>IF(C1167=D1167,1,0)</x:f>
        <x:v>1</x:v>
      </x:c>
    </x:row>
    <x:row r="1168">
      <x:c r="A1168" t="str">
        <x:v>Сценарии</x:v>
      </x:c>
      <x:c r="B1168" t="str">
        <x:v>I9</x:v>
      </x:c>
      <x:c r="C1168">
        <x:v>0.53400000000000003</x:v>
      </x:c>
      <x:c r="D1168">
        <x:f>'Сценарии'!I9</x:f>
        <x:v>0.53400000000000003</x:v>
      </x:c>
      <x:c r="E1168">
        <x:f>IF(C1168=D1168,1,0)</x:f>
        <x:v>1</x:v>
      </x:c>
    </x:row>
    <x:row r="1169">
      <x:c r="A1169" t="str">
        <x:v>Сценарии</x:v>
      </x:c>
      <x:c r="B1169" t="str">
        <x:v>J9</x:v>
      </x:c>
      <x:c r="C1169">
        <x:v>0.14999999999999999</x:v>
      </x:c>
      <x:c r="D1169">
        <x:f>'Сценарии'!J9</x:f>
        <x:v>0.14999999999999999</x:v>
      </x:c>
      <x:c r="E1169">
        <x:f>IF(C1169=D1169,1,0)</x:f>
        <x:v>1</x:v>
      </x:c>
    </x:row>
    <x:row r="1170">
      <x:c r="A1170" t="str">
        <x:v>Сценарии</x:v>
      </x:c>
      <x:c r="B1170" t="str">
        <x:v>K9</x:v>
      </x:c>
      <x:c r="C1170">
        <x:v>0.21389999999999998</x:v>
      </x:c>
      <x:c r="D1170">
        <x:f>'Сценарии'!K9</x:f>
        <x:v>0.21389999999999998</x:v>
      </x:c>
      <x:c r="E1170">
        <x:f>IF(C1170=D1170,1,0)</x:f>
        <x:v>1</x:v>
      </x:c>
    </x:row>
    <x:row r="1171">
      <x:c r="A1171" t="str">
        <x:v>Сценарии</x:v>
      </x:c>
      <x:c r="B1171" t="str">
        <x:v>L9</x:v>
      </x:c>
      <x:c r="C1171">
        <x:v>2</x:v>
      </x:c>
      <x:c r="D1171">
        <x:f>'Сценарии'!L9</x:f>
        <x:v>2</x:v>
      </x:c>
      <x:c r="E1171">
        <x:f>IF(C1171=D1171,1,0)</x:f>
        <x:v>1</x:v>
      </x:c>
    </x:row>
    <x:row r="1172">
      <x:c r="A1172" t="str">
        <x:v>Сценарии</x:v>
      </x:c>
      <x:c r="B1172" t="str">
        <x:v>M9</x:v>
      </x:c>
      <x:c r="C1172">
        <x:v>0.49999999999999983</x:v>
      </x:c>
      <x:c r="D1172">
        <x:f>'Сценарии'!M9</x:f>
        <x:v>0.49999999999999983</x:v>
      </x:c>
      <x:c r="E1172">
        <x:f>IF(C1172=D1172,1,0)</x:f>
        <x:v>1</x:v>
      </x:c>
    </x:row>
    <x:row r="1173">
      <x:c r="A1173" t="str">
        <x:v>Сценарии</x:v>
      </x:c>
      <x:c r="B1173" t="str">
        <x:v>N9</x:v>
      </x:c>
      <x:c r="C1173">
        <x:v>0.80000000000000004</x:v>
      </x:c>
      <x:c r="D1173">
        <x:f>'Сценарии'!N9</x:f>
        <x:v>0.80000000000000004</x:v>
      </x:c>
      <x:c r="E1173">
        <x:f>IF(C1173=D1173,1,0)</x:f>
        <x:v>1</x:v>
      </x:c>
    </x:row>
    <x:row r="1174">
      <x:c r="A1174" t="str">
        <x:v>Сценарии</x:v>
      </x:c>
      <x:c r="B1174" t="str">
        <x:v>O9</x:v>
      </x:c>
      <x:c r="C1174">
        <x:v>1</x:v>
      </x:c>
      <x:c r="D1174">
        <x:f>'Сценарии'!O9</x:f>
        <x:v>1</x:v>
      </x:c>
      <x:c r="E1174">
        <x:f>IF(C1174=D1174,1,0)</x:f>
        <x:v>1</x:v>
      </x:c>
    </x:row>
    <x:row r="1175">
      <x:c r="A1175" t="str">
        <x:v>Сценарии</x:v>
      </x:c>
      <x:c r="B1175" t="str">
        <x:v>P9</x:v>
      </x:c>
      <x:c r="C1175">
        <x:v>0.25</x:v>
      </x:c>
      <x:c r="D1175">
        <x:f>'Сценарии'!P9</x:f>
        <x:v>0.25</x:v>
      </x:c>
      <x:c r="E1175">
        <x:f>IF(C1175=D1175,1,0)</x:f>
        <x:v>1</x:v>
      </x:c>
    </x:row>
    <x:row r="1176">
      <x:c r="A1176" t="str">
        <x:v>Сценарии</x:v>
      </x:c>
      <x:c r="B1176" t="str">
        <x:v>Q9</x:v>
      </x:c>
      <x:c r="C1176">
        <x:v>0.25</x:v>
      </x:c>
      <x:c r="D1176">
        <x:f>'Сценарии'!Q9</x:f>
        <x:v>0.25</x:v>
      </x:c>
      <x:c r="E1176">
        <x:f>IF(C1176=D1176,1,0)</x:f>
        <x:v>1</x:v>
      </x:c>
    </x:row>
    <x:row r="1177">
      <x:c r="A1177" t="str">
        <x:v>Сценарии</x:v>
      </x:c>
      <x:c r="B1177" t="str">
        <x:v>R9</x:v>
      </x:c>
      <x:c r="C1177">
        <x:v>0</x:v>
      </x:c>
      <x:c r="D1177">
        <x:f>'Сценарии'!R9</x:f>
        <x:v>0</x:v>
      </x:c>
      <x:c r="E1177">
        <x:f>IF(C1177=D1177,1,0)</x:f>
        <x:v>1</x:v>
      </x:c>
    </x:row>
    <x:row r="1178">
      <x:c r="A1178" t="str">
        <x:v>Сценарии</x:v>
      </x:c>
      <x:c r="B1178" t="str">
        <x:v>S9</x:v>
      </x:c>
      <x:c r="C1178">
        <x:v>0</x:v>
      </x:c>
      <x:c r="D1178">
        <x:f>'Сценарии'!S9</x:f>
        <x:v>0</x:v>
      </x:c>
      <x:c r="E1178">
        <x:f>IF(C1178=D1178,1,0)</x:f>
        <x:v>1</x:v>
      </x:c>
    </x:row>
    <x:row r="1179">
      <x:c r="A1179" t="str">
        <x:v>Сценарии</x:v>
      </x:c>
      <x:c r="B1179" t="str">
        <x:v>T9</x:v>
      </x:c>
      <x:c r="C1179">
        <x:v>0</x:v>
      </x:c>
      <x:c r="D1179">
        <x:f>'Сценарии'!T9</x:f>
        <x:v>0</x:v>
      </x:c>
      <x:c r="E1179">
        <x:f>IF(C1179=D1179,1,0)</x:f>
        <x:v>1</x:v>
      </x:c>
    </x:row>
    <x:row r="1180">
      <x:c r="A1180" t="str">
        <x:v>Сценарии</x:v>
      </x:c>
      <x:c r="B1180" t="str">
        <x:v>U9</x:v>
      </x:c>
      <x:c r="C1180">
        <x:v>1</x:v>
      </x:c>
      <x:c r="D1180">
        <x:f>'Сценарии'!U9</x:f>
        <x:v>1</x:v>
      </x:c>
      <x:c r="E1180">
        <x:f>IF(C1180=D1180,1,0)</x:f>
        <x:v>1</x:v>
      </x:c>
    </x:row>
    <x:row r="1181">
      <x:c r="A1181" t="str">
        <x:v>Сценарии</x:v>
      </x:c>
      <x:c r="B1181" t="str">
        <x:v>V9</x:v>
      </x:c>
      <x:c r="C1181">
        <x:v>1</x:v>
      </x:c>
      <x:c r="D1181">
        <x:f>'Сценарии'!V9</x:f>
        <x:v>1</x:v>
      </x:c>
      <x:c r="E1181">
        <x:f>IF(C1181=D1181,1,0)</x:f>
        <x:v>1</x:v>
      </x:c>
    </x:row>
    <x:row r="1182">
      <x:c r="A1182" t="str">
        <x:v>Сценарии</x:v>
      </x:c>
      <x:c r="B1182" t="str">
        <x:v>X9</x:v>
      </x:c>
      <x:c r="C1182">
        <x:v>1.5</x:v>
      </x:c>
      <x:c r="D1182">
        <x:f>'Сценарии'!X9</x:f>
        <x:v>1.5</x:v>
      </x:c>
      <x:c r="E1182">
        <x:f>IF(C1182=D1182,1,0)</x:f>
        <x:v>1</x:v>
      </x:c>
    </x:row>
    <x:row r="1183">
      <x:c r="A1183" t="str">
        <x:v>Сценарии</x:v>
      </x:c>
      <x:c r="B1183" t="str">
        <x:v>Y9</x:v>
      </x:c>
      <x:c r="C1183">
        <x:v>0.20000000000000001</x:v>
      </x:c>
      <x:c r="D1183">
        <x:f>'Сценарии'!Y9</x:f>
        <x:v>0.20000000000000001</x:v>
      </x:c>
      <x:c r="E1183">
        <x:f>IF(C1183=D1183,1,0)</x:f>
        <x:v>1</x:v>
      </x:c>
    </x:row>
    <x:row r="1184">
      <x:c r="A1184" t="str">
        <x:v>Сценарии</x:v>
      </x:c>
      <x:c r="B1184" t="str">
        <x:v>Z9</x:v>
      </x:c>
      <x:c r="C1184">
        <x:v>1</x:v>
      </x:c>
      <x:c r="D1184">
        <x:f>'Сценарии'!Z9</x:f>
        <x:v>1</x:v>
      </x:c>
      <x:c r="E1184">
        <x:f>IF(C1184=D1184,1,0)</x:f>
        <x:v>1</x:v>
      </x:c>
    </x:row>
    <x:row r="1185">
      <x:c r="A1185" t="str">
        <x:v>Сценарии</x:v>
      </x:c>
      <x:c r="B1185" t="str">
        <x:v>AA9</x:v>
      </x:c>
      <x:c r="C1185">
        <x:v>0.29999999999999999</x:v>
      </x:c>
      <x:c r="D1185">
        <x:f>'Сценарии'!AA9</x:f>
        <x:v>0.29999999999999999</x:v>
      </x:c>
      <x:c r="E1185">
        <x:f>IF(C1185=D1185,1,0)</x:f>
        <x:v>1</x:v>
      </x:c>
    </x:row>
    <x:row r="1186">
      <x:c r="A1186" t="str">
        <x:v>Сценарии</x:v>
      </x:c>
      <x:c r="B1186" t="str">
        <x:v>AB9</x:v>
      </x:c>
      <x:c r="C1186">
        <x:v>0.40000000000000002</x:v>
      </x:c>
      <x:c r="D1186">
        <x:f>'Сценарии'!AB9</x:f>
        <x:v>0.40000000000000002</x:v>
      </x:c>
      <x:c r="E1186">
        <x:f>IF(C1186=D1186,1,0)</x:f>
        <x:v>1</x:v>
      </x:c>
    </x:row>
    <x:row r="1187">
      <x:c r="A1187" t="str">
        <x:v>Сценарии</x:v>
      </x:c>
      <x:c r="B1187" t="str">
        <x:v>AC9</x:v>
      </x:c>
      <x:c r="C1187">
        <x:v>1</x:v>
      </x:c>
      <x:c r="D1187">
        <x:f>'Сценарии'!AC9</x:f>
        <x:v>1</x:v>
      </x:c>
      <x:c r="E1187">
        <x:f>IF(C1187=D1187,1,0)</x:f>
        <x:v>1</x:v>
      </x:c>
    </x:row>
    <x:row r="1188">
      <x:c r="A1188" t="str">
        <x:v>Сценарии</x:v>
      </x:c>
      <x:c r="B1188" t="str">
        <x:v>D10</x:v>
      </x:c>
      <x:c r="C1188">
        <x:v>44000000</x:v>
      </x:c>
      <x:c r="D1188">
        <x:f>'Сценарии'!D10</x:f>
        <x:v>44000000</x:v>
      </x:c>
      <x:c r="E1188">
        <x:f>IF(C1188=D1188,1,0)</x:f>
        <x:v>1</x:v>
      </x:c>
    </x:row>
    <x:row r="1189">
      <x:c r="A1189" t="str">
        <x:v>Сценарии</x:v>
      </x:c>
      <x:c r="B1189" t="str">
        <x:v>E10</x:v>
      </x:c>
      <x:c r="C1189">
        <x:v>84000000</x:v>
      </x:c>
      <x:c r="D1189">
        <x:f>'Сценарии'!E10</x:f>
        <x:v>84000000</x:v>
      </x:c>
      <x:c r="E1189">
        <x:f>IF(C1189=D1189,1,0)</x:f>
        <x:v>1</x:v>
      </x:c>
    </x:row>
    <x:row r="1190">
      <x:c r="A1190" t="str">
        <x:v>Сценарии</x:v>
      </x:c>
      <x:c r="B1190" t="str">
        <x:v>F10</x:v>
      </x:c>
      <x:c r="C1190">
        <x:v>0.32000000000000006</x:v>
      </x:c>
      <x:c r="D1190">
        <x:f>'Сценарии'!F10</x:f>
        <x:v>0.32000000000000006</x:v>
      </x:c>
      <x:c r="E1190">
        <x:f>IF(C1190=D1190,1,0)</x:f>
        <x:v>1</x:v>
      </x:c>
    </x:row>
    <x:row r="1191">
      <x:c r="A1191" t="str">
        <x:v>Сценарии</x:v>
      </x:c>
      <x:c r="B1191" t="str">
        <x:v>G10</x:v>
      </x:c>
      <x:c r="C1191">
        <x:v>0.080000000000000016</x:v>
      </x:c>
      <x:c r="D1191">
        <x:f>'Сценарии'!G10</x:f>
        <x:v>0.080000000000000016</x:v>
      </x:c>
      <x:c r="E1191">
        <x:f>IF(C1191=D1191,1,0)</x:f>
        <x:v>1</x:v>
      </x:c>
    </x:row>
    <x:row r="1192">
      <x:c r="A1192" t="str">
        <x:v>Сценарии</x:v>
      </x:c>
      <x:c r="B1192" t="str">
        <x:v>H10</x:v>
      </x:c>
      <x:c r="C1192">
        <x:v>0.12</x:v>
      </x:c>
      <x:c r="D1192">
        <x:f>'Сценарии'!H10</x:f>
        <x:v>0.12</x:v>
      </x:c>
      <x:c r="E1192">
        <x:f>IF(C1192=D1192,1,0)</x:f>
        <x:v>1</x:v>
      </x:c>
    </x:row>
    <x:row r="1193">
      <x:c r="A1193" t="str">
        <x:v>Сценарии</x:v>
      </x:c>
      <x:c r="B1193" t="str">
        <x:v>I10</x:v>
      </x:c>
      <x:c r="C1193">
        <x:v>0.47999999999999998</x:v>
      </x:c>
      <x:c r="D1193">
        <x:f>'Сценарии'!I10</x:f>
        <x:v>0.47999999999999998</x:v>
      </x:c>
      <x:c r="E1193">
        <x:f>IF(C1193=D1193,1,0)</x:f>
        <x:v>1</x:v>
      </x:c>
    </x:row>
    <x:row r="1194">
      <x:c r="A1194" t="str">
        <x:v>Сценарии</x:v>
      </x:c>
      <x:c r="B1194" t="str">
        <x:v>J10</x:v>
      </x:c>
      <x:c r="C1194">
        <x:v>0.14999999999999999</x:v>
      </x:c>
      <x:c r="D1194">
        <x:f>'Сценарии'!J10</x:f>
        <x:v>0.14999999999999999</x:v>
      </x:c>
      <x:c r="E1194">
        <x:f>IF(C1194=D1194,1,0)</x:f>
        <x:v>1</x:v>
      </x:c>
    </x:row>
    <x:row r="1195">
      <x:c r="A1195" t="str">
        <x:v>Сценарии</x:v>
      </x:c>
      <x:c r="B1195" t="str">
        <x:v>K10</x:v>
      </x:c>
      <x:c r="C1195">
        <x:v>0.22199999999999998</x:v>
      </x:c>
      <x:c r="D1195">
        <x:f>'Сценарии'!K10</x:f>
        <x:v>0.22199999999999998</x:v>
      </x:c>
      <x:c r="E1195">
        <x:f>IF(C1195=D1195,1,0)</x:f>
        <x:v>1</x:v>
      </x:c>
    </x:row>
    <x:row r="1196">
      <x:c r="A1196" t="str">
        <x:v>Сценарии</x:v>
      </x:c>
      <x:c r="B1196" t="str">
        <x:v>L10</x:v>
      </x:c>
      <x:c r="C1196">
        <x:v>2</x:v>
      </x:c>
      <x:c r="D1196">
        <x:f>'Сценарии'!L10</x:f>
        <x:v>2</x:v>
      </x:c>
      <x:c r="E1196">
        <x:f>IF(C1196=D1196,1,0)</x:f>
        <x:v>1</x:v>
      </x:c>
    </x:row>
    <x:row r="1197">
      <x:c r="A1197" t="str">
        <x:v>Сценарии</x:v>
      </x:c>
      <x:c r="B1197" t="str">
        <x:v>M10</x:v>
      </x:c>
      <x:c r="C1197">
        <x:v>0.49999999999999983</x:v>
      </x:c>
      <x:c r="D1197">
        <x:f>'Сценарии'!M10</x:f>
        <x:v>0.49999999999999983</x:v>
      </x:c>
      <x:c r="E1197">
        <x:f>IF(C1197=D1197,1,0)</x:f>
        <x:v>1</x:v>
      </x:c>
    </x:row>
    <x:row r="1198">
      <x:c r="A1198" t="str">
        <x:v>Сценарии</x:v>
      </x:c>
      <x:c r="B1198" t="str">
        <x:v>N10</x:v>
      </x:c>
      <x:c r="C1198">
        <x:v>0.80000000000000004</x:v>
      </x:c>
      <x:c r="D1198">
        <x:f>'Сценарии'!N10</x:f>
        <x:v>0.80000000000000004</x:v>
      </x:c>
      <x:c r="E1198">
        <x:f>IF(C1198=D1198,1,0)</x:f>
        <x:v>1</x:v>
      </x:c>
    </x:row>
    <x:row r="1199">
      <x:c r="A1199" t="str">
        <x:v>Сценарии</x:v>
      </x:c>
      <x:c r="B1199" t="str">
        <x:v>O10</x:v>
      </x:c>
      <x:c r="C1199">
        <x:v>1</x:v>
      </x:c>
      <x:c r="D1199">
        <x:f>'Сценарии'!O10</x:f>
        <x:v>1</x:v>
      </x:c>
      <x:c r="E1199">
        <x:f>IF(C1199=D1199,1,0)</x:f>
        <x:v>1</x:v>
      </x:c>
    </x:row>
    <x:row r="1200">
      <x:c r="A1200" t="str">
        <x:v>Сценарии</x:v>
      </x:c>
      <x:c r="B1200" t="str">
        <x:v>P10</x:v>
      </x:c>
      <x:c r="C1200">
        <x:v>0.25</x:v>
      </x:c>
      <x:c r="D1200">
        <x:f>'Сценарии'!P10</x:f>
        <x:v>0.25</x:v>
      </x:c>
      <x:c r="E1200">
        <x:f>IF(C1200=D1200,1,0)</x:f>
        <x:v>1</x:v>
      </x:c>
    </x:row>
    <x:row r="1201">
      <x:c r="A1201" t="str">
        <x:v>Сценарии</x:v>
      </x:c>
      <x:c r="B1201" t="str">
        <x:v>Q10</x:v>
      </x:c>
      <x:c r="C1201">
        <x:v>0.25</x:v>
      </x:c>
      <x:c r="D1201">
        <x:f>'Сценарии'!Q10</x:f>
        <x:v>0.25</x:v>
      </x:c>
      <x:c r="E1201">
        <x:f>IF(C1201=D1201,1,0)</x:f>
        <x:v>1</x:v>
      </x:c>
    </x:row>
    <x:row r="1202">
      <x:c r="A1202" t="str">
        <x:v>Сценарии</x:v>
      </x:c>
      <x:c r="B1202" t="str">
        <x:v>R10</x:v>
      </x:c>
      <x:c r="C1202">
        <x:v>0</x:v>
      </x:c>
      <x:c r="D1202">
        <x:f>'Сценарии'!R10</x:f>
        <x:v>0</x:v>
      </x:c>
      <x:c r="E1202">
        <x:f>IF(C1202=D1202,1,0)</x:f>
        <x:v>1</x:v>
      </x:c>
    </x:row>
    <x:row r="1203">
      <x:c r="A1203" t="str">
        <x:v>Сценарии</x:v>
      </x:c>
      <x:c r="B1203" t="str">
        <x:v>S10</x:v>
      </x:c>
      <x:c r="C1203">
        <x:v>0</x:v>
      </x:c>
      <x:c r="D1203">
        <x:f>'Сценарии'!S10</x:f>
        <x:v>0</x:v>
      </x:c>
      <x:c r="E1203">
        <x:f>IF(C1203=D1203,1,0)</x:f>
        <x:v>1</x:v>
      </x:c>
    </x:row>
    <x:row r="1204">
      <x:c r="A1204" t="str">
        <x:v>Сценарии</x:v>
      </x:c>
      <x:c r="B1204" t="str">
        <x:v>T10</x:v>
      </x:c>
      <x:c r="C1204">
        <x:v>0</x:v>
      </x:c>
      <x:c r="D1204">
        <x:f>'Сценарии'!T10</x:f>
        <x:v>0</x:v>
      </x:c>
      <x:c r="E1204">
        <x:f>IF(C1204=D1204,1,0)</x:f>
        <x:v>1</x:v>
      </x:c>
    </x:row>
    <x:row r="1205">
      <x:c r="A1205" t="str">
        <x:v>Сценарии</x:v>
      </x:c>
      <x:c r="B1205" t="str">
        <x:v>U10</x:v>
      </x:c>
      <x:c r="C1205">
        <x:v>1</x:v>
      </x:c>
      <x:c r="D1205">
        <x:f>'Сценарии'!U10</x:f>
        <x:v>1</x:v>
      </x:c>
      <x:c r="E1205">
        <x:f>IF(C1205=D1205,1,0)</x:f>
        <x:v>1</x:v>
      </x:c>
    </x:row>
    <x:row r="1206">
      <x:c r="A1206" t="str">
        <x:v>Сценарии</x:v>
      </x:c>
      <x:c r="B1206" t="str">
        <x:v>V10</x:v>
      </x:c>
      <x:c r="C1206">
        <x:v>1</x:v>
      </x:c>
      <x:c r="D1206">
        <x:f>'Сценарии'!V10</x:f>
        <x:v>1</x:v>
      </x:c>
      <x:c r="E1206">
        <x:f>IF(C1206=D1206,1,0)</x:f>
        <x:v>1</x:v>
      </x:c>
    </x:row>
    <x:row r="1207">
      <x:c r="A1207" t="str">
        <x:v>Сценарии</x:v>
      </x:c>
      <x:c r="B1207" t="str">
        <x:v>X10</x:v>
      </x:c>
      <x:c r="C1207">
        <x:v>1.5</x:v>
      </x:c>
      <x:c r="D1207">
        <x:f>'Сценарии'!X10</x:f>
        <x:v>1.5</x:v>
      </x:c>
      <x:c r="E1207">
        <x:f>IF(C1207=D1207,1,0)</x:f>
        <x:v>1</x:v>
      </x:c>
    </x:row>
    <x:row r="1208">
      <x:c r="A1208" t="str">
        <x:v>Сценарии</x:v>
      </x:c>
      <x:c r="B1208" t="str">
        <x:v>Y10</x:v>
      </x:c>
      <x:c r="C1208">
        <x:v>0.20000000000000001</x:v>
      </x:c>
      <x:c r="D1208">
        <x:f>'Сценарии'!Y10</x:f>
        <x:v>0.20000000000000001</x:v>
      </x:c>
      <x:c r="E1208">
        <x:f>IF(C1208=D1208,1,0)</x:f>
        <x:v>1</x:v>
      </x:c>
    </x:row>
    <x:row r="1209">
      <x:c r="A1209" t="str">
        <x:v>Сценарии</x:v>
      </x:c>
      <x:c r="B1209" t="str">
        <x:v>Z10</x:v>
      </x:c>
      <x:c r="C1209">
        <x:v>1</x:v>
      </x:c>
      <x:c r="D1209">
        <x:f>'Сценарии'!Z10</x:f>
        <x:v>1</x:v>
      </x:c>
      <x:c r="E1209">
        <x:f>IF(C1209=D1209,1,0)</x:f>
        <x:v>1</x:v>
      </x:c>
    </x:row>
    <x:row r="1210">
      <x:c r="A1210" t="str">
        <x:v>Сценарии</x:v>
      </x:c>
      <x:c r="B1210" t="str">
        <x:v>AA10</x:v>
      </x:c>
      <x:c r="C1210">
        <x:v>0.29999999999999999</x:v>
      </x:c>
      <x:c r="D1210">
        <x:f>'Сценарии'!AA10</x:f>
        <x:v>0.29999999999999999</x:v>
      </x:c>
      <x:c r="E1210">
        <x:f>IF(C1210=D1210,1,0)</x:f>
        <x:v>1</x:v>
      </x:c>
    </x:row>
    <x:row r="1211">
      <x:c r="A1211" t="str">
        <x:v>Сценарии</x:v>
      </x:c>
      <x:c r="B1211" t="str">
        <x:v>AB10</x:v>
      </x:c>
      <x:c r="C1211">
        <x:v>0.40000000000000002</x:v>
      </x:c>
      <x:c r="D1211">
        <x:f>'Сценарии'!AB10</x:f>
        <x:v>0.40000000000000002</x:v>
      </x:c>
      <x:c r="E1211">
        <x:f>IF(C1211=D1211,1,0)</x:f>
        <x:v>1</x:v>
      </x:c>
    </x:row>
    <x:row r="1212">
      <x:c r="A1212" t="str">
        <x:v>Сценарии</x:v>
      </x:c>
      <x:c r="B1212" t="str">
        <x:v>AC10</x:v>
      </x:c>
      <x:c r="C1212">
        <x:v>1</x:v>
      </x:c>
      <x:c r="D1212">
        <x:f>'Сценарии'!AC10</x:f>
        <x:v>1</x:v>
      </x:c>
      <x:c r="E1212">
        <x:f>IF(C1212=D1212,1,0)</x:f>
        <x:v>1</x:v>
      </x:c>
    </x:row>
    <x:row r="1213">
      <x:c r="A1213" t="str">
        <x:v>Сценарии</x:v>
      </x:c>
      <x:c r="B1213" t="str">
        <x:v>D11</x:v>
      </x:c>
      <x:c r="C1213">
        <x:v>44000000</x:v>
      </x:c>
      <x:c r="D1213">
        <x:f>'Сценарии'!D11</x:f>
        <x:v>44000000</x:v>
      </x:c>
      <x:c r="E1213">
        <x:f>IF(C1213=D1213,1,0)</x:f>
        <x:v>1</x:v>
      </x:c>
    </x:row>
    <x:row r="1214">
      <x:c r="A1214" t="str">
        <x:v>Сценарии</x:v>
      </x:c>
      <x:c r="B1214" t="str">
        <x:v>E11</x:v>
      </x:c>
      <x:c r="C1214">
        <x:v>84000000</x:v>
      </x:c>
      <x:c r="D1214">
        <x:f>'Сценарии'!E11</x:f>
        <x:v>84000000</x:v>
      </x:c>
      <x:c r="E1214">
        <x:f>IF(C1214=D1214,1,0)</x:f>
        <x:v>1</x:v>
      </x:c>
    </x:row>
    <x:row r="1215">
      <x:c r="A1215" t="str">
        <x:v>Сценарии</x:v>
      </x:c>
      <x:c r="B1215" t="str">
        <x:v>F11</x:v>
      </x:c>
      <x:c r="C1215">
        <x:v>0.27999999999999997</x:v>
      </x:c>
      <x:c r="D1215">
        <x:f>'Сценарии'!F11</x:f>
        <x:v>0.27999999999999997</x:v>
      </x:c>
      <x:c r="E1215">
        <x:f>IF(C1215=D1215,1,0)</x:f>
        <x:v>1</x:v>
      </x:c>
    </x:row>
    <x:row r="1216">
      <x:c r="A1216" t="str">
        <x:v>Сценарии</x:v>
      </x:c>
      <x:c r="B1216" t="str">
        <x:v>G11</x:v>
      </x:c>
      <x:c r="C1216">
        <x:v>0.12</x:v>
      </x:c>
      <x:c r="D1216">
        <x:f>'Сценарии'!G11</x:f>
        <x:v>0.12</x:v>
      </x:c>
      <x:c r="E1216">
        <x:f>IF(C1216=D1216,1,0)</x:f>
        <x:v>1</x:v>
      </x:c>
    </x:row>
    <x:row r="1217">
      <x:c r="A1217" t="str">
        <x:v>Сценарии</x:v>
      </x:c>
      <x:c r="B1217" t="str">
        <x:v>H11</x:v>
      </x:c>
      <x:c r="C1217">
        <x:v>0.17999999999999999</x:v>
      </x:c>
      <x:c r="D1217">
        <x:f>'Сценарии'!H11</x:f>
        <x:v>0.17999999999999999</x:v>
      </x:c>
      <x:c r="E1217">
        <x:f>IF(C1217=D1217,1,0)</x:f>
        <x:v>1</x:v>
      </x:c>
    </x:row>
    <x:row r="1218">
      <x:c r="A1218" t="str">
        <x:v>Сценарии</x:v>
      </x:c>
      <x:c r="B1218" t="str">
        <x:v>I11</x:v>
      </x:c>
      <x:c r="C1218">
        <x:v>0.41999999999999998</x:v>
      </x:c>
      <x:c r="D1218">
        <x:f>'Сценарии'!I11</x:f>
        <x:v>0.41999999999999998</x:v>
      </x:c>
      <x:c r="E1218">
        <x:f>IF(C1218=D1218,1,0)</x:f>
        <x:v>1</x:v>
      </x:c>
    </x:row>
    <x:row r="1219">
      <x:c r="A1219" t="str">
        <x:v>Сценарии</x:v>
      </x:c>
      <x:c r="B1219" t="str">
        <x:v>J11</x:v>
      </x:c>
      <x:c r="C1219">
        <x:v>0.14999999999999999</x:v>
      </x:c>
      <x:c r="D1219">
        <x:f>'Сценарии'!J11</x:f>
        <x:v>0.14999999999999999</x:v>
      </x:c>
      <x:c r="E1219">
        <x:f>IF(C1219=D1219,1,0)</x:f>
        <x:v>1</x:v>
      </x:c>
    </x:row>
    <x:row r="1220">
      <x:c r="A1220" t="str">
        <x:v>Сценарии</x:v>
      </x:c>
      <x:c r="B1220" t="str">
        <x:v>K11</x:v>
      </x:c>
      <x:c r="C1220">
        <x:v>0.23099999999999998</x:v>
      </x:c>
      <x:c r="D1220">
        <x:f>'Сценарии'!K11</x:f>
        <x:v>0.23099999999999998</x:v>
      </x:c>
      <x:c r="E1220">
        <x:f>IF(C1220=D1220,1,0)</x:f>
        <x:v>1</x:v>
      </x:c>
    </x:row>
    <x:row r="1221">
      <x:c r="A1221" t="str">
        <x:v>Сценарии</x:v>
      </x:c>
      <x:c r="B1221" t="str">
        <x:v>L11</x:v>
      </x:c>
      <x:c r="C1221">
        <x:v>2</x:v>
      </x:c>
      <x:c r="D1221">
        <x:f>'Сценарии'!L11</x:f>
        <x:v>2</x:v>
      </x:c>
      <x:c r="E1221">
        <x:f>IF(C1221=D1221,1,0)</x:f>
        <x:v>1</x:v>
      </x:c>
    </x:row>
    <x:row r="1222">
      <x:c r="A1222" t="str">
        <x:v>Сценарии</x:v>
      </x:c>
      <x:c r="B1222" t="str">
        <x:v>M11</x:v>
      </x:c>
      <x:c r="C1222">
        <x:v>0.5</x:v>
      </x:c>
      <x:c r="D1222">
        <x:f>'Сценарии'!M11</x:f>
        <x:v>0.5</x:v>
      </x:c>
      <x:c r="E1222">
        <x:f>IF(C1222=D1222,1,0)</x:f>
        <x:v>1</x:v>
      </x:c>
    </x:row>
    <x:row r="1223">
      <x:c r="A1223" t="str">
        <x:v>Сценарии</x:v>
      </x:c>
      <x:c r="B1223" t="str">
        <x:v>N11</x:v>
      </x:c>
      <x:c r="C1223">
        <x:v>0.80000000000000004</x:v>
      </x:c>
      <x:c r="D1223">
        <x:f>'Сценарии'!N11</x:f>
        <x:v>0.80000000000000004</x:v>
      </x:c>
      <x:c r="E1223">
        <x:f>IF(C1223=D1223,1,0)</x:f>
        <x:v>1</x:v>
      </x:c>
    </x:row>
    <x:row r="1224">
      <x:c r="A1224" t="str">
        <x:v>Сценарии</x:v>
      </x:c>
      <x:c r="B1224" t="str">
        <x:v>O11</x:v>
      </x:c>
      <x:c r="C1224">
        <x:v>1</x:v>
      </x:c>
      <x:c r="D1224">
        <x:f>'Сценарии'!O11</x:f>
        <x:v>1</x:v>
      </x:c>
      <x:c r="E1224">
        <x:f>IF(C1224=D1224,1,0)</x:f>
        <x:v>1</x:v>
      </x:c>
    </x:row>
    <x:row r="1225">
      <x:c r="A1225" t="str">
        <x:v>Сценарии</x:v>
      </x:c>
      <x:c r="B1225" t="str">
        <x:v>P11</x:v>
      </x:c>
      <x:c r="C1225">
        <x:v>0.25</x:v>
      </x:c>
      <x:c r="D1225">
        <x:f>'Сценарии'!P11</x:f>
        <x:v>0.25</x:v>
      </x:c>
      <x:c r="E1225">
        <x:f>IF(C1225=D1225,1,0)</x:f>
        <x:v>1</x:v>
      </x:c>
    </x:row>
    <x:row r="1226">
      <x:c r="A1226" t="str">
        <x:v>Сценарии</x:v>
      </x:c>
      <x:c r="B1226" t="str">
        <x:v>Q11</x:v>
      </x:c>
      <x:c r="C1226">
        <x:v>0.25</x:v>
      </x:c>
      <x:c r="D1226">
        <x:f>'Сценарии'!Q11</x:f>
        <x:v>0.25</x:v>
      </x:c>
      <x:c r="E1226">
        <x:f>IF(C1226=D1226,1,0)</x:f>
        <x:v>1</x:v>
      </x:c>
    </x:row>
    <x:row r="1227">
      <x:c r="A1227" t="str">
        <x:v>Сценарии</x:v>
      </x:c>
      <x:c r="B1227" t="str">
        <x:v>R11</x:v>
      </x:c>
      <x:c r="C1227">
        <x:v>0</x:v>
      </x:c>
      <x:c r="D1227">
        <x:f>'Сценарии'!R11</x:f>
        <x:v>0</x:v>
      </x:c>
      <x:c r="E1227">
        <x:f>IF(C1227=D1227,1,0)</x:f>
        <x:v>1</x:v>
      </x:c>
    </x:row>
    <x:row r="1228">
      <x:c r="A1228" t="str">
        <x:v>Сценарии</x:v>
      </x:c>
      <x:c r="B1228" t="str">
        <x:v>S11</x:v>
      </x:c>
      <x:c r="C1228">
        <x:v>0</x:v>
      </x:c>
      <x:c r="D1228">
        <x:f>'Сценарии'!S11</x:f>
        <x:v>0</x:v>
      </x:c>
      <x:c r="E1228">
        <x:f>IF(C1228=D1228,1,0)</x:f>
        <x:v>1</x:v>
      </x:c>
    </x:row>
    <x:row r="1229">
      <x:c r="A1229" t="str">
        <x:v>Сценарии</x:v>
      </x:c>
      <x:c r="B1229" t="str">
        <x:v>T11</x:v>
      </x:c>
      <x:c r="C1229">
        <x:v>0</x:v>
      </x:c>
      <x:c r="D1229">
        <x:f>'Сценарии'!T11</x:f>
        <x:v>0</x:v>
      </x:c>
      <x:c r="E1229">
        <x:f>IF(C1229=D1229,1,0)</x:f>
        <x:v>1</x:v>
      </x:c>
    </x:row>
    <x:row r="1230">
      <x:c r="A1230" t="str">
        <x:v>Сценарии</x:v>
      </x:c>
      <x:c r="B1230" t="str">
        <x:v>U11</x:v>
      </x:c>
      <x:c r="C1230">
        <x:v>1</x:v>
      </x:c>
      <x:c r="D1230">
        <x:f>'Сценарии'!U11</x:f>
        <x:v>1</x:v>
      </x:c>
      <x:c r="E1230">
        <x:f>IF(C1230=D1230,1,0)</x:f>
        <x:v>1</x:v>
      </x:c>
    </x:row>
    <x:row r="1231">
      <x:c r="A1231" t="str">
        <x:v>Сценарии</x:v>
      </x:c>
      <x:c r="B1231" t="str">
        <x:v>V11</x:v>
      </x:c>
      <x:c r="C1231">
        <x:v>1</x:v>
      </x:c>
      <x:c r="D1231">
        <x:f>'Сценарии'!V11</x:f>
        <x:v>1</x:v>
      </x:c>
      <x:c r="E1231">
        <x:f>IF(C1231=D1231,1,0)</x:f>
        <x:v>1</x:v>
      </x:c>
    </x:row>
    <x:row r="1232">
      <x:c r="A1232" t="str">
        <x:v>Сценарии</x:v>
      </x:c>
      <x:c r="B1232" t="str">
        <x:v>X11</x:v>
      </x:c>
      <x:c r="C1232">
        <x:v>1.5</x:v>
      </x:c>
      <x:c r="D1232">
        <x:f>'Сценарии'!X11</x:f>
        <x:v>1.5</x:v>
      </x:c>
      <x:c r="E1232">
        <x:f>IF(C1232=D1232,1,0)</x:f>
        <x:v>1</x:v>
      </x:c>
    </x:row>
    <x:row r="1233">
      <x:c r="A1233" t="str">
        <x:v>Сценарии</x:v>
      </x:c>
      <x:c r="B1233" t="str">
        <x:v>Y11</x:v>
      </x:c>
      <x:c r="C1233">
        <x:v>0.20000000000000001</x:v>
      </x:c>
      <x:c r="D1233">
        <x:f>'Сценарии'!Y11</x:f>
        <x:v>0.20000000000000001</x:v>
      </x:c>
      <x:c r="E1233">
        <x:f>IF(C1233=D1233,1,0)</x:f>
        <x:v>1</x:v>
      </x:c>
    </x:row>
    <x:row r="1234">
      <x:c r="A1234" t="str">
        <x:v>Сценарии</x:v>
      </x:c>
      <x:c r="B1234" t="str">
        <x:v>Z11</x:v>
      </x:c>
      <x:c r="C1234">
        <x:v>1</x:v>
      </x:c>
      <x:c r="D1234">
        <x:f>'Сценарии'!Z11</x:f>
        <x:v>1</x:v>
      </x:c>
      <x:c r="E1234">
        <x:f>IF(C1234=D1234,1,0)</x:f>
        <x:v>1</x:v>
      </x:c>
    </x:row>
    <x:row r="1235">
      <x:c r="A1235" t="str">
        <x:v>Сценарии</x:v>
      </x:c>
      <x:c r="B1235" t="str">
        <x:v>AA11</x:v>
      </x:c>
      <x:c r="C1235">
        <x:v>0.29999999999999999</x:v>
      </x:c>
      <x:c r="D1235">
        <x:f>'Сценарии'!AA11</x:f>
        <x:v>0.29999999999999999</x:v>
      </x:c>
      <x:c r="E1235">
        <x:f>IF(C1235=D1235,1,0)</x:f>
        <x:v>1</x:v>
      </x:c>
    </x:row>
    <x:row r="1236">
      <x:c r="A1236" t="str">
        <x:v>Сценарии</x:v>
      </x:c>
      <x:c r="B1236" t="str">
        <x:v>AB11</x:v>
      </x:c>
      <x:c r="C1236">
        <x:v>0.40000000000000002</x:v>
      </x:c>
      <x:c r="D1236">
        <x:f>'Сценарии'!AB11</x:f>
        <x:v>0.40000000000000002</x:v>
      </x:c>
      <x:c r="E1236">
        <x:f>IF(C1236=D1236,1,0)</x:f>
        <x:v>1</x:v>
      </x:c>
    </x:row>
    <x:row r="1237">
      <x:c r="A1237" t="str">
        <x:v>Сценарии</x:v>
      </x:c>
      <x:c r="B1237" t="str">
        <x:v>AC11</x:v>
      </x:c>
      <x:c r="C1237">
        <x:v>1</x:v>
      </x:c>
      <x:c r="D1237">
        <x:f>'Сценарии'!AC11</x:f>
        <x:v>1</x:v>
      </x:c>
      <x:c r="E1237">
        <x:f>IF(C1237=D1237,1,0)</x:f>
        <x:v>1</x:v>
      </x:c>
    </x:row>
    <x:row r="1238">
      <x:c r="A1238" t="str">
        <x:v>Сценарии</x:v>
      </x:c>
      <x:c r="B1238" t="str">
        <x:v>D12</x:v>
      </x:c>
      <x:c r="C1238">
        <x:v>44000000</x:v>
      </x:c>
      <x:c r="D1238">
        <x:f>'Сценарии'!D12</x:f>
        <x:v>44000000</x:v>
      </x:c>
      <x:c r="E1238">
        <x:f>IF(C1238=D1238,1,0)</x:f>
        <x:v>1</x:v>
      </x:c>
    </x:row>
    <x:row r="1239">
      <x:c r="A1239" t="str">
        <x:v>Сценарии</x:v>
      </x:c>
      <x:c r="B1239" t="str">
        <x:v>E12</x:v>
      </x:c>
      <x:c r="C1239">
        <x:v>84000000</x:v>
      </x:c>
      <x:c r="D1239">
        <x:f>'Сценарии'!E12</x:f>
        <x:v>84000000</x:v>
      </x:c>
      <x:c r="E1239">
        <x:f>IF(C1239=D1239,1,0)</x:f>
        <x:v>1</x:v>
      </x:c>
    </x:row>
    <x:row r="1240">
      <x:c r="A1240" t="str">
        <x:v>Сценарии</x:v>
      </x:c>
      <x:c r="B1240" t="str">
        <x:v>F12</x:v>
      </x:c>
      <x:c r="C1240">
        <x:v>0.23999999999999999</x:v>
      </x:c>
      <x:c r="D1240">
        <x:f>'Сценарии'!F12</x:f>
        <x:v>0.23999999999999999</x:v>
      </x:c>
      <x:c r="E1240">
        <x:f>IF(C1240=D1240,1,0)</x:f>
        <x:v>1</x:v>
      </x:c>
    </x:row>
    <x:row r="1241">
      <x:c r="A1241" t="str">
        <x:v>Сценарии</x:v>
      </x:c>
      <x:c r="B1241" t="str">
        <x:v>G12</x:v>
      </x:c>
      <x:c r="C1241">
        <x:v>0.16000000000000003</x:v>
      </x:c>
      <x:c r="D1241">
        <x:f>'Сценарии'!G12</x:f>
        <x:v>0.16000000000000003</x:v>
      </x:c>
      <x:c r="E1241">
        <x:f>IF(C1241=D1241,1,0)</x:f>
        <x:v>1</x:v>
      </x:c>
    </x:row>
    <x:row r="1242">
      <x:c r="A1242" t="str">
        <x:v>Сценарии</x:v>
      </x:c>
      <x:c r="B1242" t="str">
        <x:v>H12</x:v>
      </x:c>
      <x:c r="C1242">
        <x:v>0.23999999999999999</x:v>
      </x:c>
      <x:c r="D1242">
        <x:f>'Сценарии'!H12</x:f>
        <x:v>0.23999999999999999</x:v>
      </x:c>
      <x:c r="E1242">
        <x:f>IF(C1242=D1242,1,0)</x:f>
        <x:v>1</x:v>
      </x:c>
    </x:row>
    <x:row r="1243">
      <x:c r="A1243" t="str">
        <x:v>Сценарии</x:v>
      </x:c>
      <x:c r="B1243" t="str">
        <x:v>I12</x:v>
      </x:c>
      <x:c r="C1243">
        <x:v>0.35999999999999999</x:v>
      </x:c>
      <x:c r="D1243">
        <x:f>'Сценарии'!I12</x:f>
        <x:v>0.35999999999999999</x:v>
      </x:c>
      <x:c r="E1243">
        <x:f>IF(C1243=D1243,1,0)</x:f>
        <x:v>1</x:v>
      </x:c>
    </x:row>
    <x:row r="1244">
      <x:c r="A1244" t="str">
        <x:v>Сценарии</x:v>
      </x:c>
      <x:c r="B1244" t="str">
        <x:v>J12</x:v>
      </x:c>
      <x:c r="C1244">
        <x:v>0.14999999999999999</x:v>
      </x:c>
      <x:c r="D1244">
        <x:f>'Сценарии'!J12</x:f>
        <x:v>0.14999999999999999</x:v>
      </x:c>
      <x:c r="E1244">
        <x:f>IF(C1244=D1244,1,0)</x:f>
        <x:v>1</x:v>
      </x:c>
    </x:row>
    <x:row r="1245">
      <x:c r="A1245" t="str">
        <x:v>Сценарии</x:v>
      </x:c>
      <x:c r="B1245" t="str">
        <x:v>K12</x:v>
      </x:c>
      <x:c r="C1245">
        <x:v>0.23999999999999999</x:v>
      </x:c>
      <x:c r="D1245">
        <x:f>'Сценарии'!K12</x:f>
        <x:v>0.23999999999999999</x:v>
      </x:c>
      <x:c r="E1245">
        <x:f>IF(C1245=D1245,1,0)</x:f>
        <x:v>1</x:v>
      </x:c>
    </x:row>
    <x:row r="1246">
      <x:c r="A1246" t="str">
        <x:v>Сценарии</x:v>
      </x:c>
      <x:c r="B1246" t="str">
        <x:v>L12</x:v>
      </x:c>
      <x:c r="C1246">
        <x:v>2</x:v>
      </x:c>
      <x:c r="D1246">
        <x:f>'Сценарии'!L12</x:f>
        <x:v>2</x:v>
      </x:c>
      <x:c r="E1246">
        <x:f>IF(C1246=D1246,1,0)</x:f>
        <x:v>1</x:v>
      </x:c>
    </x:row>
    <x:row r="1247">
      <x:c r="A1247" t="str">
        <x:v>Сценарии</x:v>
      </x:c>
      <x:c r="B1247" t="str">
        <x:v>M12</x:v>
      </x:c>
      <x:c r="C1247">
        <x:v>0.49999999999999989</x:v>
      </x:c>
      <x:c r="D1247">
        <x:f>'Сценарии'!M12</x:f>
        <x:v>0.49999999999999989</x:v>
      </x:c>
      <x:c r="E1247">
        <x:f>IF(C1247=D1247,1,0)</x:f>
        <x:v>1</x:v>
      </x:c>
    </x:row>
    <x:row r="1248">
      <x:c r="A1248" t="str">
        <x:v>Сценарии</x:v>
      </x:c>
      <x:c r="B1248" t="str">
        <x:v>N12</x:v>
      </x:c>
      <x:c r="C1248">
        <x:v>0.80000000000000004</x:v>
      </x:c>
      <x:c r="D1248">
        <x:f>'Сценарии'!N12</x:f>
        <x:v>0.80000000000000004</x:v>
      </x:c>
      <x:c r="E1248">
        <x:f>IF(C1248=D1248,1,0)</x:f>
        <x:v>1</x:v>
      </x:c>
    </x:row>
    <x:row r="1249">
      <x:c r="A1249" t="str">
        <x:v>Сценарии</x:v>
      </x:c>
      <x:c r="B1249" t="str">
        <x:v>O12</x:v>
      </x:c>
      <x:c r="C1249">
        <x:v>1</x:v>
      </x:c>
      <x:c r="D1249">
        <x:f>'Сценарии'!O12</x:f>
        <x:v>1</x:v>
      </x:c>
      <x:c r="E1249">
        <x:f>IF(C1249=D1249,1,0)</x:f>
        <x:v>1</x:v>
      </x:c>
    </x:row>
    <x:row r="1250">
      <x:c r="A1250" t="str">
        <x:v>Сценарии</x:v>
      </x:c>
      <x:c r="B1250" t="str">
        <x:v>P12</x:v>
      </x:c>
      <x:c r="C1250">
        <x:v>0.25</x:v>
      </x:c>
      <x:c r="D1250">
        <x:f>'Сценарии'!P12</x:f>
        <x:v>0.25</x:v>
      </x:c>
      <x:c r="E1250">
        <x:f>IF(C1250=D1250,1,0)</x:f>
        <x:v>1</x:v>
      </x:c>
    </x:row>
    <x:row r="1251">
      <x:c r="A1251" t="str">
        <x:v>Сценарии</x:v>
      </x:c>
      <x:c r="B1251" t="str">
        <x:v>Q12</x:v>
      </x:c>
      <x:c r="C1251">
        <x:v>0.25</x:v>
      </x:c>
      <x:c r="D1251">
        <x:f>'Сценарии'!Q12</x:f>
        <x:v>0.25</x:v>
      </x:c>
      <x:c r="E1251">
        <x:f>IF(C1251=D1251,1,0)</x:f>
        <x:v>1</x:v>
      </x:c>
    </x:row>
    <x:row r="1252">
      <x:c r="A1252" t="str">
        <x:v>Сценарии</x:v>
      </x:c>
      <x:c r="B1252" t="str">
        <x:v>R12</x:v>
      </x:c>
      <x:c r="C1252">
        <x:v>0</x:v>
      </x:c>
      <x:c r="D1252">
        <x:f>'Сценарии'!R12</x:f>
        <x:v>0</x:v>
      </x:c>
      <x:c r="E1252">
        <x:f>IF(C1252=D1252,1,0)</x:f>
        <x:v>1</x:v>
      </x:c>
    </x:row>
    <x:row r="1253">
      <x:c r="A1253" t="str">
        <x:v>Сценарии</x:v>
      </x:c>
      <x:c r="B1253" t="str">
        <x:v>S12</x:v>
      </x:c>
      <x:c r="C1253">
        <x:v>0</x:v>
      </x:c>
      <x:c r="D1253">
        <x:f>'Сценарии'!S12</x:f>
        <x:v>0</x:v>
      </x:c>
      <x:c r="E1253">
        <x:f>IF(C1253=D1253,1,0)</x:f>
        <x:v>1</x:v>
      </x:c>
    </x:row>
    <x:row r="1254">
      <x:c r="A1254" t="str">
        <x:v>Сценарии</x:v>
      </x:c>
      <x:c r="B1254" t="str">
        <x:v>T12</x:v>
      </x:c>
      <x:c r="C1254">
        <x:v>0</x:v>
      </x:c>
      <x:c r="D1254">
        <x:f>'Сценарии'!T12</x:f>
        <x:v>0</x:v>
      </x:c>
      <x:c r="E1254">
        <x:f>IF(C1254=D1254,1,0)</x:f>
        <x:v>1</x:v>
      </x:c>
    </x:row>
    <x:row r="1255">
      <x:c r="A1255" t="str">
        <x:v>Сценарии</x:v>
      </x:c>
      <x:c r="B1255" t="str">
        <x:v>U12</x:v>
      </x:c>
      <x:c r="C1255">
        <x:v>1</x:v>
      </x:c>
      <x:c r="D1255">
        <x:f>'Сценарии'!U12</x:f>
        <x:v>1</x:v>
      </x:c>
      <x:c r="E1255">
        <x:f>IF(C1255=D1255,1,0)</x:f>
        <x:v>1</x:v>
      </x:c>
    </x:row>
    <x:row r="1256">
      <x:c r="A1256" t="str">
        <x:v>Сценарии</x:v>
      </x:c>
      <x:c r="B1256" t="str">
        <x:v>V12</x:v>
      </x:c>
      <x:c r="C1256">
        <x:v>1</x:v>
      </x:c>
      <x:c r="D1256">
        <x:f>'Сценарии'!V12</x:f>
        <x:v>1</x:v>
      </x:c>
      <x:c r="E1256">
        <x:f>IF(C1256=D1256,1,0)</x:f>
        <x:v>1</x:v>
      </x:c>
    </x:row>
    <x:row r="1257">
      <x:c r="A1257" t="str">
        <x:v>Сценарии</x:v>
      </x:c>
      <x:c r="B1257" t="str">
        <x:v>X12</x:v>
      </x:c>
      <x:c r="C1257">
        <x:v>1.5</x:v>
      </x:c>
      <x:c r="D1257">
        <x:f>'Сценарии'!X12</x:f>
        <x:v>1.5</x:v>
      </x:c>
      <x:c r="E1257">
        <x:f>IF(C1257=D1257,1,0)</x:f>
        <x:v>1</x:v>
      </x:c>
    </x:row>
    <x:row r="1258">
      <x:c r="A1258" t="str">
        <x:v>Сценарии</x:v>
      </x:c>
      <x:c r="B1258" t="str">
        <x:v>Y12</x:v>
      </x:c>
      <x:c r="C1258">
        <x:v>0.20000000000000001</x:v>
      </x:c>
      <x:c r="D1258">
        <x:f>'Сценарии'!Y12</x:f>
        <x:v>0.20000000000000001</x:v>
      </x:c>
      <x:c r="E1258">
        <x:f>IF(C1258=D1258,1,0)</x:f>
        <x:v>1</x:v>
      </x:c>
    </x:row>
    <x:row r="1259">
      <x:c r="A1259" t="str">
        <x:v>Сценарии</x:v>
      </x:c>
      <x:c r="B1259" t="str">
        <x:v>Z12</x:v>
      </x:c>
      <x:c r="C1259">
        <x:v>1</x:v>
      </x:c>
      <x:c r="D1259">
        <x:f>'Сценарии'!Z12</x:f>
        <x:v>1</x:v>
      </x:c>
      <x:c r="E1259">
        <x:f>IF(C1259=D1259,1,0)</x:f>
        <x:v>1</x:v>
      </x:c>
    </x:row>
    <x:row r="1260">
      <x:c r="A1260" t="str">
        <x:v>Сценарии</x:v>
      </x:c>
      <x:c r="B1260" t="str">
        <x:v>AA12</x:v>
      </x:c>
      <x:c r="C1260">
        <x:v>0.29999999999999999</x:v>
      </x:c>
      <x:c r="D1260">
        <x:f>'Сценарии'!AA12</x:f>
        <x:v>0.29999999999999999</x:v>
      </x:c>
      <x:c r="E1260">
        <x:f>IF(C1260=D1260,1,0)</x:f>
        <x:v>1</x:v>
      </x:c>
    </x:row>
    <x:row r="1261">
      <x:c r="A1261" t="str">
        <x:v>Сценарии</x:v>
      </x:c>
      <x:c r="B1261" t="str">
        <x:v>AB12</x:v>
      </x:c>
      <x:c r="C1261">
        <x:v>0.40000000000000002</x:v>
      </x:c>
      <x:c r="D1261">
        <x:f>'Сценарии'!AB12</x:f>
        <x:v>0.40000000000000002</x:v>
      </x:c>
      <x:c r="E1261">
        <x:f>IF(C1261=D1261,1,0)</x:f>
        <x:v>1</x:v>
      </x:c>
    </x:row>
    <x:row r="1262">
      <x:c r="A1262" t="str">
        <x:v>Сценарии</x:v>
      </x:c>
      <x:c r="B1262" t="str">
        <x:v>AC12</x:v>
      </x:c>
      <x:c r="C1262">
        <x:v>1</x:v>
      </x:c>
      <x:c r="D1262">
        <x:f>'Сценарии'!AC12</x:f>
        <x:v>1</x:v>
      </x:c>
      <x:c r="E1262">
        <x:f>IF(C1262=D1262,1,0)</x:f>
        <x:v>1</x:v>
      </x:c>
    </x:row>
    <x:row r="1263">
      <x:c r="A1263" t="str">
        <x:v>Сценарии</x:v>
      </x:c>
      <x:c r="B1263" t="str">
        <x:v>D13</x:v>
      </x:c>
      <x:c r="C1263">
        <x:v>44000000</x:v>
      </x:c>
      <x:c r="D1263">
        <x:f>'Сценарии'!D13</x:f>
        <x:v>44000000</x:v>
      </x:c>
      <x:c r="E1263">
        <x:f>IF(C1263=D1263,1,0)</x:f>
        <x:v>1</x:v>
      </x:c>
    </x:row>
    <x:row r="1264">
      <x:c r="A1264" t="str">
        <x:v>Сценарии</x:v>
      </x:c>
      <x:c r="B1264" t="str">
        <x:v>E13</x:v>
      </x:c>
      <x:c r="C1264">
        <x:v>84000000</x:v>
      </x:c>
      <x:c r="D1264">
        <x:f>'Сценарии'!E13</x:f>
        <x:v>84000000</x:v>
      </x:c>
      <x:c r="E1264">
        <x:f>IF(C1264=D1264,1,0)</x:f>
        <x:v>1</x:v>
      </x:c>
    </x:row>
    <x:row r="1265">
      <x:c r="A1265" t="str">
        <x:v>Сценарии</x:v>
      </x:c>
      <x:c r="B1265" t="str">
        <x:v>F13</x:v>
      </x:c>
      <x:c r="C1265">
        <x:v>0.20400000000000001</x:v>
      </x:c>
      <x:c r="D1265">
        <x:f>'Сценарии'!F13</x:f>
        <x:v>0.20400000000000001</x:v>
      </x:c>
      <x:c r="E1265">
        <x:f>IF(C1265=D1265,1,0)</x:f>
        <x:v>1</x:v>
      </x:c>
    </x:row>
    <x:row r="1266">
      <x:c r="A1266" t="str">
        <x:v>Сценарии</x:v>
      </x:c>
      <x:c r="B1266" t="str">
        <x:v>G13</x:v>
      </x:c>
      <x:c r="C1266">
        <x:v>0.19600000000000001</x:v>
      </x:c>
      <x:c r="D1266">
        <x:f>'Сценарии'!G13</x:f>
        <x:v>0.19600000000000001</x:v>
      </x:c>
      <x:c r="E1266">
        <x:f>IF(C1266=D1266,1,0)</x:f>
        <x:v>1</x:v>
      </x:c>
    </x:row>
    <x:row r="1267">
      <x:c r="A1267" t="str">
        <x:v>Сценарии</x:v>
      </x:c>
      <x:c r="B1267" t="str">
        <x:v>H13</x:v>
      </x:c>
      <x:c r="C1267">
        <x:v>0.29399999999999998</x:v>
      </x:c>
      <x:c r="D1267">
        <x:f>'Сценарии'!H13</x:f>
        <x:v>0.29399999999999998</x:v>
      </x:c>
      <x:c r="E1267">
        <x:f>IF(C1267=D1267,1,0)</x:f>
        <x:v>1</x:v>
      </x:c>
    </x:row>
    <x:row r="1268">
      <x:c r="A1268" t="str">
        <x:v>Сценарии</x:v>
      </x:c>
      <x:c r="B1268" t="str">
        <x:v>I13</x:v>
      </x:c>
      <x:c r="C1268">
        <x:v>0.30599999999999999</x:v>
      </x:c>
      <x:c r="D1268">
        <x:f>'Сценарии'!I13</x:f>
        <x:v>0.30599999999999999</x:v>
      </x:c>
      <x:c r="E1268">
        <x:f>IF(C1268=D1268,1,0)</x:f>
        <x:v>1</x:v>
      </x:c>
    </x:row>
    <x:row r="1269">
      <x:c r="A1269" t="str">
        <x:v>Сценарии</x:v>
      </x:c>
      <x:c r="B1269" t="str">
        <x:v>J13</x:v>
      </x:c>
      <x:c r="C1269">
        <x:v>0.14999999999999999</x:v>
      </x:c>
      <x:c r="D1269">
        <x:f>'Сценарии'!J13</x:f>
        <x:v>0.14999999999999999</x:v>
      </x:c>
      <x:c r="E1269">
        <x:f>IF(C1269=D1269,1,0)</x:f>
        <x:v>1</x:v>
      </x:c>
    </x:row>
    <x:row r="1270">
      <x:c r="A1270" t="str">
        <x:v>Сценарии</x:v>
      </x:c>
      <x:c r="B1270" t="str">
        <x:v>K13</x:v>
      </x:c>
      <x:c r="C1270">
        <x:v>0.24809999999999999</x:v>
      </x:c>
      <x:c r="D1270">
        <x:f>'Сценарии'!K13</x:f>
        <x:v>0.24809999999999999</x:v>
      </x:c>
      <x:c r="E1270">
        <x:f>IF(C1270=D1270,1,0)</x:f>
        <x:v>1</x:v>
      </x:c>
    </x:row>
    <x:row r="1271">
      <x:c r="A1271" t="str">
        <x:v>Сценарии</x:v>
      </x:c>
      <x:c r="B1271" t="str">
        <x:v>L13</x:v>
      </x:c>
      <x:c r="C1271">
        <x:v>2</x:v>
      </x:c>
      <x:c r="D1271">
        <x:f>'Сценарии'!L13</x:f>
        <x:v>2</x:v>
      </x:c>
      <x:c r="E1271">
        <x:f>IF(C1271=D1271,1,0)</x:f>
        <x:v>1</x:v>
      </x:c>
    </x:row>
    <x:row r="1272">
      <x:c r="A1272" t="str">
        <x:v>Сценарии</x:v>
      </x:c>
      <x:c r="B1272" t="str">
        <x:v>M13</x:v>
      </x:c>
      <x:c r="C1272">
        <x:v>0.49999999999999989</x:v>
      </x:c>
      <x:c r="D1272">
        <x:f>'Сценарии'!M13</x:f>
        <x:v>0.49999999999999989</x:v>
      </x:c>
      <x:c r="E1272">
        <x:f>IF(C1272=D1272,1,0)</x:f>
        <x:v>1</x:v>
      </x:c>
    </x:row>
    <x:row r="1273">
      <x:c r="A1273" t="str">
        <x:v>Сценарии</x:v>
      </x:c>
      <x:c r="B1273" t="str">
        <x:v>N13</x:v>
      </x:c>
      <x:c r="C1273">
        <x:v>0.80000000000000004</x:v>
      </x:c>
      <x:c r="D1273">
        <x:f>'Сценарии'!N13</x:f>
        <x:v>0.80000000000000004</x:v>
      </x:c>
      <x:c r="E1273">
        <x:f>IF(C1273=D1273,1,0)</x:f>
        <x:v>1</x:v>
      </x:c>
    </x:row>
    <x:row r="1274">
      <x:c r="A1274" t="str">
        <x:v>Сценарии</x:v>
      </x:c>
      <x:c r="B1274" t="str">
        <x:v>O13</x:v>
      </x:c>
      <x:c r="C1274">
        <x:v>1</x:v>
      </x:c>
      <x:c r="D1274">
        <x:f>'Сценарии'!O13</x:f>
        <x:v>1</x:v>
      </x:c>
      <x:c r="E1274">
        <x:f>IF(C1274=D1274,1,0)</x:f>
        <x:v>1</x:v>
      </x:c>
    </x:row>
    <x:row r="1275">
      <x:c r="A1275" t="str">
        <x:v>Сценарии</x:v>
      </x:c>
      <x:c r="B1275" t="str">
        <x:v>P13</x:v>
      </x:c>
      <x:c r="C1275">
        <x:v>0.25</x:v>
      </x:c>
      <x:c r="D1275">
        <x:f>'Сценарии'!P13</x:f>
        <x:v>0.25</x:v>
      </x:c>
      <x:c r="E1275">
        <x:f>IF(C1275=D1275,1,0)</x:f>
        <x:v>1</x:v>
      </x:c>
    </x:row>
    <x:row r="1276">
      <x:c r="A1276" t="str">
        <x:v>Сценарии</x:v>
      </x:c>
      <x:c r="B1276" t="str">
        <x:v>Q13</x:v>
      </x:c>
      <x:c r="C1276">
        <x:v>0.25</x:v>
      </x:c>
      <x:c r="D1276">
        <x:f>'Сценарии'!Q13</x:f>
        <x:v>0.25</x:v>
      </x:c>
      <x:c r="E1276">
        <x:f>IF(C1276=D1276,1,0)</x:f>
        <x:v>1</x:v>
      </x:c>
    </x:row>
    <x:row r="1277">
      <x:c r="A1277" t="str">
        <x:v>Сценарии</x:v>
      </x:c>
      <x:c r="B1277" t="str">
        <x:v>R13</x:v>
      </x:c>
      <x:c r="C1277">
        <x:v>0</x:v>
      </x:c>
      <x:c r="D1277">
        <x:f>'Сценарии'!R13</x:f>
        <x:v>0</x:v>
      </x:c>
      <x:c r="E1277">
        <x:f>IF(C1277=D1277,1,0)</x:f>
        <x:v>1</x:v>
      </x:c>
    </x:row>
    <x:row r="1278">
      <x:c r="A1278" t="str">
        <x:v>Сценарии</x:v>
      </x:c>
      <x:c r="B1278" t="str">
        <x:v>S13</x:v>
      </x:c>
      <x:c r="C1278">
        <x:v>0</x:v>
      </x:c>
      <x:c r="D1278">
        <x:f>'Сценарии'!S13</x:f>
        <x:v>0</x:v>
      </x:c>
      <x:c r="E1278">
        <x:f>IF(C1278=D1278,1,0)</x:f>
        <x:v>1</x:v>
      </x:c>
    </x:row>
    <x:row r="1279">
      <x:c r="A1279" t="str">
        <x:v>Сценарии</x:v>
      </x:c>
      <x:c r="B1279" t="str">
        <x:v>T13</x:v>
      </x:c>
      <x:c r="C1279">
        <x:v>0</x:v>
      </x:c>
      <x:c r="D1279">
        <x:f>'Сценарии'!T13</x:f>
        <x:v>0</x:v>
      </x:c>
      <x:c r="E1279">
        <x:f>IF(C1279=D1279,1,0)</x:f>
        <x:v>1</x:v>
      </x:c>
    </x:row>
    <x:row r="1280">
      <x:c r="A1280" t="str">
        <x:v>Сценарии</x:v>
      </x:c>
      <x:c r="B1280" t="str">
        <x:v>U13</x:v>
      </x:c>
      <x:c r="C1280">
        <x:v>1</x:v>
      </x:c>
      <x:c r="D1280">
        <x:f>'Сценарии'!U13</x:f>
        <x:v>1</x:v>
      </x:c>
      <x:c r="E1280">
        <x:f>IF(C1280=D1280,1,0)</x:f>
        <x:v>1</x:v>
      </x:c>
    </x:row>
    <x:row r="1281">
      <x:c r="A1281" t="str">
        <x:v>Сценарии</x:v>
      </x:c>
      <x:c r="B1281" t="str">
        <x:v>V13</x:v>
      </x:c>
      <x:c r="C1281">
        <x:v>1</x:v>
      </x:c>
      <x:c r="D1281">
        <x:f>'Сценарии'!V13</x:f>
        <x:v>1</x:v>
      </x:c>
      <x:c r="E1281">
        <x:f>IF(C1281=D1281,1,0)</x:f>
        <x:v>1</x:v>
      </x:c>
    </x:row>
    <x:row r="1282">
      <x:c r="A1282" t="str">
        <x:v>Сценарии</x:v>
      </x:c>
      <x:c r="B1282" t="str">
        <x:v>X13</x:v>
      </x:c>
      <x:c r="C1282">
        <x:v>1.5</x:v>
      </x:c>
      <x:c r="D1282">
        <x:f>'Сценарии'!X13</x:f>
        <x:v>1.5</x:v>
      </x:c>
      <x:c r="E1282">
        <x:f>IF(C1282=D1282,1,0)</x:f>
        <x:v>1</x:v>
      </x:c>
    </x:row>
    <x:row r="1283">
      <x:c r="A1283" t="str">
        <x:v>Сценарии</x:v>
      </x:c>
      <x:c r="B1283" t="str">
        <x:v>Y13</x:v>
      </x:c>
      <x:c r="C1283">
        <x:v>0.20000000000000001</x:v>
      </x:c>
      <x:c r="D1283">
        <x:f>'Сценарии'!Y13</x:f>
        <x:v>0.20000000000000001</x:v>
      </x:c>
      <x:c r="E1283">
        <x:f>IF(C1283=D1283,1,0)</x:f>
        <x:v>1</x:v>
      </x:c>
    </x:row>
    <x:row r="1284">
      <x:c r="A1284" t="str">
        <x:v>Сценарии</x:v>
      </x:c>
      <x:c r="B1284" t="str">
        <x:v>Z13</x:v>
      </x:c>
      <x:c r="C1284">
        <x:v>1</x:v>
      </x:c>
      <x:c r="D1284">
        <x:f>'Сценарии'!Z13</x:f>
        <x:v>1</x:v>
      </x:c>
      <x:c r="E1284">
        <x:f>IF(C1284=D1284,1,0)</x:f>
        <x:v>1</x:v>
      </x:c>
    </x:row>
    <x:row r="1285">
      <x:c r="A1285" t="str">
        <x:v>Сценарии</x:v>
      </x:c>
      <x:c r="B1285" t="str">
        <x:v>AA13</x:v>
      </x:c>
      <x:c r="C1285">
        <x:v>0.29999999999999999</x:v>
      </x:c>
      <x:c r="D1285">
        <x:f>'Сценарии'!AA13</x:f>
        <x:v>0.29999999999999999</x:v>
      </x:c>
      <x:c r="E1285">
        <x:f>IF(C1285=D1285,1,0)</x:f>
        <x:v>1</x:v>
      </x:c>
    </x:row>
    <x:row r="1286">
      <x:c r="A1286" t="str">
        <x:v>Сценарии</x:v>
      </x:c>
      <x:c r="B1286" t="str">
        <x:v>AB13</x:v>
      </x:c>
      <x:c r="C1286">
        <x:v>0.40000000000000002</x:v>
      </x:c>
      <x:c r="D1286">
        <x:f>'Сценарии'!AB13</x:f>
        <x:v>0.40000000000000002</x:v>
      </x:c>
      <x:c r="E1286">
        <x:f>IF(C1286=D1286,1,0)</x:f>
        <x:v>1</x:v>
      </x:c>
    </x:row>
    <x:row r="1287">
      <x:c r="A1287" t="str">
        <x:v>Сценарии</x:v>
      </x:c>
      <x:c r="B1287" t="str">
        <x:v>AC13</x:v>
      </x:c>
      <x:c r="C1287">
        <x:v>1</x:v>
      </x:c>
      <x:c r="D1287">
        <x:f>'Сценарии'!AC13</x:f>
        <x:v>1</x:v>
      </x:c>
      <x:c r="E1287">
        <x:f>IF(C1287=D1287,1,0)</x:f>
        <x:v>1</x:v>
      </x:c>
    </x:row>
    <x:row r="1288">
      <x:c r="A1288" t="str">
        <x:v>Сценарии</x:v>
      </x:c>
      <x:c r="B1288" t="str">
        <x:v>D14</x:v>
      </x:c>
      <x:c r="C1288">
        <x:v>44000000</x:v>
      </x:c>
      <x:c r="D1288">
        <x:f>'Сценарии'!D14</x:f>
        <x:v>44000000</x:v>
      </x:c>
      <x:c r="E1288">
        <x:f>IF(C1288=D1288,1,0)</x:f>
        <x:v>1</x:v>
      </x:c>
    </x:row>
    <x:row r="1289">
      <x:c r="A1289" t="str">
        <x:v>Сценарии</x:v>
      </x:c>
      <x:c r="B1289" t="str">
        <x:v>E14</x:v>
      </x:c>
      <x:c r="C1289">
        <x:v>84000000</x:v>
      </x:c>
      <x:c r="D1289">
        <x:f>'Сценарии'!E14</x:f>
        <x:v>84000000</x:v>
      </x:c>
      <x:c r="E1289">
        <x:f>IF(C1289=D1289,1,0)</x:f>
        <x:v>1</x:v>
      </x:c>
    </x:row>
    <x:row r="1290">
      <x:c r="A1290" t="str">
        <x:v>Сценарии</x:v>
      </x:c>
      <x:c r="B1290" t="str">
        <x:v>F14</x:v>
      </x:c>
      <x:c r="C1290">
        <x:v>0.27999999999999997</x:v>
      </x:c>
      <x:c r="D1290">
        <x:f>'Сценарии'!F14</x:f>
        <x:v>0.27999999999999997</x:v>
      </x:c>
      <x:c r="E1290">
        <x:f>IF(C1290=D1290,1,0)</x:f>
        <x:v>1</x:v>
      </x:c>
    </x:row>
    <x:row r="1291">
      <x:c r="A1291" t="str">
        <x:v>Сценарии</x:v>
      </x:c>
      <x:c r="B1291" t="str">
        <x:v>G14</x:v>
      </x:c>
      <x:c r="C1291">
        <x:v>0.12</x:v>
      </x:c>
      <x:c r="D1291">
        <x:f>'Сценарии'!G14</x:f>
        <x:v>0.12</x:v>
      </x:c>
      <x:c r="E1291">
        <x:f>IF(C1291=D1291,1,0)</x:f>
        <x:v>1</x:v>
      </x:c>
    </x:row>
    <x:row r="1292">
      <x:c r="A1292" t="str">
        <x:v>Сценарии</x:v>
      </x:c>
      <x:c r="B1292" t="str">
        <x:v>H14</x:v>
      </x:c>
      <x:c r="C1292">
        <x:v>0.17999999999999999</x:v>
      </x:c>
      <x:c r="D1292">
        <x:f>'Сценарии'!H14</x:f>
        <x:v>0.17999999999999999</x:v>
      </x:c>
      <x:c r="E1292">
        <x:f>IF(C1292=D1292,1,0)</x:f>
        <x:v>1</x:v>
      </x:c>
    </x:row>
    <x:row r="1293">
      <x:c r="A1293" t="str">
        <x:v>Сценарии</x:v>
      </x:c>
      <x:c r="B1293" t="str">
        <x:v>I14</x:v>
      </x:c>
      <x:c r="C1293">
        <x:v>0.41999999999999998</x:v>
      </x:c>
      <x:c r="D1293">
        <x:f>'Сценарии'!I14</x:f>
        <x:v>0.41999999999999998</x:v>
      </x:c>
      <x:c r="E1293">
        <x:f>IF(C1293=D1293,1,0)</x:f>
        <x:v>1</x:v>
      </x:c>
    </x:row>
    <x:row r="1294">
      <x:c r="A1294" t="str">
        <x:v>Сценарии</x:v>
      </x:c>
      <x:c r="B1294" t="str">
        <x:v>J14</x:v>
      </x:c>
      <x:c r="C1294">
        <x:v>0.12</x:v>
      </x:c>
      <x:c r="D1294">
        <x:f>'Сценарии'!J14</x:f>
        <x:v>0.12</x:v>
      </x:c>
      <x:c r="E1294">
        <x:f>IF(C1294=D1294,1,0)</x:f>
        <x:v>1</x:v>
      </x:c>
    </x:row>
    <x:row r="1295">
      <x:c r="A1295" t="str">
        <x:v>Сценарии</x:v>
      </x:c>
      <x:c r="B1295" t="str">
        <x:v>K14</x:v>
      </x:c>
      <x:c r="C1295">
        <x:v>0.20100000000000001</x:v>
      </x:c>
      <x:c r="D1295">
        <x:f>'Сценарии'!K14</x:f>
        <x:v>0.20100000000000001</x:v>
      </x:c>
      <x:c r="E1295">
        <x:f>IF(C1295=D1295,1,0)</x:f>
        <x:v>1</x:v>
      </x:c>
    </x:row>
    <x:row r="1296">
      <x:c r="A1296" t="str">
        <x:v>Сценарии</x:v>
      </x:c>
      <x:c r="B1296" t="str">
        <x:v>L14</x:v>
      </x:c>
      <x:c r="C1296">
        <x:v>2</x:v>
      </x:c>
      <x:c r="D1296">
        <x:f>'Сценарии'!L14</x:f>
        <x:v>2</x:v>
      </x:c>
      <x:c r="E1296">
        <x:f>IF(C1296=D1296,1,0)</x:f>
        <x:v>1</x:v>
      </x:c>
    </x:row>
    <x:row r="1297">
      <x:c r="A1297" t="str">
        <x:v>Сценарии</x:v>
      </x:c>
      <x:c r="B1297" t="str">
        <x:v>M14</x:v>
      </x:c>
      <x:c r="C1297">
        <x:v>0.5</x:v>
      </x:c>
      <x:c r="D1297">
        <x:f>'Сценарии'!M14</x:f>
        <x:v>0.5</x:v>
      </x:c>
      <x:c r="E1297">
        <x:f>IF(C1297=D1297,1,0)</x:f>
        <x:v>1</x:v>
      </x:c>
    </x:row>
    <x:row r="1298">
      <x:c r="A1298" t="str">
        <x:v>Сценарии</x:v>
      </x:c>
      <x:c r="B1298" t="str">
        <x:v>N14</x:v>
      </x:c>
      <x:c r="C1298">
        <x:v>0.80000000000000004</x:v>
      </x:c>
      <x:c r="D1298">
        <x:f>'Сценарии'!N14</x:f>
        <x:v>0.80000000000000004</x:v>
      </x:c>
      <x:c r="E1298">
        <x:f>IF(C1298=D1298,1,0)</x:f>
        <x:v>1</x:v>
      </x:c>
    </x:row>
    <x:row r="1299">
      <x:c r="A1299" t="str">
        <x:v>Сценарии</x:v>
      </x:c>
      <x:c r="B1299" t="str">
        <x:v>O14</x:v>
      </x:c>
      <x:c r="C1299">
        <x:v>0.59999999999999998</x:v>
      </x:c>
      <x:c r="D1299">
        <x:f>'Сценарии'!O14</x:f>
        <x:v>0.59999999999999998</x:v>
      </x:c>
      <x:c r="E1299">
        <x:f>IF(C1299=D1299,1,0)</x:f>
        <x:v>1</x:v>
      </x:c>
    </x:row>
    <x:row r="1300">
      <x:c r="A1300" t="str">
        <x:v>Сценарии</x:v>
      </x:c>
      <x:c r="B1300" t="str">
        <x:v>P14</x:v>
      </x:c>
      <x:c r="C1300">
        <x:v>0.5</x:v>
      </x:c>
      <x:c r="D1300">
        <x:f>'Сценарии'!P14</x:f>
        <x:v>0.5</x:v>
      </x:c>
      <x:c r="E1300">
        <x:f>IF(C1300=D1300,1,0)</x:f>
        <x:v>1</x:v>
      </x:c>
    </x:row>
    <x:row r="1301">
      <x:c r="A1301" t="str">
        <x:v>Сценарии</x:v>
      </x:c>
      <x:c r="B1301" t="str">
        <x:v>Q14</x:v>
      </x:c>
      <x:c r="C1301">
        <x:v>0.5</x:v>
      </x:c>
      <x:c r="D1301">
        <x:f>'Сценарии'!Q14</x:f>
        <x:v>0.5</x:v>
      </x:c>
      <x:c r="E1301">
        <x:f>IF(C1301=D1301,1,0)</x:f>
        <x:v>1</x:v>
      </x:c>
    </x:row>
    <x:row r="1302">
      <x:c r="A1302" t="str">
        <x:v>Сценарии</x:v>
      </x:c>
      <x:c r="B1302" t="str">
        <x:v>R14</x:v>
      </x:c>
      <x:c r="C1302">
        <x:v>0.001</x:v>
      </x:c>
      <x:c r="D1302">
        <x:f>'Сценарии'!R14</x:f>
        <x:v>0.001</x:v>
      </x:c>
      <x:c r="E1302">
        <x:f>IF(C1302=D1302,1,0)</x:f>
        <x:v>1</x:v>
      </x:c>
    </x:row>
    <x:row r="1303">
      <x:c r="A1303" t="str">
        <x:v>Сценарии</x:v>
      </x:c>
      <x:c r="B1303" t="str">
        <x:v>S14</x:v>
      </x:c>
      <x:c r="C1303">
        <x:v>0.002</x:v>
      </x:c>
      <x:c r="D1303">
        <x:f>'Сценарии'!S14</x:f>
        <x:v>0.002</x:v>
      </x:c>
      <x:c r="E1303">
        <x:f>IF(C1303=D1303,1,0)</x:f>
        <x:v>1</x:v>
      </x:c>
    </x:row>
    <x:row r="1304">
      <x:c r="A1304" t="str">
        <x:v>Сценарии</x:v>
      </x:c>
      <x:c r="B1304" t="str">
        <x:v>T14</x:v>
      </x:c>
      <x:c r="C1304">
        <x:v>-0.0050000000000000001</x:v>
      </x:c>
      <x:c r="D1304">
        <x:f>'Сценарии'!T14</x:f>
        <x:v>-0.0050000000000000001</x:v>
      </x:c>
      <x:c r="E1304">
        <x:f>IF(C1304=D1304,1,0)</x:f>
        <x:v>1</x:v>
      </x:c>
    </x:row>
    <x:row r="1305">
      <x:c r="A1305" t="str">
        <x:v>Сценарии</x:v>
      </x:c>
      <x:c r="B1305" t="str">
        <x:v>U14</x:v>
      </x:c>
      <x:c r="C1305">
        <x:v>1</x:v>
      </x:c>
      <x:c r="D1305">
        <x:f>'Сценарии'!U14</x:f>
        <x:v>1</x:v>
      </x:c>
      <x:c r="E1305">
        <x:f>IF(C1305=D1305,1,0)</x:f>
        <x:v>1</x:v>
      </x:c>
    </x:row>
    <x:row r="1306">
      <x:c r="A1306" t="str">
        <x:v>Сценарии</x:v>
      </x:c>
      <x:c r="B1306" t="str">
        <x:v>V14</x:v>
      </x:c>
      <x:c r="C1306">
        <x:v>1</x:v>
      </x:c>
      <x:c r="D1306">
        <x:f>'Сценарии'!V14</x:f>
        <x:v>1</x:v>
      </x:c>
      <x:c r="E1306">
        <x:f>IF(C1306=D1306,1,0)</x:f>
        <x:v>1</x:v>
      </x:c>
    </x:row>
    <x:row r="1307">
      <x:c r="A1307" t="str">
        <x:v>Сценарии</x:v>
      </x:c>
      <x:c r="B1307" t="str">
        <x:v>X14</x:v>
      </x:c>
      <x:c r="C1307">
        <x:v>1.5</x:v>
      </x:c>
      <x:c r="D1307">
        <x:f>'Сценарии'!X14</x:f>
        <x:v>1.5</x:v>
      </x:c>
      <x:c r="E1307">
        <x:f>IF(C1307=D1307,1,0)</x:f>
        <x:v>1</x:v>
      </x:c>
    </x:row>
    <x:row r="1308">
      <x:c r="A1308" t="str">
        <x:v>Сценарии</x:v>
      </x:c>
      <x:c r="B1308" t="str">
        <x:v>Y14</x:v>
      </x:c>
      <x:c r="C1308">
        <x:v>0.20000000000000001</x:v>
      </x:c>
      <x:c r="D1308">
        <x:f>'Сценарии'!Y14</x:f>
        <x:v>0.20000000000000001</x:v>
      </x:c>
      <x:c r="E1308">
        <x:f>IF(C1308=D1308,1,0)</x:f>
        <x:v>1</x:v>
      </x:c>
    </x:row>
    <x:row r="1309">
      <x:c r="A1309" t="str">
        <x:v>Сценарии</x:v>
      </x:c>
      <x:c r="B1309" t="str">
        <x:v>Z14</x:v>
      </x:c>
      <x:c r="C1309">
        <x:v>1</x:v>
      </x:c>
      <x:c r="D1309">
        <x:f>'Сценарии'!Z14</x:f>
        <x:v>1</x:v>
      </x:c>
      <x:c r="E1309">
        <x:f>IF(C1309=D1309,1,0)</x:f>
        <x:v>1</x:v>
      </x:c>
    </x:row>
    <x:row r="1310">
      <x:c r="A1310" t="str">
        <x:v>Сценарии</x:v>
      </x:c>
      <x:c r="B1310" t="str">
        <x:v>AA14</x:v>
      </x:c>
      <x:c r="C1310">
        <x:v>0.29999999999999999</x:v>
      </x:c>
      <x:c r="D1310">
        <x:f>'Сценарии'!AA14</x:f>
        <x:v>0.29999999999999999</x:v>
      </x:c>
      <x:c r="E1310">
        <x:f>IF(C1310=D1310,1,0)</x:f>
        <x:v>1</x:v>
      </x:c>
    </x:row>
    <x:row r="1311">
      <x:c r="A1311" t="str">
        <x:v>Сценарии</x:v>
      </x:c>
      <x:c r="B1311" t="str">
        <x:v>AB14</x:v>
      </x:c>
      <x:c r="C1311">
        <x:v>0.40000000000000002</x:v>
      </x:c>
      <x:c r="D1311">
        <x:f>'Сценарии'!AB14</x:f>
        <x:v>0.40000000000000002</x:v>
      </x:c>
      <x:c r="E1311">
        <x:f>IF(C1311=D1311,1,0)</x:f>
        <x:v>1</x:v>
      </x:c>
    </x:row>
    <x:row r="1312">
      <x:c r="A1312" t="str">
        <x:v>Сценарии</x:v>
      </x:c>
      <x:c r="B1312" t="str">
        <x:v>AC14</x:v>
      </x:c>
      <x:c r="C1312">
        <x:v>1</x:v>
      </x:c>
      <x:c r="D1312">
        <x:f>'Сценарии'!AC14</x:f>
        <x:v>1</x:v>
      </x:c>
      <x:c r="E1312">
        <x:f>IF(C1312=D1312,1,0)</x:f>
        <x:v>1</x:v>
      </x:c>
    </x:row>
    <x:row r="1313">
      <x:c r="A1313" t="str">
        <x:v>Сценарии</x:v>
      </x:c>
      <x:c r="B1313" t="str">
        <x:v>D15</x:v>
      </x:c>
      <x:c r="C1313">
        <x:v>44000000</x:v>
      </x:c>
      <x:c r="D1313">
        <x:f>'Сценарии'!D15</x:f>
        <x:v>44000000</x:v>
      </x:c>
      <x:c r="E1313">
        <x:f>IF(C1313=D1313,1,0)</x:f>
        <x:v>1</x:v>
      </x:c>
    </x:row>
    <x:row r="1314">
      <x:c r="A1314" t="str">
        <x:v>Сценарии</x:v>
      </x:c>
      <x:c r="B1314" t="str">
        <x:v>E15</x:v>
      </x:c>
      <x:c r="C1314">
        <x:v>84000000</x:v>
      </x:c>
      <x:c r="D1314">
        <x:f>'Сценарии'!E15</x:f>
        <x:v>84000000</x:v>
      </x:c>
      <x:c r="E1314">
        <x:f>IF(C1314=D1314,1,0)</x:f>
        <x:v>1</x:v>
      </x:c>
    </x:row>
    <x:row r="1315">
      <x:c r="A1315" t="str">
        <x:v>Сценарии</x:v>
      </x:c>
      <x:c r="B1315" t="str">
        <x:v>F15</x:v>
      </x:c>
      <x:c r="C1315">
        <x:v>0.27999999999999997</x:v>
      </x:c>
      <x:c r="D1315">
        <x:f>'Сценарии'!F15</x:f>
        <x:v>0.27999999999999997</x:v>
      </x:c>
      <x:c r="E1315">
        <x:f>IF(C1315=D1315,1,0)</x:f>
        <x:v>1</x:v>
      </x:c>
    </x:row>
    <x:row r="1316">
      <x:c r="A1316" t="str">
        <x:v>Сценарии</x:v>
      </x:c>
      <x:c r="B1316" t="str">
        <x:v>G15</x:v>
      </x:c>
      <x:c r="C1316">
        <x:v>0.12</x:v>
      </x:c>
      <x:c r="D1316">
        <x:f>'Сценарии'!G15</x:f>
        <x:v>0.12</x:v>
      </x:c>
      <x:c r="E1316">
        <x:f>IF(C1316=D1316,1,0)</x:f>
        <x:v>1</x:v>
      </x:c>
    </x:row>
    <x:row r="1317">
      <x:c r="A1317" t="str">
        <x:v>Сценарии</x:v>
      </x:c>
      <x:c r="B1317" t="str">
        <x:v>H15</x:v>
      </x:c>
      <x:c r="C1317">
        <x:v>0.17999999999999999</x:v>
      </x:c>
      <x:c r="D1317">
        <x:f>'Сценарии'!H15</x:f>
        <x:v>0.17999999999999999</x:v>
      </x:c>
      <x:c r="E1317">
        <x:f>IF(C1317=D1317,1,0)</x:f>
        <x:v>1</x:v>
      </x:c>
    </x:row>
    <x:row r="1318">
      <x:c r="A1318" t="str">
        <x:v>Сценарии</x:v>
      </x:c>
      <x:c r="B1318" t="str">
        <x:v>I15</x:v>
      </x:c>
      <x:c r="C1318">
        <x:v>0.41999999999999998</x:v>
      </x:c>
      <x:c r="D1318">
        <x:f>'Сценарии'!I15</x:f>
        <x:v>0.41999999999999998</x:v>
      </x:c>
      <x:c r="E1318">
        <x:f>IF(C1318=D1318,1,0)</x:f>
        <x:v>1</x:v>
      </x:c>
    </x:row>
    <x:row r="1319">
      <x:c r="A1319" t="str">
        <x:v>Сценарии</x:v>
      </x:c>
      <x:c r="B1319" t="str">
        <x:v>J15</x:v>
      </x:c>
      <x:c r="C1319">
        <x:v>0.17999999999999999</x:v>
      </x:c>
      <x:c r="D1319">
        <x:f>'Сценарии'!J15</x:f>
        <x:v>0.17999999999999999</x:v>
      </x:c>
      <x:c r="E1319">
        <x:f>IF(C1319=D1319,1,0)</x:f>
        <x:v>1</x:v>
      </x:c>
    </x:row>
    <x:row r="1320">
      <x:c r="A1320" t="str">
        <x:v>Сценарии</x:v>
      </x:c>
      <x:c r="B1320" t="str">
        <x:v>K15</x:v>
      </x:c>
      <x:c r="C1320">
        <x:v>0.26100000000000001</x:v>
      </x:c>
      <x:c r="D1320">
        <x:f>'Сценарии'!K15</x:f>
        <x:v>0.26100000000000001</x:v>
      </x:c>
      <x:c r="E1320">
        <x:f>IF(C1320=D1320,1,0)</x:f>
        <x:v>1</x:v>
      </x:c>
    </x:row>
    <x:row r="1321">
      <x:c r="A1321" t="str">
        <x:v>Сценарии</x:v>
      </x:c>
      <x:c r="B1321" t="str">
        <x:v>L15</x:v>
      </x:c>
      <x:c r="C1321">
        <x:v>2</x:v>
      </x:c>
      <x:c r="D1321">
        <x:f>'Сценарии'!L15</x:f>
        <x:v>2</x:v>
      </x:c>
      <x:c r="E1321">
        <x:f>IF(C1321=D1321,1,0)</x:f>
        <x:v>1</x:v>
      </x:c>
    </x:row>
    <x:row r="1322">
      <x:c r="A1322" t="str">
        <x:v>Сценарии</x:v>
      </x:c>
      <x:c r="B1322" t="str">
        <x:v>M15</x:v>
      </x:c>
      <x:c r="C1322">
        <x:v>0.5</x:v>
      </x:c>
      <x:c r="D1322">
        <x:f>'Сценарии'!M15</x:f>
        <x:v>0.5</x:v>
      </x:c>
      <x:c r="E1322">
        <x:f>IF(C1322=D1322,1,0)</x:f>
        <x:v>1</x:v>
      </x:c>
    </x:row>
    <x:row r="1323">
      <x:c r="A1323" t="str">
        <x:v>Сценарии</x:v>
      </x:c>
      <x:c r="B1323" t="str">
        <x:v>N15</x:v>
      </x:c>
      <x:c r="C1323">
        <x:v>0.80000000000000004</x:v>
      </x:c>
      <x:c r="D1323">
        <x:f>'Сценарии'!N15</x:f>
        <x:v>0.80000000000000004</x:v>
      </x:c>
      <x:c r="E1323">
        <x:f>IF(C1323=D1323,1,0)</x:f>
        <x:v>1</x:v>
      </x:c>
    </x:row>
    <x:row r="1324">
      <x:c r="A1324" t="str">
        <x:v>Сценарии</x:v>
      </x:c>
      <x:c r="B1324" t="str">
        <x:v>O15</x:v>
      </x:c>
      <x:c r="C1324">
        <x:v>1.25</x:v>
      </x:c>
      <x:c r="D1324">
        <x:f>'Сценарии'!O15</x:f>
        <x:v>1.25</x:v>
      </x:c>
      <x:c r="E1324">
        <x:f>IF(C1324=D1324,1,0)</x:f>
        <x:v>1</x:v>
      </x:c>
    </x:row>
    <x:row r="1325">
      <x:c r="A1325" t="str">
        <x:v>Сценарии</x:v>
      </x:c>
      <x:c r="B1325" t="str">
        <x:v>P15</x:v>
      </x:c>
      <x:c r="C1325">
        <x:v>0</x:v>
      </x:c>
      <x:c r="D1325">
        <x:f>'Сценарии'!P15</x:f>
        <x:v>0</x:v>
      </x:c>
      <x:c r="E1325">
        <x:f>IF(C1325=D1325,1,0)</x:f>
        <x:v>1</x:v>
      </x:c>
    </x:row>
    <x:row r="1326">
      <x:c r="A1326" t="str">
        <x:v>Сценарии</x:v>
      </x:c>
      <x:c r="B1326" t="str">
        <x:v>Q15</x:v>
      </x:c>
      <x:c r="C1326">
        <x:v>0</x:v>
      </x:c>
      <x:c r="D1326">
        <x:f>'Сценарии'!Q15</x:f>
        <x:v>0</x:v>
      </x:c>
      <x:c r="E1326">
        <x:f>IF(C1326=D1326,1,0)</x:f>
        <x:v>1</x:v>
      </x:c>
    </x:row>
    <x:row r="1327">
      <x:c r="A1327" t="str">
        <x:v>Сценарии</x:v>
      </x:c>
      <x:c r="B1327" t="str">
        <x:v>R15</x:v>
      </x:c>
      <x:c r="C1327">
        <x:v>0</x:v>
      </x:c>
      <x:c r="D1327">
        <x:f>'Сценарии'!R15</x:f>
        <x:v>0</x:v>
      </x:c>
      <x:c r="E1327">
        <x:f>IF(C1327=D1327,1,0)</x:f>
        <x:v>1</x:v>
      </x:c>
    </x:row>
    <x:row r="1328">
      <x:c r="A1328" t="str">
        <x:v>Сценарии</x:v>
      </x:c>
      <x:c r="B1328" t="str">
        <x:v>S15</x:v>
      </x:c>
      <x:c r="C1328">
        <x:v>0</x:v>
      </x:c>
      <x:c r="D1328">
        <x:f>'Сценарии'!S15</x:f>
        <x:v>0</x:v>
      </x:c>
      <x:c r="E1328">
        <x:f>IF(C1328=D1328,1,0)</x:f>
        <x:v>1</x:v>
      </x:c>
    </x:row>
    <x:row r="1329">
      <x:c r="A1329" t="str">
        <x:v>Сценарии</x:v>
      </x:c>
      <x:c r="B1329" t="str">
        <x:v>T15</x:v>
      </x:c>
      <x:c r="C1329">
        <x:v>0</x:v>
      </x:c>
      <x:c r="D1329">
        <x:f>'Сценарии'!T15</x:f>
        <x:v>0</x:v>
      </x:c>
      <x:c r="E1329">
        <x:f>IF(C1329=D1329,1,0)</x:f>
        <x:v>1</x:v>
      </x:c>
    </x:row>
    <x:row r="1330">
      <x:c r="A1330" t="str">
        <x:v>Сценарии</x:v>
      </x:c>
      <x:c r="B1330" t="str">
        <x:v>U15</x:v>
      </x:c>
      <x:c r="C1330">
        <x:v>1</x:v>
      </x:c>
      <x:c r="D1330">
        <x:f>'Сценарии'!U15</x:f>
        <x:v>1</x:v>
      </x:c>
      <x:c r="E1330">
        <x:f>IF(C1330=D1330,1,0)</x:f>
        <x:v>1</x:v>
      </x:c>
    </x:row>
    <x:row r="1331">
      <x:c r="A1331" t="str">
        <x:v>Сценарии</x:v>
      </x:c>
      <x:c r="B1331" t="str">
        <x:v>V15</x:v>
      </x:c>
      <x:c r="C1331">
        <x:v>1</x:v>
      </x:c>
      <x:c r="D1331">
        <x:f>'Сценарии'!V15</x:f>
        <x:v>1</x:v>
      </x:c>
      <x:c r="E1331">
        <x:f>IF(C1331=D1331,1,0)</x:f>
        <x:v>1</x:v>
      </x:c>
    </x:row>
    <x:row r="1332">
      <x:c r="A1332" t="str">
        <x:v>Сценарии</x:v>
      </x:c>
      <x:c r="B1332" t="str">
        <x:v>X15</x:v>
      </x:c>
      <x:c r="C1332">
        <x:v>1.5</x:v>
      </x:c>
      <x:c r="D1332">
        <x:f>'Сценарии'!X15</x:f>
        <x:v>1.5</x:v>
      </x:c>
      <x:c r="E1332">
        <x:f>IF(C1332=D1332,1,0)</x:f>
        <x:v>1</x:v>
      </x:c>
    </x:row>
    <x:row r="1333">
      <x:c r="A1333" t="str">
        <x:v>Сценарии</x:v>
      </x:c>
      <x:c r="B1333" t="str">
        <x:v>Y15</x:v>
      </x:c>
      <x:c r="C1333">
        <x:v>0.20000000000000001</x:v>
      </x:c>
      <x:c r="D1333">
        <x:f>'Сценарии'!Y15</x:f>
        <x:v>0.20000000000000001</x:v>
      </x:c>
      <x:c r="E1333">
        <x:f>IF(C1333=D1333,1,0)</x:f>
        <x:v>1</x:v>
      </x:c>
    </x:row>
    <x:row r="1334">
      <x:c r="A1334" t="str">
        <x:v>Сценарии</x:v>
      </x:c>
      <x:c r="B1334" t="str">
        <x:v>Z15</x:v>
      </x:c>
      <x:c r="C1334">
        <x:v>1</x:v>
      </x:c>
      <x:c r="D1334">
        <x:f>'Сценарии'!Z15</x:f>
        <x:v>1</x:v>
      </x:c>
      <x:c r="E1334">
        <x:f>IF(C1334=D1334,1,0)</x:f>
        <x:v>1</x:v>
      </x:c>
    </x:row>
    <x:row r="1335">
      <x:c r="A1335" t="str">
        <x:v>Сценарии</x:v>
      </x:c>
      <x:c r="B1335" t="str">
        <x:v>AA15</x:v>
      </x:c>
      <x:c r="C1335">
        <x:v>0.29999999999999999</x:v>
      </x:c>
      <x:c r="D1335">
        <x:f>'Сценарии'!AA15</x:f>
        <x:v>0.29999999999999999</x:v>
      </x:c>
      <x:c r="E1335">
        <x:f>IF(C1335=D1335,1,0)</x:f>
        <x:v>1</x:v>
      </x:c>
    </x:row>
    <x:row r="1336">
      <x:c r="A1336" t="str">
        <x:v>Сценарии</x:v>
      </x:c>
      <x:c r="B1336" t="str">
        <x:v>AB15</x:v>
      </x:c>
      <x:c r="C1336">
        <x:v>0.40000000000000002</x:v>
      </x:c>
      <x:c r="D1336">
        <x:f>'Сценарии'!AB15</x:f>
        <x:v>0.40000000000000002</x:v>
      </x:c>
      <x:c r="E1336">
        <x:f>IF(C1336=D1336,1,0)</x:f>
        <x:v>1</x:v>
      </x:c>
    </x:row>
    <x:row r="1337">
      <x:c r="A1337" t="str">
        <x:v>Сценарии</x:v>
      </x:c>
      <x:c r="B1337" t="str">
        <x:v>AC15</x:v>
      </x:c>
      <x:c r="C1337">
        <x:v>1</x:v>
      </x:c>
      <x:c r="D1337">
        <x:f>'Сценарии'!AC15</x:f>
        <x:v>1</x:v>
      </x:c>
      <x:c r="E1337">
        <x:f>IF(C1337=D1337,1,0)</x:f>
        <x:v>1</x:v>
      </x:c>
    </x:row>
    <x:row r="1338">
      <x:c r="A1338" t="str">
        <x:v>Сценарии</x:v>
      </x:c>
      <x:c r="B1338" t="str">
        <x:v>D16</x:v>
      </x:c>
      <x:c r="C1338">
        <x:v>44000000</x:v>
      </x:c>
      <x:c r="D1338">
        <x:f>'Сценарии'!D16</x:f>
        <x:v>44000000</x:v>
      </x:c>
      <x:c r="E1338">
        <x:f>IF(C1338=D1338,1,0)</x:f>
        <x:v>1</x:v>
      </x:c>
    </x:row>
    <x:row r="1339">
      <x:c r="A1339" t="str">
        <x:v>Сценарии</x:v>
      </x:c>
      <x:c r="B1339" t="str">
        <x:v>E16</x:v>
      </x:c>
      <x:c r="C1339">
        <x:v>84000000</x:v>
      </x:c>
      <x:c r="D1339">
        <x:f>'Сценарии'!E16</x:f>
        <x:v>84000000</x:v>
      </x:c>
      <x:c r="E1339">
        <x:f>IF(C1339=D1339,1,0)</x:f>
        <x:v>1</x:v>
      </x:c>
    </x:row>
    <x:row r="1340">
      <x:c r="A1340" t="str">
        <x:v>Сценарии</x:v>
      </x:c>
      <x:c r="B1340" t="str">
        <x:v>F16</x:v>
      </x:c>
      <x:c r="C1340">
        <x:v>0.27999999999999997</x:v>
      </x:c>
      <x:c r="D1340">
        <x:f>'Сценарии'!F16</x:f>
        <x:v>0.27999999999999997</x:v>
      </x:c>
      <x:c r="E1340">
        <x:f>IF(C1340=D1340,1,0)</x:f>
        <x:v>1</x:v>
      </x:c>
    </x:row>
    <x:row r="1341">
      <x:c r="A1341" t="str">
        <x:v>Сценарии</x:v>
      </x:c>
      <x:c r="B1341" t="str">
        <x:v>G16</x:v>
      </x:c>
      <x:c r="C1341">
        <x:v>0.12</x:v>
      </x:c>
      <x:c r="D1341">
        <x:f>'Сценарии'!G16</x:f>
        <x:v>0.12</x:v>
      </x:c>
      <x:c r="E1341">
        <x:f>IF(C1341=D1341,1,0)</x:f>
        <x:v>1</x:v>
      </x:c>
    </x:row>
    <x:row r="1342">
      <x:c r="A1342" t="str">
        <x:v>Сценарии</x:v>
      </x:c>
      <x:c r="B1342" t="str">
        <x:v>H16</x:v>
      </x:c>
      <x:c r="C1342">
        <x:v>0.17999999999999999</x:v>
      </x:c>
      <x:c r="D1342">
        <x:f>'Сценарии'!H16</x:f>
        <x:v>0.17999999999999999</x:v>
      </x:c>
      <x:c r="E1342">
        <x:f>IF(C1342=D1342,1,0)</x:f>
        <x:v>1</x:v>
      </x:c>
    </x:row>
    <x:row r="1343">
      <x:c r="A1343" t="str">
        <x:v>Сценарии</x:v>
      </x:c>
      <x:c r="B1343" t="str">
        <x:v>I16</x:v>
      </x:c>
      <x:c r="C1343">
        <x:v>0.41999999999999998</x:v>
      </x:c>
      <x:c r="D1343">
        <x:f>'Сценарии'!I16</x:f>
        <x:v>0.41999999999999998</x:v>
      </x:c>
      <x:c r="E1343">
        <x:f>IF(C1343=D1343,1,0)</x:f>
        <x:v>1</x:v>
      </x:c>
    </x:row>
    <x:row r="1344">
      <x:c r="A1344" t="str">
        <x:v>Сценарии</x:v>
      </x:c>
      <x:c r="B1344" t="str">
        <x:v>J16</x:v>
      </x:c>
      <x:c r="C1344">
        <x:v>0.14999999999999999</x:v>
      </x:c>
      <x:c r="D1344">
        <x:f>'Сценарии'!J16</x:f>
        <x:v>0.14999999999999999</x:v>
      </x:c>
      <x:c r="E1344">
        <x:f>IF(C1344=D1344,1,0)</x:f>
        <x:v>1</x:v>
      </x:c>
    </x:row>
    <x:row r="1345">
      <x:c r="A1345" t="str">
        <x:v>Сценарии</x:v>
      </x:c>
      <x:c r="B1345" t="str">
        <x:v>K16</x:v>
      </x:c>
      <x:c r="C1345">
        <x:v>0.23099999999999998</x:v>
      </x:c>
      <x:c r="D1345">
        <x:f>'Сценарии'!K16</x:f>
        <x:v>0.23099999999999998</x:v>
      </x:c>
      <x:c r="E1345">
        <x:f>IF(C1345=D1345,1,0)</x:f>
        <x:v>1</x:v>
      </x:c>
    </x:row>
    <x:row r="1346">
      <x:c r="A1346" t="str">
        <x:v>Сценарии</x:v>
      </x:c>
      <x:c r="B1346" t="str">
        <x:v>L16</x:v>
      </x:c>
      <x:c r="C1346">
        <x:v>2</x:v>
      </x:c>
      <x:c r="D1346">
        <x:f>'Сценарии'!L16</x:f>
        <x:v>2</x:v>
      </x:c>
      <x:c r="E1346">
        <x:f>IF(C1346=D1346,1,0)</x:f>
        <x:v>1</x:v>
      </x:c>
    </x:row>
    <x:row r="1347">
      <x:c r="A1347" t="str">
        <x:v>Сценарии</x:v>
      </x:c>
      <x:c r="B1347" t="str">
        <x:v>M16</x:v>
      </x:c>
      <x:c r="C1347">
        <x:v>0.5</x:v>
      </x:c>
      <x:c r="D1347">
        <x:f>'Сценарии'!M16</x:f>
        <x:v>0.5</x:v>
      </x:c>
      <x:c r="E1347">
        <x:f>IF(C1347=D1347,1,0)</x:f>
        <x:v>1</x:v>
      </x:c>
    </x:row>
    <x:row r="1348">
      <x:c r="A1348" t="str">
        <x:v>Сценарии</x:v>
      </x:c>
      <x:c r="B1348" t="str">
        <x:v>N16</x:v>
      </x:c>
      <x:c r="C1348">
        <x:v>0.80000000000000004</x:v>
      </x:c>
      <x:c r="D1348">
        <x:f>'Сценарии'!N16</x:f>
        <x:v>0.80000000000000004</x:v>
      </x:c>
      <x:c r="E1348">
        <x:f>IF(C1348=D1348,1,0)</x:f>
        <x:v>1</x:v>
      </x:c>
    </x:row>
    <x:row r="1349">
      <x:c r="A1349" t="str">
        <x:v>Сценарии</x:v>
      </x:c>
      <x:c r="B1349" t="str">
        <x:v>O16</x:v>
      </x:c>
      <x:c r="C1349">
        <x:v>1</x:v>
      </x:c>
      <x:c r="D1349">
        <x:f>'Сценарии'!O16</x:f>
        <x:v>1</x:v>
      </x:c>
      <x:c r="E1349">
        <x:f>IF(C1349=D1349,1,0)</x:f>
        <x:v>1</x:v>
      </x:c>
    </x:row>
    <x:row r="1350">
      <x:c r="A1350" t="str">
        <x:v>Сценарии</x:v>
      </x:c>
      <x:c r="B1350" t="str">
        <x:v>P16</x:v>
      </x:c>
      <x:c r="C1350">
        <x:v>1</x:v>
      </x:c>
      <x:c r="D1350">
        <x:f>'Сценарии'!P16</x:f>
        <x:v>1</x:v>
      </x:c>
      <x:c r="E1350">
        <x:f>IF(C1350=D1350,1,0)</x:f>
        <x:v>1</x:v>
      </x:c>
    </x:row>
    <x:row r="1351">
      <x:c r="A1351" t="str">
        <x:v>Сценарии</x:v>
      </x:c>
      <x:c r="B1351" t="str">
        <x:v>Q16</x:v>
      </x:c>
      <x:c r="C1351">
        <x:v>0.25</x:v>
      </x:c>
      <x:c r="D1351">
        <x:f>'Сценарии'!Q16</x:f>
        <x:v>0.25</x:v>
      </x:c>
      <x:c r="E1351">
        <x:f>IF(C1351=D1351,1,0)</x:f>
        <x:v>1</x:v>
      </x:c>
    </x:row>
    <x:row r="1352">
      <x:c r="A1352" t="str">
        <x:v>Сценарии</x:v>
      </x:c>
      <x:c r="B1352" t="str">
        <x:v>R16</x:v>
      </x:c>
      <x:c r="C1352">
        <x:v>0</x:v>
      </x:c>
      <x:c r="D1352">
        <x:f>'Сценарии'!R16</x:f>
        <x:v>0</x:v>
      </x:c>
      <x:c r="E1352">
        <x:f>IF(C1352=D1352,1,0)</x:f>
        <x:v>1</x:v>
      </x:c>
    </x:row>
    <x:row r="1353">
      <x:c r="A1353" t="str">
        <x:v>Сценарии</x:v>
      </x:c>
      <x:c r="B1353" t="str">
        <x:v>S16</x:v>
      </x:c>
      <x:c r="C1353">
        <x:v>0</x:v>
      </x:c>
      <x:c r="D1353">
        <x:f>'Сценарии'!S16</x:f>
        <x:v>0</x:v>
      </x:c>
      <x:c r="E1353">
        <x:f>IF(C1353=D1353,1,0)</x:f>
        <x:v>1</x:v>
      </x:c>
    </x:row>
    <x:row r="1354">
      <x:c r="A1354" t="str">
        <x:v>Сценарии</x:v>
      </x:c>
      <x:c r="B1354" t="str">
        <x:v>T16</x:v>
      </x:c>
      <x:c r="C1354">
        <x:v>0</x:v>
      </x:c>
      <x:c r="D1354">
        <x:f>'Сценарии'!T16</x:f>
        <x:v>0</x:v>
      </x:c>
      <x:c r="E1354">
        <x:f>IF(C1354=D1354,1,0)</x:f>
        <x:v>1</x:v>
      </x:c>
    </x:row>
    <x:row r="1355">
      <x:c r="A1355" t="str">
        <x:v>Сценарии</x:v>
      </x:c>
      <x:c r="B1355" t="str">
        <x:v>U16</x:v>
      </x:c>
      <x:c r="C1355">
        <x:v>1</x:v>
      </x:c>
      <x:c r="D1355">
        <x:f>'Сценарии'!U16</x:f>
        <x:v>1</x:v>
      </x:c>
      <x:c r="E1355">
        <x:f>IF(C1355=D1355,1,0)</x:f>
        <x:v>1</x:v>
      </x:c>
    </x:row>
    <x:row r="1356">
      <x:c r="A1356" t="str">
        <x:v>Сценарии</x:v>
      </x:c>
      <x:c r="B1356" t="str">
        <x:v>V16</x:v>
      </x:c>
      <x:c r="C1356">
        <x:v>1</x:v>
      </x:c>
      <x:c r="D1356">
        <x:f>'Сценарии'!V16</x:f>
        <x:v>1</x:v>
      </x:c>
      <x:c r="E1356">
        <x:f>IF(C1356=D1356,1,0)</x:f>
        <x:v>1</x:v>
      </x:c>
    </x:row>
    <x:row r="1357">
      <x:c r="A1357" t="str">
        <x:v>Сценарии</x:v>
      </x:c>
      <x:c r="B1357" t="str">
        <x:v>X16</x:v>
      </x:c>
      <x:c r="C1357">
        <x:v>1.5</x:v>
      </x:c>
      <x:c r="D1357">
        <x:f>'Сценарии'!X16</x:f>
        <x:v>1.5</x:v>
      </x:c>
      <x:c r="E1357">
        <x:f>IF(C1357=D1357,1,0)</x:f>
        <x:v>1</x:v>
      </x:c>
    </x:row>
    <x:row r="1358">
      <x:c r="A1358" t="str">
        <x:v>Сценарии</x:v>
      </x:c>
      <x:c r="B1358" t="str">
        <x:v>Y16</x:v>
      </x:c>
      <x:c r="C1358">
        <x:v>0.20000000000000001</x:v>
      </x:c>
      <x:c r="D1358">
        <x:f>'Сценарии'!Y16</x:f>
        <x:v>0.20000000000000001</x:v>
      </x:c>
      <x:c r="E1358">
        <x:f>IF(C1358=D1358,1,0)</x:f>
        <x:v>1</x:v>
      </x:c>
    </x:row>
    <x:row r="1359">
      <x:c r="A1359" t="str">
        <x:v>Сценарии</x:v>
      </x:c>
      <x:c r="B1359" t="str">
        <x:v>Z16</x:v>
      </x:c>
      <x:c r="C1359">
        <x:v>1</x:v>
      </x:c>
      <x:c r="D1359">
        <x:f>'Сценарии'!Z16</x:f>
        <x:v>1</x:v>
      </x:c>
      <x:c r="E1359">
        <x:f>IF(C1359=D1359,1,0)</x:f>
        <x:v>1</x:v>
      </x:c>
    </x:row>
    <x:row r="1360">
      <x:c r="A1360" t="str">
        <x:v>Сценарии</x:v>
      </x:c>
      <x:c r="B1360" t="str">
        <x:v>AA16</x:v>
      </x:c>
      <x:c r="C1360">
        <x:v>0.29999999999999999</x:v>
      </x:c>
      <x:c r="D1360">
        <x:f>'Сценарии'!AA16</x:f>
        <x:v>0.29999999999999999</x:v>
      </x:c>
      <x:c r="E1360">
        <x:f>IF(C1360=D1360,1,0)</x:f>
        <x:v>1</x:v>
      </x:c>
    </x:row>
    <x:row r="1361">
      <x:c r="A1361" t="str">
        <x:v>Сценарии</x:v>
      </x:c>
      <x:c r="B1361" t="str">
        <x:v>AB16</x:v>
      </x:c>
      <x:c r="C1361">
        <x:v>0.40000000000000002</x:v>
      </x:c>
      <x:c r="D1361">
        <x:f>'Сценарии'!AB16</x:f>
        <x:v>0.40000000000000002</x:v>
      </x:c>
      <x:c r="E1361">
        <x:f>IF(C1361=D1361,1,0)</x:f>
        <x:v>1</x:v>
      </x:c>
    </x:row>
    <x:row r="1362">
      <x:c r="A1362" t="str">
        <x:v>Сценарии</x:v>
      </x:c>
      <x:c r="B1362" t="str">
        <x:v>AC16</x:v>
      </x:c>
      <x:c r="C1362">
        <x:v>1</x:v>
      </x:c>
      <x:c r="D1362">
        <x:f>'Сценарии'!AC16</x:f>
        <x:v>1</x:v>
      </x:c>
      <x:c r="E1362">
        <x:f>IF(C1362=D1362,1,0)</x:f>
        <x:v>1</x:v>
      </x:c>
    </x:row>
    <x:row r="1363">
      <x:c r="A1363" t="str">
        <x:v>Сценарии</x:v>
      </x:c>
      <x:c r="B1363" t="str">
        <x:v>D17</x:v>
      </x:c>
      <x:c r="C1363">
        <x:v>44000000</x:v>
      </x:c>
      <x:c r="D1363">
        <x:f>'Сценарии'!D17</x:f>
        <x:v>44000000</x:v>
      </x:c>
      <x:c r="E1363">
        <x:f>IF(C1363=D1363,1,0)</x:f>
        <x:v>1</x:v>
      </x:c>
    </x:row>
    <x:row r="1364">
      <x:c r="A1364" t="str">
        <x:v>Сценарии</x:v>
      </x:c>
      <x:c r="B1364" t="str">
        <x:v>E17</x:v>
      </x:c>
      <x:c r="C1364">
        <x:v>84000000</x:v>
      </x:c>
      <x:c r="D1364">
        <x:f>'Сценарии'!E17</x:f>
        <x:v>84000000</x:v>
      </x:c>
      <x:c r="E1364">
        <x:f>IF(C1364=D1364,1,0)</x:f>
        <x:v>1</x:v>
      </x:c>
    </x:row>
    <x:row r="1365">
      <x:c r="A1365" t="str">
        <x:v>Сценарии</x:v>
      </x:c>
      <x:c r="B1365" t="str">
        <x:v>F17</x:v>
      </x:c>
      <x:c r="C1365">
        <x:v>0.27999999999999997</x:v>
      </x:c>
      <x:c r="D1365">
        <x:f>'Сценарии'!F17</x:f>
        <x:v>0.27999999999999997</x:v>
      </x:c>
      <x:c r="E1365">
        <x:f>IF(C1365=D1365,1,0)</x:f>
        <x:v>1</x:v>
      </x:c>
    </x:row>
    <x:row r="1366">
      <x:c r="A1366" t="str">
        <x:v>Сценарии</x:v>
      </x:c>
      <x:c r="B1366" t="str">
        <x:v>G17</x:v>
      </x:c>
      <x:c r="C1366">
        <x:v>0.12</x:v>
      </x:c>
      <x:c r="D1366">
        <x:f>'Сценарии'!G17</x:f>
        <x:v>0.12</x:v>
      </x:c>
      <x:c r="E1366">
        <x:f>IF(C1366=D1366,1,0)</x:f>
        <x:v>1</x:v>
      </x:c>
    </x:row>
    <x:row r="1367">
      <x:c r="A1367" t="str">
        <x:v>Сценарии</x:v>
      </x:c>
      <x:c r="B1367" t="str">
        <x:v>H17</x:v>
      </x:c>
      <x:c r="C1367">
        <x:v>0.17999999999999999</x:v>
      </x:c>
      <x:c r="D1367">
        <x:f>'Сценарии'!H17</x:f>
        <x:v>0.17999999999999999</x:v>
      </x:c>
      <x:c r="E1367">
        <x:f>IF(C1367=D1367,1,0)</x:f>
        <x:v>1</x:v>
      </x:c>
    </x:row>
    <x:row r="1368">
      <x:c r="A1368" t="str">
        <x:v>Сценарии</x:v>
      </x:c>
      <x:c r="B1368" t="str">
        <x:v>I17</x:v>
      </x:c>
      <x:c r="C1368">
        <x:v>0.41999999999999998</x:v>
      </x:c>
      <x:c r="D1368">
        <x:f>'Сценарии'!I17</x:f>
        <x:v>0.41999999999999998</x:v>
      </x:c>
      <x:c r="E1368">
        <x:f>IF(C1368=D1368,1,0)</x:f>
        <x:v>1</x:v>
      </x:c>
    </x:row>
    <x:row r="1369">
      <x:c r="A1369" t="str">
        <x:v>Сценарии</x:v>
      </x:c>
      <x:c r="B1369" t="str">
        <x:v>J17</x:v>
      </x:c>
      <x:c r="C1369">
        <x:v>0.14999999999999999</x:v>
      </x:c>
      <x:c r="D1369">
        <x:f>'Сценарии'!J17</x:f>
        <x:v>0.14999999999999999</x:v>
      </x:c>
      <x:c r="E1369">
        <x:f>IF(C1369=D1369,1,0)</x:f>
        <x:v>1</x:v>
      </x:c>
    </x:row>
    <x:row r="1370">
      <x:c r="A1370" t="str">
        <x:v>Сценарии</x:v>
      </x:c>
      <x:c r="B1370" t="str">
        <x:v>K17</x:v>
      </x:c>
      <x:c r="C1370">
        <x:v>0.23099999999999998</x:v>
      </x:c>
      <x:c r="D1370">
        <x:f>'Сценарии'!K17</x:f>
        <x:v>0.23099999999999998</x:v>
      </x:c>
      <x:c r="E1370">
        <x:f>IF(C1370=D1370,1,0)</x:f>
        <x:v>1</x:v>
      </x:c>
    </x:row>
    <x:row r="1371">
      <x:c r="A1371" t="str">
        <x:v>Сценарии</x:v>
      </x:c>
      <x:c r="B1371" t="str">
        <x:v>L17</x:v>
      </x:c>
      <x:c r="C1371">
        <x:v>2</x:v>
      </x:c>
      <x:c r="D1371">
        <x:f>'Сценарии'!L17</x:f>
        <x:v>2</x:v>
      </x:c>
      <x:c r="E1371">
        <x:f>IF(C1371=D1371,1,0)</x:f>
        <x:v>1</x:v>
      </x:c>
    </x:row>
    <x:row r="1372">
      <x:c r="A1372" t="str">
        <x:v>Сценарии</x:v>
      </x:c>
      <x:c r="B1372" t="str">
        <x:v>M17</x:v>
      </x:c>
      <x:c r="C1372">
        <x:v>0.5</x:v>
      </x:c>
      <x:c r="D1372">
        <x:f>'Сценарии'!M17</x:f>
        <x:v>0.5</x:v>
      </x:c>
      <x:c r="E1372">
        <x:f>IF(C1372=D1372,1,0)</x:f>
        <x:v>1</x:v>
      </x:c>
    </x:row>
    <x:row r="1373">
      <x:c r="A1373" t="str">
        <x:v>Сценарии</x:v>
      </x:c>
      <x:c r="B1373" t="str">
        <x:v>N17</x:v>
      </x:c>
      <x:c r="C1373">
        <x:v>0.80000000000000004</x:v>
      </x:c>
      <x:c r="D1373">
        <x:f>'Сценарии'!N17</x:f>
        <x:v>0.80000000000000004</x:v>
      </x:c>
      <x:c r="E1373">
        <x:f>IF(C1373=D1373,1,0)</x:f>
        <x:v>1</x:v>
      </x:c>
    </x:row>
    <x:row r="1374">
      <x:c r="A1374" t="str">
        <x:v>Сценарии</x:v>
      </x:c>
      <x:c r="B1374" t="str">
        <x:v>O17</x:v>
      </x:c>
      <x:c r="C1374">
        <x:v>1</x:v>
      </x:c>
      <x:c r="D1374">
        <x:f>'Сценарии'!O17</x:f>
        <x:v>1</x:v>
      </x:c>
      <x:c r="E1374">
        <x:f>IF(C1374=D1374,1,0)</x:f>
        <x:v>1</x:v>
      </x:c>
    </x:row>
    <x:row r="1375">
      <x:c r="A1375" t="str">
        <x:v>Сценарии</x:v>
      </x:c>
      <x:c r="B1375" t="str">
        <x:v>P17</x:v>
      </x:c>
      <x:c r="C1375">
        <x:v>0.25</x:v>
      </x:c>
      <x:c r="D1375">
        <x:f>'Сценарии'!P17</x:f>
        <x:v>0.25</x:v>
      </x:c>
      <x:c r="E1375">
        <x:f>IF(C1375=D1375,1,0)</x:f>
        <x:v>1</x:v>
      </x:c>
    </x:row>
    <x:row r="1376">
      <x:c r="A1376" t="str">
        <x:v>Сценарии</x:v>
      </x:c>
      <x:c r="B1376" t="str">
        <x:v>Q17</x:v>
      </x:c>
      <x:c r="C1376">
        <x:v>0.25</x:v>
      </x:c>
      <x:c r="D1376">
        <x:f>'Сценарии'!Q17</x:f>
        <x:v>0.25</x:v>
      </x:c>
      <x:c r="E1376">
        <x:f>IF(C1376=D1376,1,0)</x:f>
        <x:v>1</x:v>
      </x:c>
    </x:row>
    <x:row r="1377">
      <x:c r="A1377" t="str">
        <x:v>Сценарии</x:v>
      </x:c>
      <x:c r="B1377" t="str">
        <x:v>R17</x:v>
      </x:c>
      <x:c r="C1377">
        <x:v>0.0050000000000000001</x:v>
      </x:c>
      <x:c r="D1377">
        <x:f>'Сценарии'!R17</x:f>
        <x:v>0.0050000000000000001</x:v>
      </x:c>
      <x:c r="E1377">
        <x:f>IF(C1377=D1377,1,0)</x:f>
        <x:v>1</x:v>
      </x:c>
    </x:row>
    <x:row r="1378">
      <x:c r="A1378" t="str">
        <x:v>Сценарии</x:v>
      </x:c>
      <x:c r="B1378" t="str">
        <x:v>S17</x:v>
      </x:c>
      <x:c r="C1378">
        <x:v>0</x:v>
      </x:c>
      <x:c r="D1378">
        <x:f>'Сценарии'!S17</x:f>
        <x:v>0</x:v>
      </x:c>
      <x:c r="E1378">
        <x:f>IF(C1378=D1378,1,0)</x:f>
        <x:v>1</x:v>
      </x:c>
    </x:row>
    <x:row r="1379">
      <x:c r="A1379" t="str">
        <x:v>Сценарии</x:v>
      </x:c>
      <x:c r="B1379" t="str">
        <x:v>T17</x:v>
      </x:c>
      <x:c r="C1379">
        <x:v>0</x:v>
      </x:c>
      <x:c r="D1379">
        <x:f>'Сценарии'!T17</x:f>
        <x:v>0</x:v>
      </x:c>
      <x:c r="E1379">
        <x:f>IF(C1379=D1379,1,0)</x:f>
        <x:v>1</x:v>
      </x:c>
    </x:row>
    <x:row r="1380">
      <x:c r="A1380" t="str">
        <x:v>Сценарии</x:v>
      </x:c>
      <x:c r="B1380" t="str">
        <x:v>U17</x:v>
      </x:c>
      <x:c r="C1380">
        <x:v>1</x:v>
      </x:c>
      <x:c r="D1380">
        <x:f>'Сценарии'!U17</x:f>
        <x:v>1</x:v>
      </x:c>
      <x:c r="E1380">
        <x:f>IF(C1380=D1380,1,0)</x:f>
        <x:v>1</x:v>
      </x:c>
    </x:row>
    <x:row r="1381">
      <x:c r="A1381" t="str">
        <x:v>Сценарии</x:v>
      </x:c>
      <x:c r="B1381" t="str">
        <x:v>V17</x:v>
      </x:c>
      <x:c r="C1381">
        <x:v>1</x:v>
      </x:c>
      <x:c r="D1381">
        <x:f>'Сценарии'!V17</x:f>
        <x:v>1</x:v>
      </x:c>
      <x:c r="E1381">
        <x:f>IF(C1381=D1381,1,0)</x:f>
        <x:v>1</x:v>
      </x:c>
    </x:row>
    <x:row r="1382">
      <x:c r="A1382" t="str">
        <x:v>Сценарии</x:v>
      </x:c>
      <x:c r="B1382" t="str">
        <x:v>X17</x:v>
      </x:c>
      <x:c r="C1382">
        <x:v>1.5</x:v>
      </x:c>
      <x:c r="D1382">
        <x:f>'Сценарии'!X17</x:f>
        <x:v>1.5</x:v>
      </x:c>
      <x:c r="E1382">
        <x:f>IF(C1382=D1382,1,0)</x:f>
        <x:v>1</x:v>
      </x:c>
    </x:row>
    <x:row r="1383">
      <x:c r="A1383" t="str">
        <x:v>Сценарии</x:v>
      </x:c>
      <x:c r="B1383" t="str">
        <x:v>Y17</x:v>
      </x:c>
      <x:c r="C1383">
        <x:v>0.20000000000000001</x:v>
      </x:c>
      <x:c r="D1383">
        <x:f>'Сценарии'!Y17</x:f>
        <x:v>0.20000000000000001</x:v>
      </x:c>
      <x:c r="E1383">
        <x:f>IF(C1383=D1383,1,0)</x:f>
        <x:v>1</x:v>
      </x:c>
    </x:row>
    <x:row r="1384">
      <x:c r="A1384" t="str">
        <x:v>Сценарии</x:v>
      </x:c>
      <x:c r="B1384" t="str">
        <x:v>Z17</x:v>
      </x:c>
      <x:c r="C1384">
        <x:v>1</x:v>
      </x:c>
      <x:c r="D1384">
        <x:f>'Сценарии'!Z17</x:f>
        <x:v>1</x:v>
      </x:c>
      <x:c r="E1384">
        <x:f>IF(C1384=D1384,1,0)</x:f>
        <x:v>1</x:v>
      </x:c>
    </x:row>
    <x:row r="1385">
      <x:c r="A1385" t="str">
        <x:v>Сценарии</x:v>
      </x:c>
      <x:c r="B1385" t="str">
        <x:v>AA17</x:v>
      </x:c>
      <x:c r="C1385">
        <x:v>0.29999999999999999</x:v>
      </x:c>
      <x:c r="D1385">
        <x:f>'Сценарии'!AA17</x:f>
        <x:v>0.29999999999999999</x:v>
      </x:c>
      <x:c r="E1385">
        <x:f>IF(C1385=D1385,1,0)</x:f>
        <x:v>1</x:v>
      </x:c>
    </x:row>
    <x:row r="1386">
      <x:c r="A1386" t="str">
        <x:v>Сценарии</x:v>
      </x:c>
      <x:c r="B1386" t="str">
        <x:v>AB17</x:v>
      </x:c>
      <x:c r="C1386">
        <x:v>0.40000000000000002</x:v>
      </x:c>
      <x:c r="D1386">
        <x:f>'Сценарии'!AB17</x:f>
        <x:v>0.40000000000000002</x:v>
      </x:c>
      <x:c r="E1386">
        <x:f>IF(C1386=D1386,1,0)</x:f>
        <x:v>1</x:v>
      </x:c>
    </x:row>
    <x:row r="1387">
      <x:c r="A1387" t="str">
        <x:v>Сценарии</x:v>
      </x:c>
      <x:c r="B1387" t="str">
        <x:v>AC17</x:v>
      </x:c>
      <x:c r="C1387">
        <x:v>1</x:v>
      </x:c>
      <x:c r="D1387">
        <x:f>'Сценарии'!AC17</x:f>
        <x:v>1</x:v>
      </x:c>
      <x:c r="E1387">
        <x:f>IF(C1387=D1387,1,0)</x:f>
        <x:v>1</x:v>
      </x:c>
    </x:row>
    <x:row r="1388">
      <x:c r="A1388" t="str">
        <x:v>Сценарии</x:v>
      </x:c>
      <x:c r="B1388" t="str">
        <x:v>D18</x:v>
      </x:c>
      <x:c r="C1388">
        <x:v>44000000</x:v>
      </x:c>
      <x:c r="D1388">
        <x:f>'Сценарии'!D18</x:f>
        <x:v>44000000</x:v>
      </x:c>
      <x:c r="E1388">
        <x:f>IF(C1388=D1388,1,0)</x:f>
        <x:v>1</x:v>
      </x:c>
    </x:row>
    <x:row r="1389">
      <x:c r="A1389" t="str">
        <x:v>Сценарии</x:v>
      </x:c>
      <x:c r="B1389" t="str">
        <x:v>E18</x:v>
      </x:c>
      <x:c r="C1389">
        <x:v>84000000</x:v>
      </x:c>
      <x:c r="D1389">
        <x:f>'Сценарии'!E18</x:f>
        <x:v>84000000</x:v>
      </x:c>
      <x:c r="E1389">
        <x:f>IF(C1389=D1389,1,0)</x:f>
        <x:v>1</x:v>
      </x:c>
    </x:row>
    <x:row r="1390">
      <x:c r="A1390" t="str">
        <x:v>Сценарии</x:v>
      </x:c>
      <x:c r="B1390" t="str">
        <x:v>F18</x:v>
      </x:c>
      <x:c r="C1390">
        <x:v>0.27999999999999997</x:v>
      </x:c>
      <x:c r="D1390">
        <x:f>'Сценарии'!F18</x:f>
        <x:v>0.27999999999999997</x:v>
      </x:c>
      <x:c r="E1390">
        <x:f>IF(C1390=D1390,1,0)</x:f>
        <x:v>1</x:v>
      </x:c>
    </x:row>
    <x:row r="1391">
      <x:c r="A1391" t="str">
        <x:v>Сценарии</x:v>
      </x:c>
      <x:c r="B1391" t="str">
        <x:v>G18</x:v>
      </x:c>
      <x:c r="C1391">
        <x:v>0.12</x:v>
      </x:c>
      <x:c r="D1391">
        <x:f>'Сценарии'!G18</x:f>
        <x:v>0.12</x:v>
      </x:c>
      <x:c r="E1391">
        <x:f>IF(C1391=D1391,1,0)</x:f>
        <x:v>1</x:v>
      </x:c>
    </x:row>
    <x:row r="1392">
      <x:c r="A1392" t="str">
        <x:v>Сценарии</x:v>
      </x:c>
      <x:c r="B1392" t="str">
        <x:v>H18</x:v>
      </x:c>
      <x:c r="C1392">
        <x:v>0.17999999999999999</x:v>
      </x:c>
      <x:c r="D1392">
        <x:f>'Сценарии'!H18</x:f>
        <x:v>0.17999999999999999</x:v>
      </x:c>
      <x:c r="E1392">
        <x:f>IF(C1392=D1392,1,0)</x:f>
        <x:v>1</x:v>
      </x:c>
    </x:row>
    <x:row r="1393">
      <x:c r="A1393" t="str">
        <x:v>Сценарии</x:v>
      </x:c>
      <x:c r="B1393" t="str">
        <x:v>I18</x:v>
      </x:c>
      <x:c r="C1393">
        <x:v>0.41999999999999998</x:v>
      </x:c>
      <x:c r="D1393">
        <x:f>'Сценарии'!I18</x:f>
        <x:v>0.41999999999999998</x:v>
      </x:c>
      <x:c r="E1393">
        <x:f>IF(C1393=D1393,1,0)</x:f>
        <x:v>1</x:v>
      </x:c>
    </x:row>
    <x:row r="1394">
      <x:c r="A1394" t="str">
        <x:v>Сценарии</x:v>
      </x:c>
      <x:c r="B1394" t="str">
        <x:v>J18</x:v>
      </x:c>
      <x:c r="C1394">
        <x:v>0.14999999999999999</x:v>
      </x:c>
      <x:c r="D1394">
        <x:f>'Сценарии'!J18</x:f>
        <x:v>0.14999999999999999</x:v>
      </x:c>
      <x:c r="E1394">
        <x:f>IF(C1394=D1394,1,0)</x:f>
        <x:v>1</x:v>
      </x:c>
    </x:row>
    <x:row r="1395">
      <x:c r="A1395" t="str">
        <x:v>Сценарии</x:v>
      </x:c>
      <x:c r="B1395" t="str">
        <x:v>K18</x:v>
      </x:c>
      <x:c r="C1395">
        <x:v>0.23099999999999998</x:v>
      </x:c>
      <x:c r="D1395">
        <x:f>'Сценарии'!K18</x:f>
        <x:v>0.23099999999999998</x:v>
      </x:c>
      <x:c r="E1395">
        <x:f>IF(C1395=D1395,1,0)</x:f>
        <x:v>1</x:v>
      </x:c>
    </x:row>
    <x:row r="1396">
      <x:c r="A1396" t="str">
        <x:v>Сценарии</x:v>
      </x:c>
      <x:c r="B1396" t="str">
        <x:v>L18</x:v>
      </x:c>
      <x:c r="C1396">
        <x:v>2</x:v>
      </x:c>
      <x:c r="D1396">
        <x:f>'Сценарии'!L18</x:f>
        <x:v>2</x:v>
      </x:c>
      <x:c r="E1396">
        <x:f>IF(C1396=D1396,1,0)</x:f>
        <x:v>1</x:v>
      </x:c>
    </x:row>
    <x:row r="1397">
      <x:c r="A1397" t="str">
        <x:v>Сценарии</x:v>
      </x:c>
      <x:c r="B1397" t="str">
        <x:v>M18</x:v>
      </x:c>
      <x:c r="C1397">
        <x:v>0.5</x:v>
      </x:c>
      <x:c r="D1397">
        <x:f>'Сценарии'!M18</x:f>
        <x:v>0.5</x:v>
      </x:c>
      <x:c r="E1397">
        <x:f>IF(C1397=D1397,1,0)</x:f>
        <x:v>1</x:v>
      </x:c>
    </x:row>
    <x:row r="1398">
      <x:c r="A1398" t="str">
        <x:v>Сценарии</x:v>
      </x:c>
      <x:c r="B1398" t="str">
        <x:v>N18</x:v>
      </x:c>
      <x:c r="C1398">
        <x:v>0.80000000000000004</x:v>
      </x:c>
      <x:c r="D1398">
        <x:f>'Сценарии'!N18</x:f>
        <x:v>0.80000000000000004</x:v>
      </x:c>
      <x:c r="E1398">
        <x:f>IF(C1398=D1398,1,0)</x:f>
        <x:v>1</x:v>
      </x:c>
    </x:row>
    <x:row r="1399">
      <x:c r="A1399" t="str">
        <x:v>Сценарии</x:v>
      </x:c>
      <x:c r="B1399" t="str">
        <x:v>O18</x:v>
      </x:c>
      <x:c r="C1399">
        <x:v>1</x:v>
      </x:c>
      <x:c r="D1399">
        <x:f>'Сценарии'!O18</x:f>
        <x:v>1</x:v>
      </x:c>
      <x:c r="E1399">
        <x:f>IF(C1399=D1399,1,0)</x:f>
        <x:v>1</x:v>
      </x:c>
    </x:row>
    <x:row r="1400">
      <x:c r="A1400" t="str">
        <x:v>Сценарии</x:v>
      </x:c>
      <x:c r="B1400" t="str">
        <x:v>P18</x:v>
      </x:c>
      <x:c r="C1400">
        <x:v>0.25</x:v>
      </x:c>
      <x:c r="D1400">
        <x:f>'Сценарии'!P18</x:f>
        <x:v>0.25</x:v>
      </x:c>
      <x:c r="E1400">
        <x:f>IF(C1400=D1400,1,0)</x:f>
        <x:v>1</x:v>
      </x:c>
    </x:row>
    <x:row r="1401">
      <x:c r="A1401" t="str">
        <x:v>Сценарии</x:v>
      </x:c>
      <x:c r="B1401" t="str">
        <x:v>Q18</x:v>
      </x:c>
      <x:c r="C1401">
        <x:v>0.25</x:v>
      </x:c>
      <x:c r="D1401">
        <x:f>'Сценарии'!Q18</x:f>
        <x:v>0.25</x:v>
      </x:c>
      <x:c r="E1401">
        <x:f>IF(C1401=D1401,1,0)</x:f>
        <x:v>1</x:v>
      </x:c>
    </x:row>
    <x:row r="1402">
      <x:c r="A1402" t="str">
        <x:v>Сценарии</x:v>
      </x:c>
      <x:c r="B1402" t="str">
        <x:v>R18</x:v>
      </x:c>
      <x:c r="C1402">
        <x:v>0</x:v>
      </x:c>
      <x:c r="D1402">
        <x:f>'Сценарии'!R18</x:f>
        <x:v>0</x:v>
      </x:c>
      <x:c r="E1402">
        <x:f>IF(C1402=D1402,1,0)</x:f>
        <x:v>1</x:v>
      </x:c>
    </x:row>
    <x:row r="1403">
      <x:c r="A1403" t="str">
        <x:v>Сценарии</x:v>
      </x:c>
      <x:c r="B1403" t="str">
        <x:v>S18</x:v>
      </x:c>
      <x:c r="C1403">
        <x:v>0.029999999999999999</x:v>
      </x:c>
      <x:c r="D1403">
        <x:f>'Сценарии'!S18</x:f>
        <x:v>0.029999999999999999</x:v>
      </x:c>
      <x:c r="E1403">
        <x:f>IF(C1403=D1403,1,0)</x:f>
        <x:v>1</x:v>
      </x:c>
    </x:row>
    <x:row r="1404">
      <x:c r="A1404" t="str">
        <x:v>Сценарии</x:v>
      </x:c>
      <x:c r="B1404" t="str">
        <x:v>T18</x:v>
      </x:c>
      <x:c r="C1404">
        <x:v>0</x:v>
      </x:c>
      <x:c r="D1404">
        <x:f>'Сценарии'!T18</x:f>
        <x:v>0</x:v>
      </x:c>
      <x:c r="E1404">
        <x:f>IF(C1404=D1404,1,0)</x:f>
        <x:v>1</x:v>
      </x:c>
    </x:row>
    <x:row r="1405">
      <x:c r="A1405" t="str">
        <x:v>Сценарии</x:v>
      </x:c>
      <x:c r="B1405" t="str">
        <x:v>U18</x:v>
      </x:c>
      <x:c r="C1405">
        <x:v>1</x:v>
      </x:c>
      <x:c r="D1405">
        <x:f>'Сценарии'!U18</x:f>
        <x:v>1</x:v>
      </x:c>
      <x:c r="E1405">
        <x:f>IF(C1405=D1405,1,0)</x:f>
        <x:v>1</x:v>
      </x:c>
    </x:row>
    <x:row r="1406">
      <x:c r="A1406" t="str">
        <x:v>Сценарии</x:v>
      </x:c>
      <x:c r="B1406" t="str">
        <x:v>V18</x:v>
      </x:c>
      <x:c r="C1406">
        <x:v>1</x:v>
      </x:c>
      <x:c r="D1406">
        <x:f>'Сценарии'!V18</x:f>
        <x:v>1</x:v>
      </x:c>
      <x:c r="E1406">
        <x:f>IF(C1406=D1406,1,0)</x:f>
        <x:v>1</x:v>
      </x:c>
    </x:row>
    <x:row r="1407">
      <x:c r="A1407" t="str">
        <x:v>Сценарии</x:v>
      </x:c>
      <x:c r="B1407" t="str">
        <x:v>X18</x:v>
      </x:c>
      <x:c r="C1407">
        <x:v>1.5</x:v>
      </x:c>
      <x:c r="D1407">
        <x:f>'Сценарии'!X18</x:f>
        <x:v>1.5</x:v>
      </x:c>
      <x:c r="E1407">
        <x:f>IF(C1407=D1407,1,0)</x:f>
        <x:v>1</x:v>
      </x:c>
    </x:row>
    <x:row r="1408">
      <x:c r="A1408" t="str">
        <x:v>Сценарии</x:v>
      </x:c>
      <x:c r="B1408" t="str">
        <x:v>Y18</x:v>
      </x:c>
      <x:c r="C1408">
        <x:v>0.20000000000000001</x:v>
      </x:c>
      <x:c r="D1408">
        <x:f>'Сценарии'!Y18</x:f>
        <x:v>0.20000000000000001</x:v>
      </x:c>
      <x:c r="E1408">
        <x:f>IF(C1408=D1408,1,0)</x:f>
        <x:v>1</x:v>
      </x:c>
    </x:row>
    <x:row r="1409">
      <x:c r="A1409" t="str">
        <x:v>Сценарии</x:v>
      </x:c>
      <x:c r="B1409" t="str">
        <x:v>Z18</x:v>
      </x:c>
      <x:c r="C1409">
        <x:v>1</x:v>
      </x:c>
      <x:c r="D1409">
        <x:f>'Сценарии'!Z18</x:f>
        <x:v>1</x:v>
      </x:c>
      <x:c r="E1409">
        <x:f>IF(C1409=D1409,1,0)</x:f>
        <x:v>1</x:v>
      </x:c>
    </x:row>
    <x:row r="1410">
      <x:c r="A1410" t="str">
        <x:v>Сценарии</x:v>
      </x:c>
      <x:c r="B1410" t="str">
        <x:v>AA18</x:v>
      </x:c>
      <x:c r="C1410">
        <x:v>0.29999999999999999</x:v>
      </x:c>
      <x:c r="D1410">
        <x:f>'Сценарии'!AA18</x:f>
        <x:v>0.29999999999999999</x:v>
      </x:c>
      <x:c r="E1410">
        <x:f>IF(C1410=D1410,1,0)</x:f>
        <x:v>1</x:v>
      </x:c>
    </x:row>
    <x:row r="1411">
      <x:c r="A1411" t="str">
        <x:v>Сценарии</x:v>
      </x:c>
      <x:c r="B1411" t="str">
        <x:v>AB18</x:v>
      </x:c>
      <x:c r="C1411">
        <x:v>0.40000000000000002</x:v>
      </x:c>
      <x:c r="D1411">
        <x:f>'Сценарии'!AB18</x:f>
        <x:v>0.40000000000000002</x:v>
      </x:c>
      <x:c r="E1411">
        <x:f>IF(C1411=D1411,1,0)</x:f>
        <x:v>1</x:v>
      </x:c>
    </x:row>
    <x:row r="1412">
      <x:c r="A1412" t="str">
        <x:v>Сценарии</x:v>
      </x:c>
      <x:c r="B1412" t="str">
        <x:v>AC18</x:v>
      </x:c>
      <x:c r="C1412">
        <x:v>1</x:v>
      </x:c>
      <x:c r="D1412">
        <x:f>'Сценарии'!AC18</x:f>
        <x:v>1</x:v>
      </x:c>
      <x:c r="E1412">
        <x:f>IF(C1412=D1412,1,0)</x:f>
        <x:v>1</x:v>
      </x:c>
    </x:row>
    <x:row r="1413">
      <x:c r="A1413" t="str">
        <x:v>Сценарии</x:v>
      </x:c>
      <x:c r="B1413" t="str">
        <x:v>D19</x:v>
      </x:c>
      <x:c r="C1413">
        <x:v>44000000</x:v>
      </x:c>
      <x:c r="D1413">
        <x:f>'Сценарии'!D19</x:f>
        <x:v>44000000</x:v>
      </x:c>
      <x:c r="E1413">
        <x:f>IF(C1413=D1413,1,0)</x:f>
        <x:v>1</x:v>
      </x:c>
    </x:row>
    <x:row r="1414">
      <x:c r="A1414" t="str">
        <x:v>Сценарии</x:v>
      </x:c>
      <x:c r="B1414" t="str">
        <x:v>E19</x:v>
      </x:c>
      <x:c r="C1414">
        <x:v>84000000</x:v>
      </x:c>
      <x:c r="D1414">
        <x:f>'Сценарии'!E19</x:f>
        <x:v>84000000</x:v>
      </x:c>
      <x:c r="E1414">
        <x:f>IF(C1414=D1414,1,0)</x:f>
        <x:v>1</x:v>
      </x:c>
    </x:row>
    <x:row r="1415">
      <x:c r="A1415" t="str">
        <x:v>Сценарии</x:v>
      </x:c>
      <x:c r="B1415" t="str">
        <x:v>F19</x:v>
      </x:c>
      <x:c r="C1415">
        <x:v>0.27999999999999997</x:v>
      </x:c>
      <x:c r="D1415">
        <x:f>'Сценарии'!F19</x:f>
        <x:v>0.27999999999999997</x:v>
      </x:c>
      <x:c r="E1415">
        <x:f>IF(C1415=D1415,1,0)</x:f>
        <x:v>1</x:v>
      </x:c>
    </x:row>
    <x:row r="1416">
      <x:c r="A1416" t="str">
        <x:v>Сценарии</x:v>
      </x:c>
      <x:c r="B1416" t="str">
        <x:v>G19</x:v>
      </x:c>
      <x:c r="C1416">
        <x:v>0.12</x:v>
      </x:c>
      <x:c r="D1416">
        <x:f>'Сценарии'!G19</x:f>
        <x:v>0.12</x:v>
      </x:c>
      <x:c r="E1416">
        <x:f>IF(C1416=D1416,1,0)</x:f>
        <x:v>1</x:v>
      </x:c>
    </x:row>
    <x:row r="1417">
      <x:c r="A1417" t="str">
        <x:v>Сценарии</x:v>
      </x:c>
      <x:c r="B1417" t="str">
        <x:v>H19</x:v>
      </x:c>
      <x:c r="C1417">
        <x:v>0.17999999999999999</x:v>
      </x:c>
      <x:c r="D1417">
        <x:f>'Сценарии'!H19</x:f>
        <x:v>0.17999999999999999</x:v>
      </x:c>
      <x:c r="E1417">
        <x:f>IF(C1417=D1417,1,0)</x:f>
        <x:v>1</x:v>
      </x:c>
    </x:row>
    <x:row r="1418">
      <x:c r="A1418" t="str">
        <x:v>Сценарии</x:v>
      </x:c>
      <x:c r="B1418" t="str">
        <x:v>I19</x:v>
      </x:c>
      <x:c r="C1418">
        <x:v>0.41999999999999998</x:v>
      </x:c>
      <x:c r="D1418">
        <x:f>'Сценарии'!I19</x:f>
        <x:v>0.41999999999999998</x:v>
      </x:c>
      <x:c r="E1418">
        <x:f>IF(C1418=D1418,1,0)</x:f>
        <x:v>1</x:v>
      </x:c>
    </x:row>
    <x:row r="1419">
      <x:c r="A1419" t="str">
        <x:v>Сценарии</x:v>
      </x:c>
      <x:c r="B1419" t="str">
        <x:v>J19</x:v>
      </x:c>
      <x:c r="C1419">
        <x:v>0.14999999999999999</x:v>
      </x:c>
      <x:c r="D1419">
        <x:f>'Сценарии'!J19</x:f>
        <x:v>0.14999999999999999</x:v>
      </x:c>
      <x:c r="E1419">
        <x:f>IF(C1419=D1419,1,0)</x:f>
        <x:v>1</x:v>
      </x:c>
    </x:row>
    <x:row r="1420">
      <x:c r="A1420" t="str">
        <x:v>Сценарии</x:v>
      </x:c>
      <x:c r="B1420" t="str">
        <x:v>K19</x:v>
      </x:c>
      <x:c r="C1420">
        <x:v>0.23099999999999998</x:v>
      </x:c>
      <x:c r="D1420">
        <x:f>'Сценарии'!K19</x:f>
        <x:v>0.23099999999999998</x:v>
      </x:c>
      <x:c r="E1420">
        <x:f>IF(C1420=D1420,1,0)</x:f>
        <x:v>1</x:v>
      </x:c>
    </x:row>
    <x:row r="1421">
      <x:c r="A1421" t="str">
        <x:v>Сценарии</x:v>
      </x:c>
      <x:c r="B1421" t="str">
        <x:v>L19</x:v>
      </x:c>
      <x:c r="C1421">
        <x:v>2</x:v>
      </x:c>
      <x:c r="D1421">
        <x:f>'Сценарии'!L19</x:f>
        <x:v>2</x:v>
      </x:c>
      <x:c r="E1421">
        <x:f>IF(C1421=D1421,1,0)</x:f>
        <x:v>1</x:v>
      </x:c>
    </x:row>
    <x:row r="1422">
      <x:c r="A1422" t="str">
        <x:v>Сценарии</x:v>
      </x:c>
      <x:c r="B1422" t="str">
        <x:v>M19</x:v>
      </x:c>
      <x:c r="C1422">
        <x:v>0.5</x:v>
      </x:c>
      <x:c r="D1422">
        <x:f>'Сценарии'!M19</x:f>
        <x:v>0.5</x:v>
      </x:c>
      <x:c r="E1422">
        <x:f>IF(C1422=D1422,1,0)</x:f>
        <x:v>1</x:v>
      </x:c>
    </x:row>
    <x:row r="1423">
      <x:c r="A1423" t="str">
        <x:v>Сценарии</x:v>
      </x:c>
      <x:c r="B1423" t="str">
        <x:v>N19</x:v>
      </x:c>
      <x:c r="C1423">
        <x:v>0.80000000000000004</x:v>
      </x:c>
      <x:c r="D1423">
        <x:f>'Сценарии'!N19</x:f>
        <x:v>0.80000000000000004</x:v>
      </x:c>
      <x:c r="E1423">
        <x:f>IF(C1423=D1423,1,0)</x:f>
        <x:v>1</x:v>
      </x:c>
    </x:row>
    <x:row r="1424">
      <x:c r="A1424" t="str">
        <x:v>Сценарии</x:v>
      </x:c>
      <x:c r="B1424" t="str">
        <x:v>O19</x:v>
      </x:c>
      <x:c r="C1424">
        <x:v>1</x:v>
      </x:c>
      <x:c r="D1424">
        <x:f>'Сценарии'!O19</x:f>
        <x:v>1</x:v>
      </x:c>
      <x:c r="E1424">
        <x:f>IF(C1424=D1424,1,0)</x:f>
        <x:v>1</x:v>
      </x:c>
    </x:row>
    <x:row r="1425">
      <x:c r="A1425" t="str">
        <x:v>Сценарии</x:v>
      </x:c>
      <x:c r="B1425" t="str">
        <x:v>P19</x:v>
      </x:c>
      <x:c r="C1425">
        <x:v>0.25</x:v>
      </x:c>
      <x:c r="D1425">
        <x:f>'Сценарии'!P19</x:f>
        <x:v>0.25</x:v>
      </x:c>
      <x:c r="E1425">
        <x:f>IF(C1425=D1425,1,0)</x:f>
        <x:v>1</x:v>
      </x:c>
    </x:row>
    <x:row r="1426">
      <x:c r="A1426" t="str">
        <x:v>Сценарии</x:v>
      </x:c>
      <x:c r="B1426" t="str">
        <x:v>Q19</x:v>
      </x:c>
      <x:c r="C1426">
        <x:v>0.25</x:v>
      </x:c>
      <x:c r="D1426">
        <x:f>'Сценарии'!Q19</x:f>
        <x:v>0.25</x:v>
      </x:c>
      <x:c r="E1426">
        <x:f>IF(C1426=D1426,1,0)</x:f>
        <x:v>1</x:v>
      </x:c>
    </x:row>
    <x:row r="1427">
      <x:c r="A1427" t="str">
        <x:v>Сценарии</x:v>
      </x:c>
      <x:c r="B1427" t="str">
        <x:v>R19</x:v>
      </x:c>
      <x:c r="C1427">
        <x:v>0</x:v>
      </x:c>
      <x:c r="D1427">
        <x:f>'Сценарии'!R19</x:f>
        <x:v>0</x:v>
      </x:c>
      <x:c r="E1427">
        <x:f>IF(C1427=D1427,1,0)</x:f>
        <x:v>1</x:v>
      </x:c>
    </x:row>
    <x:row r="1428">
      <x:c r="A1428" t="str">
        <x:v>Сценарии</x:v>
      </x:c>
      <x:c r="B1428" t="str">
        <x:v>S19</x:v>
      </x:c>
      <x:c r="C1428">
        <x:v>0</x:v>
      </x:c>
      <x:c r="D1428">
        <x:f>'Сценарии'!S19</x:f>
        <x:v>0</x:v>
      </x:c>
      <x:c r="E1428">
        <x:f>IF(C1428=D1428,1,0)</x:f>
        <x:v>1</x:v>
      </x:c>
    </x:row>
    <x:row r="1429">
      <x:c r="A1429" t="str">
        <x:v>Сценарии</x:v>
      </x:c>
      <x:c r="B1429" t="str">
        <x:v>T19</x:v>
      </x:c>
      <x:c r="C1429">
        <x:v>-0.10000000000000001</x:v>
      </x:c>
      <x:c r="D1429">
        <x:f>'Сценарии'!T19</x:f>
        <x:v>-0.10000000000000001</x:v>
      </x:c>
      <x:c r="E1429">
        <x:f>IF(C1429=D1429,1,0)</x:f>
        <x:v>1</x:v>
      </x:c>
    </x:row>
    <x:row r="1430">
      <x:c r="A1430" t="str">
        <x:v>Сценарии</x:v>
      </x:c>
      <x:c r="B1430" t="str">
        <x:v>U19</x:v>
      </x:c>
      <x:c r="C1430">
        <x:v>1</x:v>
      </x:c>
      <x:c r="D1430">
        <x:f>'Сценарии'!U19</x:f>
        <x:v>1</x:v>
      </x:c>
      <x:c r="E1430">
        <x:f>IF(C1430=D1430,1,0)</x:f>
        <x:v>1</x:v>
      </x:c>
    </x:row>
    <x:row r="1431">
      <x:c r="A1431" t="str">
        <x:v>Сценарии</x:v>
      </x:c>
      <x:c r="B1431" t="str">
        <x:v>V19</x:v>
      </x:c>
      <x:c r="C1431">
        <x:v>1</x:v>
      </x:c>
      <x:c r="D1431">
        <x:f>'Сценарии'!V19</x:f>
        <x:v>1</x:v>
      </x:c>
      <x:c r="E1431">
        <x:f>IF(C1431=D1431,1,0)</x:f>
        <x:v>1</x:v>
      </x:c>
    </x:row>
    <x:row r="1432">
      <x:c r="A1432" t="str">
        <x:v>Сценарии</x:v>
      </x:c>
      <x:c r="B1432" t="str">
        <x:v>X19</x:v>
      </x:c>
      <x:c r="C1432">
        <x:v>1.5</x:v>
      </x:c>
      <x:c r="D1432">
        <x:f>'Сценарии'!X19</x:f>
        <x:v>1.5</x:v>
      </x:c>
      <x:c r="E1432">
        <x:f>IF(C1432=D1432,1,0)</x:f>
        <x:v>1</x:v>
      </x:c>
    </x:row>
    <x:row r="1433">
      <x:c r="A1433" t="str">
        <x:v>Сценарии</x:v>
      </x:c>
      <x:c r="B1433" t="str">
        <x:v>Y19</x:v>
      </x:c>
      <x:c r="C1433">
        <x:v>0.20000000000000001</x:v>
      </x:c>
      <x:c r="D1433">
        <x:f>'Сценарии'!Y19</x:f>
        <x:v>0.20000000000000001</x:v>
      </x:c>
      <x:c r="E1433">
        <x:f>IF(C1433=D1433,1,0)</x:f>
        <x:v>1</x:v>
      </x:c>
    </x:row>
    <x:row r="1434">
      <x:c r="A1434" t="str">
        <x:v>Сценарии</x:v>
      </x:c>
      <x:c r="B1434" t="str">
        <x:v>Z19</x:v>
      </x:c>
      <x:c r="C1434">
        <x:v>1</x:v>
      </x:c>
      <x:c r="D1434">
        <x:f>'Сценарии'!Z19</x:f>
        <x:v>1</x:v>
      </x:c>
      <x:c r="E1434">
        <x:f>IF(C1434=D1434,1,0)</x:f>
        <x:v>1</x:v>
      </x:c>
    </x:row>
    <x:row r="1435">
      <x:c r="A1435" t="str">
        <x:v>Сценарии</x:v>
      </x:c>
      <x:c r="B1435" t="str">
        <x:v>AA19</x:v>
      </x:c>
      <x:c r="C1435">
        <x:v>0.29999999999999999</x:v>
      </x:c>
      <x:c r="D1435">
        <x:f>'Сценарии'!AA19</x:f>
        <x:v>0.29999999999999999</x:v>
      </x:c>
      <x:c r="E1435">
        <x:f>IF(C1435=D1435,1,0)</x:f>
        <x:v>1</x:v>
      </x:c>
    </x:row>
    <x:row r="1436">
      <x:c r="A1436" t="str">
        <x:v>Сценарии</x:v>
      </x:c>
      <x:c r="B1436" t="str">
        <x:v>AB19</x:v>
      </x:c>
      <x:c r="C1436">
        <x:v>0.40000000000000002</x:v>
      </x:c>
      <x:c r="D1436">
        <x:f>'Сценарии'!AB19</x:f>
        <x:v>0.40000000000000002</x:v>
      </x:c>
      <x:c r="E1436">
        <x:f>IF(C1436=D1436,1,0)</x:f>
        <x:v>1</x:v>
      </x:c>
    </x:row>
    <x:row r="1437">
      <x:c r="A1437" t="str">
        <x:v>Сценарии</x:v>
      </x:c>
      <x:c r="B1437" t="str">
        <x:v>AC19</x:v>
      </x:c>
      <x:c r="C1437">
        <x:v>1</x:v>
      </x:c>
      <x:c r="D1437">
        <x:f>'Сценарии'!AC19</x:f>
        <x:v>1</x:v>
      </x:c>
      <x:c r="E1437">
        <x:f>IF(C1437=D1437,1,0)</x:f>
        <x:v>1</x:v>
      </x:c>
    </x:row>
    <x:row r="1438">
      <x:c r="A1438" t="str">
        <x:v>Сценарии</x:v>
      </x:c>
      <x:c r="B1438" t="str">
        <x:v>D20</x:v>
      </x:c>
      <x:c r="C1438">
        <x:v>44000000</x:v>
      </x:c>
      <x:c r="D1438">
        <x:f>'Сценарии'!D20</x:f>
        <x:v>44000000</x:v>
      </x:c>
      <x:c r="E1438">
        <x:f>IF(C1438=D1438,1,0)</x:f>
        <x:v>1</x:v>
      </x:c>
    </x:row>
    <x:row r="1439">
      <x:c r="A1439" t="str">
        <x:v>Сценарии</x:v>
      </x:c>
      <x:c r="B1439" t="str">
        <x:v>E20</x:v>
      </x:c>
      <x:c r="C1439">
        <x:v>84000000</x:v>
      </x:c>
      <x:c r="D1439">
        <x:f>'Сценарии'!E20</x:f>
        <x:v>84000000</x:v>
      </x:c>
      <x:c r="E1439">
        <x:f>IF(C1439=D1439,1,0)</x:f>
        <x:v>1</x:v>
      </x:c>
    </x:row>
    <x:row r="1440">
      <x:c r="A1440" t="str">
        <x:v>Сценарии</x:v>
      </x:c>
      <x:c r="B1440" t="str">
        <x:v>F20</x:v>
      </x:c>
      <x:c r="C1440">
        <x:v>0.27999999999999997</x:v>
      </x:c>
      <x:c r="D1440">
        <x:f>'Сценарии'!F20</x:f>
        <x:v>0.27999999999999997</x:v>
      </x:c>
      <x:c r="E1440">
        <x:f>IF(C1440=D1440,1,0)</x:f>
        <x:v>1</x:v>
      </x:c>
    </x:row>
    <x:row r="1441">
      <x:c r="A1441" t="str">
        <x:v>Сценарии</x:v>
      </x:c>
      <x:c r="B1441" t="str">
        <x:v>G20</x:v>
      </x:c>
      <x:c r="C1441">
        <x:v>0.12</x:v>
      </x:c>
      <x:c r="D1441">
        <x:f>'Сценарии'!G20</x:f>
        <x:v>0.12</x:v>
      </x:c>
      <x:c r="E1441">
        <x:f>IF(C1441=D1441,1,0)</x:f>
        <x:v>1</x:v>
      </x:c>
    </x:row>
    <x:row r="1442">
      <x:c r="A1442" t="str">
        <x:v>Сценарии</x:v>
      </x:c>
      <x:c r="B1442" t="str">
        <x:v>H20</x:v>
      </x:c>
      <x:c r="C1442">
        <x:v>0.17999999999999999</x:v>
      </x:c>
      <x:c r="D1442">
        <x:f>'Сценарии'!H20</x:f>
        <x:v>0.17999999999999999</x:v>
      </x:c>
      <x:c r="E1442">
        <x:f>IF(C1442=D1442,1,0)</x:f>
        <x:v>1</x:v>
      </x:c>
    </x:row>
    <x:row r="1443">
      <x:c r="A1443" t="str">
        <x:v>Сценарии</x:v>
      </x:c>
      <x:c r="B1443" t="str">
        <x:v>I20</x:v>
      </x:c>
      <x:c r="C1443">
        <x:v>0.41999999999999998</x:v>
      </x:c>
      <x:c r="D1443">
        <x:f>'Сценарии'!I20</x:f>
        <x:v>0.41999999999999998</x:v>
      </x:c>
      <x:c r="E1443">
        <x:f>IF(C1443=D1443,1,0)</x:f>
        <x:v>1</x:v>
      </x:c>
    </x:row>
    <x:row r="1444">
      <x:c r="A1444" t="str">
        <x:v>Сценарии</x:v>
      </x:c>
      <x:c r="B1444" t="str">
        <x:v>J20</x:v>
      </x:c>
      <x:c r="C1444">
        <x:v>0.14999999999999999</x:v>
      </x:c>
      <x:c r="D1444">
        <x:f>'Сценарии'!J20</x:f>
        <x:v>0.14999999999999999</x:v>
      </x:c>
      <x:c r="E1444">
        <x:f>IF(C1444=D1444,1,0)</x:f>
        <x:v>1</x:v>
      </x:c>
    </x:row>
    <x:row r="1445">
      <x:c r="A1445" t="str">
        <x:v>Сценарии</x:v>
      </x:c>
      <x:c r="B1445" t="str">
        <x:v>K20</x:v>
      </x:c>
      <x:c r="C1445">
        <x:v>0.23099999999999998</x:v>
      </x:c>
      <x:c r="D1445">
        <x:f>'Сценарии'!K20</x:f>
        <x:v>0.23099999999999998</x:v>
      </x:c>
      <x:c r="E1445">
        <x:f>IF(C1445=D1445,1,0)</x:f>
        <x:v>1</x:v>
      </x:c>
    </x:row>
    <x:row r="1446">
      <x:c r="A1446" t="str">
        <x:v>Сценарии</x:v>
      </x:c>
      <x:c r="B1446" t="str">
        <x:v>L20</x:v>
      </x:c>
      <x:c r="C1446">
        <x:v>2</x:v>
      </x:c>
      <x:c r="D1446">
        <x:f>'Сценарии'!L20</x:f>
        <x:v>2</x:v>
      </x:c>
      <x:c r="E1446">
        <x:f>IF(C1446=D1446,1,0)</x:f>
        <x:v>1</x:v>
      </x:c>
    </x:row>
    <x:row r="1447">
      <x:c r="A1447" t="str">
        <x:v>Сценарии</x:v>
      </x:c>
      <x:c r="B1447" t="str">
        <x:v>M20</x:v>
      </x:c>
      <x:c r="C1447">
        <x:v>0.5</x:v>
      </x:c>
      <x:c r="D1447">
        <x:f>'Сценарии'!M20</x:f>
        <x:v>0.5</x:v>
      </x:c>
      <x:c r="E1447">
        <x:f>IF(C1447=D1447,1,0)</x:f>
        <x:v>1</x:v>
      </x:c>
    </x:row>
    <x:row r="1448">
      <x:c r="A1448" t="str">
        <x:v>Сценарии</x:v>
      </x:c>
      <x:c r="B1448" t="str">
        <x:v>N20</x:v>
      </x:c>
      <x:c r="C1448">
        <x:v>0.80000000000000004</x:v>
      </x:c>
      <x:c r="D1448">
        <x:f>'Сценарии'!N20</x:f>
        <x:v>0.80000000000000004</x:v>
      </x:c>
      <x:c r="E1448">
        <x:f>IF(C1448=D1448,1,0)</x:f>
        <x:v>1</x:v>
      </x:c>
    </x:row>
    <x:row r="1449">
      <x:c r="A1449" t="str">
        <x:v>Сценарии</x:v>
      </x:c>
      <x:c r="B1449" t="str">
        <x:v>O20</x:v>
      </x:c>
      <x:c r="C1449">
        <x:v>1</x:v>
      </x:c>
      <x:c r="D1449">
        <x:f>'Сценарии'!O20</x:f>
        <x:v>1</x:v>
      </x:c>
      <x:c r="E1449">
        <x:f>IF(C1449=D1449,1,0)</x:f>
        <x:v>1</x:v>
      </x:c>
    </x:row>
    <x:row r="1450">
      <x:c r="A1450" t="str">
        <x:v>Сценарии</x:v>
      </x:c>
      <x:c r="B1450" t="str">
        <x:v>P20</x:v>
      </x:c>
      <x:c r="C1450">
        <x:v>0.25</x:v>
      </x:c>
      <x:c r="D1450">
        <x:f>'Сценарии'!P20</x:f>
        <x:v>0.25</x:v>
      </x:c>
      <x:c r="E1450">
        <x:f>IF(C1450=D1450,1,0)</x:f>
        <x:v>1</x:v>
      </x:c>
    </x:row>
    <x:row r="1451">
      <x:c r="A1451" t="str">
        <x:v>Сценарии</x:v>
      </x:c>
      <x:c r="B1451" t="str">
        <x:v>Q20</x:v>
      </x:c>
      <x:c r="C1451">
        <x:v>0.25</x:v>
      </x:c>
      <x:c r="D1451">
        <x:f>'Сценарии'!Q20</x:f>
        <x:v>0.25</x:v>
      </x:c>
      <x:c r="E1451">
        <x:f>IF(C1451=D1451,1,0)</x:f>
        <x:v>1</x:v>
      </x:c>
    </x:row>
    <x:row r="1452">
      <x:c r="A1452" t="str">
        <x:v>Сценарии</x:v>
      </x:c>
      <x:c r="B1452" t="str">
        <x:v>R20</x:v>
      </x:c>
      <x:c r="C1452">
        <x:v>0.0050000000000000001</x:v>
      </x:c>
      <x:c r="D1452">
        <x:f>'Сценарии'!R20</x:f>
        <x:v>0.0050000000000000001</x:v>
      </x:c>
      <x:c r="E1452">
        <x:f>IF(C1452=D1452,1,0)</x:f>
        <x:v>1</x:v>
      </x:c>
    </x:row>
    <x:row r="1453">
      <x:c r="A1453" t="str">
        <x:v>Сценарии</x:v>
      </x:c>
      <x:c r="B1453" t="str">
        <x:v>S20</x:v>
      </x:c>
      <x:c r="C1453">
        <x:v>0.01</x:v>
      </x:c>
      <x:c r="D1453">
        <x:f>'Сценарии'!S20</x:f>
        <x:v>0.01</x:v>
      </x:c>
      <x:c r="E1453">
        <x:f>IF(C1453=D1453,1,0)</x:f>
        <x:v>1</x:v>
      </x:c>
    </x:row>
    <x:row r="1454">
      <x:c r="A1454" t="str">
        <x:v>Сценарии</x:v>
      </x:c>
      <x:c r="B1454" t="str">
        <x:v>T20</x:v>
      </x:c>
      <x:c r="C1454">
        <x:v>-0.02</x:v>
      </x:c>
      <x:c r="D1454">
        <x:f>'Сценарии'!T20</x:f>
        <x:v>-0.02</x:v>
      </x:c>
      <x:c r="E1454">
        <x:f>IF(C1454=D1454,1,0)</x:f>
        <x:v>1</x:v>
      </x:c>
    </x:row>
    <x:row r="1455">
      <x:c r="A1455" t="str">
        <x:v>Сценарии</x:v>
      </x:c>
      <x:c r="B1455" t="str">
        <x:v>U20</x:v>
      </x:c>
      <x:c r="C1455">
        <x:v>1</x:v>
      </x:c>
      <x:c r="D1455">
        <x:f>'Сценарии'!U20</x:f>
        <x:v>1</x:v>
      </x:c>
      <x:c r="E1455">
        <x:f>IF(C1455=D1455,1,0)</x:f>
        <x:v>1</x:v>
      </x:c>
    </x:row>
    <x:row r="1456">
      <x:c r="A1456" t="str">
        <x:v>Сценарии</x:v>
      </x:c>
      <x:c r="B1456" t="str">
        <x:v>V20</x:v>
      </x:c>
      <x:c r="C1456">
        <x:v>1</x:v>
      </x:c>
      <x:c r="D1456">
        <x:f>'Сценарии'!V20</x:f>
        <x:v>1</x:v>
      </x:c>
      <x:c r="E1456">
        <x:f>IF(C1456=D1456,1,0)</x:f>
        <x:v>1</x:v>
      </x:c>
    </x:row>
    <x:row r="1457">
      <x:c r="A1457" t="str">
        <x:v>Сценарии</x:v>
      </x:c>
      <x:c r="B1457" t="str">
        <x:v>X20</x:v>
      </x:c>
      <x:c r="C1457">
        <x:v>1.5</x:v>
      </x:c>
      <x:c r="D1457">
        <x:f>'Сценарии'!X20</x:f>
        <x:v>1.5</x:v>
      </x:c>
      <x:c r="E1457">
        <x:f>IF(C1457=D1457,1,0)</x:f>
        <x:v>1</x:v>
      </x:c>
    </x:row>
    <x:row r="1458">
      <x:c r="A1458" t="str">
        <x:v>Сценарии</x:v>
      </x:c>
      <x:c r="B1458" t="str">
        <x:v>Y20</x:v>
      </x:c>
      <x:c r="C1458">
        <x:v>0.20000000000000001</x:v>
      </x:c>
      <x:c r="D1458">
        <x:f>'Сценарии'!Y20</x:f>
        <x:v>0.20000000000000001</x:v>
      </x:c>
      <x:c r="E1458">
        <x:f>IF(C1458=D1458,1,0)</x:f>
        <x:v>1</x:v>
      </x:c>
    </x:row>
    <x:row r="1459">
      <x:c r="A1459" t="str">
        <x:v>Сценарии</x:v>
      </x:c>
      <x:c r="B1459" t="str">
        <x:v>Z20</x:v>
      </x:c>
      <x:c r="C1459">
        <x:v>1</x:v>
      </x:c>
      <x:c r="D1459">
        <x:f>'Сценарии'!Z20</x:f>
        <x:v>1</x:v>
      </x:c>
      <x:c r="E1459">
        <x:f>IF(C1459=D1459,1,0)</x:f>
        <x:v>1</x:v>
      </x:c>
    </x:row>
    <x:row r="1460">
      <x:c r="A1460" t="str">
        <x:v>Сценарии</x:v>
      </x:c>
      <x:c r="B1460" t="str">
        <x:v>AA20</x:v>
      </x:c>
      <x:c r="C1460">
        <x:v>0.29999999999999999</x:v>
      </x:c>
      <x:c r="D1460">
        <x:f>'Сценарии'!AA20</x:f>
        <x:v>0.29999999999999999</x:v>
      </x:c>
      <x:c r="E1460">
        <x:f>IF(C1460=D1460,1,0)</x:f>
        <x:v>1</x:v>
      </x:c>
    </x:row>
    <x:row r="1461">
      <x:c r="A1461" t="str">
        <x:v>Сценарии</x:v>
      </x:c>
      <x:c r="B1461" t="str">
        <x:v>AB20</x:v>
      </x:c>
      <x:c r="C1461">
        <x:v>0.40000000000000002</x:v>
      </x:c>
      <x:c r="D1461">
        <x:f>'Сценарии'!AB20</x:f>
        <x:v>0.40000000000000002</x:v>
      </x:c>
      <x:c r="E1461">
        <x:f>IF(C1461=D1461,1,0)</x:f>
        <x:v>1</x:v>
      </x:c>
    </x:row>
    <x:row r="1462">
      <x:c r="A1462" t="str">
        <x:v>Сценарии</x:v>
      </x:c>
      <x:c r="B1462" t="str">
        <x:v>AC20</x:v>
      </x:c>
      <x:c r="C1462">
        <x:v>1</x:v>
      </x:c>
      <x:c r="D1462">
        <x:f>'Сценарии'!AC20</x:f>
        <x:v>1</x:v>
      </x:c>
      <x:c r="E1462">
        <x:f>IF(C1462=D1462,1,0)</x:f>
        <x:v>1</x:v>
      </x:c>
    </x:row>
    <x:row r="1463">
      <x:c r="A1463" t="str">
        <x:v>Сценарии</x:v>
      </x:c>
      <x:c r="B1463" t="str">
        <x:v>D21</x:v>
      </x:c>
      <x:c r="C1463">
        <x:v>44000000</x:v>
      </x:c>
      <x:c r="D1463">
        <x:f>'Сценарии'!D21</x:f>
        <x:v>44000000</x:v>
      </x:c>
      <x:c r="E1463">
        <x:f>IF(C1463=D1463,1,0)</x:f>
        <x:v>1</x:v>
      </x:c>
    </x:row>
    <x:row r="1464">
      <x:c r="A1464" t="str">
        <x:v>Сценарии</x:v>
      </x:c>
      <x:c r="B1464" t="str">
        <x:v>E21</x:v>
      </x:c>
      <x:c r="C1464">
        <x:v>84000000</x:v>
      </x:c>
      <x:c r="D1464">
        <x:f>'Сценарии'!E21</x:f>
        <x:v>84000000</x:v>
      </x:c>
      <x:c r="E1464">
        <x:f>IF(C1464=D1464,1,0)</x:f>
        <x:v>1</x:v>
      </x:c>
    </x:row>
    <x:row r="1465">
      <x:c r="A1465" t="str">
        <x:v>Сценарии</x:v>
      </x:c>
      <x:c r="B1465" t="str">
        <x:v>F21</x:v>
      </x:c>
      <x:c r="C1465">
        <x:v>0.27999999999999997</x:v>
      </x:c>
      <x:c r="D1465">
        <x:f>'Сценарии'!F21</x:f>
        <x:v>0.27999999999999997</x:v>
      </x:c>
      <x:c r="E1465">
        <x:f>IF(C1465=D1465,1,0)</x:f>
        <x:v>1</x:v>
      </x:c>
    </x:row>
    <x:row r="1466">
      <x:c r="A1466" t="str">
        <x:v>Сценарии</x:v>
      </x:c>
      <x:c r="B1466" t="str">
        <x:v>G21</x:v>
      </x:c>
      <x:c r="C1466">
        <x:v>0.12</x:v>
      </x:c>
      <x:c r="D1466">
        <x:f>'Сценарии'!G21</x:f>
        <x:v>0.12</x:v>
      </x:c>
      <x:c r="E1466">
        <x:f>IF(C1466=D1466,1,0)</x:f>
        <x:v>1</x:v>
      </x:c>
    </x:row>
    <x:row r="1467">
      <x:c r="A1467" t="str">
        <x:v>Сценарии</x:v>
      </x:c>
      <x:c r="B1467" t="str">
        <x:v>H21</x:v>
      </x:c>
      <x:c r="C1467">
        <x:v>0.17999999999999999</x:v>
      </x:c>
      <x:c r="D1467">
        <x:f>'Сценарии'!H21</x:f>
        <x:v>0.17999999999999999</x:v>
      </x:c>
      <x:c r="E1467">
        <x:f>IF(C1467=D1467,1,0)</x:f>
        <x:v>1</x:v>
      </x:c>
    </x:row>
    <x:row r="1468">
      <x:c r="A1468" t="str">
        <x:v>Сценарии</x:v>
      </x:c>
      <x:c r="B1468" t="str">
        <x:v>I21</x:v>
      </x:c>
      <x:c r="C1468">
        <x:v>0.41999999999999998</x:v>
      </x:c>
      <x:c r="D1468">
        <x:f>'Сценарии'!I21</x:f>
        <x:v>0.41999999999999998</x:v>
      </x:c>
      <x:c r="E1468">
        <x:f>IF(C1468=D1468,1,0)</x:f>
        <x:v>1</x:v>
      </x:c>
    </x:row>
    <x:row r="1469">
      <x:c r="A1469" t="str">
        <x:v>Сценарии</x:v>
      </x:c>
      <x:c r="B1469" t="str">
        <x:v>J21</x:v>
      </x:c>
      <x:c r="C1469">
        <x:v>0.10000000000000001</x:v>
      </x:c>
      <x:c r="D1469">
        <x:f>'Сценарии'!J21</x:f>
        <x:v>0.10000000000000001</x:v>
      </x:c>
      <x:c r="E1469">
        <x:f>IF(C1469=D1469,1,0)</x:f>
        <x:v>1</x:v>
      </x:c>
    </x:row>
    <x:row r="1470">
      <x:c r="A1470" t="str">
        <x:v>Сценарии</x:v>
      </x:c>
      <x:c r="B1470" t="str">
        <x:v>K21</x:v>
      </x:c>
      <x:c r="C1470">
        <x:v>0.18099999999999999</x:v>
      </x:c>
      <x:c r="D1470">
        <x:f>'Сценарии'!K21</x:f>
        <x:v>0.18099999999999999</x:v>
      </x:c>
      <x:c r="E1470">
        <x:f>IF(C1470=D1470,1,0)</x:f>
        <x:v>1</x:v>
      </x:c>
    </x:row>
    <x:row r="1471">
      <x:c r="A1471" t="str">
        <x:v>Сценарии</x:v>
      </x:c>
      <x:c r="B1471" t="str">
        <x:v>L21</x:v>
      </x:c>
      <x:c r="C1471">
        <x:v>2</x:v>
      </x:c>
      <x:c r="D1471">
        <x:f>'Сценарии'!L21</x:f>
        <x:v>2</x:v>
      </x:c>
      <x:c r="E1471">
        <x:f>IF(C1471=D1471,1,0)</x:f>
        <x:v>1</x:v>
      </x:c>
    </x:row>
    <x:row r="1472">
      <x:c r="A1472" t="str">
        <x:v>Сценарии</x:v>
      </x:c>
      <x:c r="B1472" t="str">
        <x:v>M21</x:v>
      </x:c>
      <x:c r="C1472">
        <x:v>0.5</x:v>
      </x:c>
      <x:c r="D1472">
        <x:f>'Сценарии'!M21</x:f>
        <x:v>0.5</x:v>
      </x:c>
      <x:c r="E1472">
        <x:f>IF(C1472=D1472,1,0)</x:f>
        <x:v>1</x:v>
      </x:c>
    </x:row>
    <x:row r="1473">
      <x:c r="A1473" t="str">
        <x:v>Сценарии</x:v>
      </x:c>
      <x:c r="B1473" t="str">
        <x:v>N21</x:v>
      </x:c>
      <x:c r="C1473">
        <x:v>0.80000000000000004</x:v>
      </x:c>
      <x:c r="D1473">
        <x:f>'Сценарии'!N21</x:f>
        <x:v>0.80000000000000004</x:v>
      </x:c>
      <x:c r="E1473">
        <x:f>IF(C1473=D1473,1,0)</x:f>
        <x:v>1</x:v>
      </x:c>
    </x:row>
    <x:row r="1474">
      <x:c r="A1474" t="str">
        <x:v>Сценарии</x:v>
      </x:c>
      <x:c r="B1474" t="str">
        <x:v>O21</x:v>
      </x:c>
      <x:c r="C1474">
        <x:v>1</x:v>
      </x:c>
      <x:c r="D1474">
        <x:f>'Сценарии'!O21</x:f>
        <x:v>1</x:v>
      </x:c>
      <x:c r="E1474">
        <x:f>IF(C1474=D1474,1,0)</x:f>
        <x:v>1</x:v>
      </x:c>
    </x:row>
    <x:row r="1475">
      <x:c r="A1475" t="str">
        <x:v>Сценарии</x:v>
      </x:c>
      <x:c r="B1475" t="str">
        <x:v>P21</x:v>
      </x:c>
      <x:c r="C1475">
        <x:v>0.25</x:v>
      </x:c>
      <x:c r="D1475">
        <x:f>'Сценарии'!P21</x:f>
        <x:v>0.25</x:v>
      </x:c>
      <x:c r="E1475">
        <x:f>IF(C1475=D1475,1,0)</x:f>
        <x:v>1</x:v>
      </x:c>
    </x:row>
    <x:row r="1476">
      <x:c r="A1476" t="str">
        <x:v>Сценарии</x:v>
      </x:c>
      <x:c r="B1476" t="str">
        <x:v>Q21</x:v>
      </x:c>
      <x:c r="C1476">
        <x:v>0.25</x:v>
      </x:c>
      <x:c r="D1476">
        <x:f>'Сценарии'!Q21</x:f>
        <x:v>0.25</x:v>
      </x:c>
      <x:c r="E1476">
        <x:f>IF(C1476=D1476,1,0)</x:f>
        <x:v>1</x:v>
      </x:c>
    </x:row>
    <x:row r="1477">
      <x:c r="A1477" t="str">
        <x:v>Сценарии</x:v>
      </x:c>
      <x:c r="B1477" t="str">
        <x:v>R21</x:v>
      </x:c>
      <x:c r="C1477">
        <x:v>0</x:v>
      </x:c>
      <x:c r="D1477">
        <x:f>'Сценарии'!R21</x:f>
        <x:v>0</x:v>
      </x:c>
      <x:c r="E1477">
        <x:f>IF(C1477=D1477,1,0)</x:f>
        <x:v>1</x:v>
      </x:c>
    </x:row>
    <x:row r="1478">
      <x:c r="A1478" t="str">
        <x:v>Сценарии</x:v>
      </x:c>
      <x:c r="B1478" t="str">
        <x:v>S21</x:v>
      </x:c>
      <x:c r="C1478">
        <x:v>0</x:v>
      </x:c>
      <x:c r="D1478">
        <x:f>'Сценарии'!S21</x:f>
        <x:v>0</x:v>
      </x:c>
      <x:c r="E1478">
        <x:f>IF(C1478=D1478,1,0)</x:f>
        <x:v>1</x:v>
      </x:c>
    </x:row>
    <x:row r="1479">
      <x:c r="A1479" t="str">
        <x:v>Сценарии</x:v>
      </x:c>
      <x:c r="B1479" t="str">
        <x:v>T21</x:v>
      </x:c>
      <x:c r="C1479">
        <x:v>0</x:v>
      </x:c>
      <x:c r="D1479">
        <x:f>'Сценарии'!T21</x:f>
        <x:v>0</x:v>
      </x:c>
      <x:c r="E1479">
        <x:f>IF(C1479=D1479,1,0)</x:f>
        <x:v>1</x:v>
      </x:c>
    </x:row>
    <x:row r="1480">
      <x:c r="A1480" t="str">
        <x:v>Сценарии</x:v>
      </x:c>
      <x:c r="B1480" t="str">
        <x:v>U21</x:v>
      </x:c>
      <x:c r="C1480">
        <x:v>1</x:v>
      </x:c>
      <x:c r="D1480">
        <x:f>'Сценарии'!U21</x:f>
        <x:v>1</x:v>
      </x:c>
      <x:c r="E1480">
        <x:f>IF(C1480=D1480,1,0)</x:f>
        <x:v>1</x:v>
      </x:c>
    </x:row>
    <x:row r="1481">
      <x:c r="A1481" t="str">
        <x:v>Сценарии</x:v>
      </x:c>
      <x:c r="B1481" t="str">
        <x:v>V21</x:v>
      </x:c>
      <x:c r="C1481">
        <x:v>1</x:v>
      </x:c>
      <x:c r="D1481">
        <x:f>'Сценарии'!V21</x:f>
        <x:v>1</x:v>
      </x:c>
      <x:c r="E1481">
        <x:f>IF(C1481=D1481,1,0)</x:f>
        <x:v>1</x:v>
      </x:c>
    </x:row>
    <x:row r="1482">
      <x:c r="A1482" t="str">
        <x:v>Сценарии</x:v>
      </x:c>
      <x:c r="B1482" t="str">
        <x:v>X21</x:v>
      </x:c>
      <x:c r="C1482">
        <x:v>1.5</x:v>
      </x:c>
      <x:c r="D1482">
        <x:f>'Сценарии'!X21</x:f>
        <x:v>1.5</x:v>
      </x:c>
      <x:c r="E1482">
        <x:f>IF(C1482=D1482,1,0)</x:f>
        <x:v>1</x:v>
      </x:c>
    </x:row>
    <x:row r="1483">
      <x:c r="A1483" t="str">
        <x:v>Сценарии</x:v>
      </x:c>
      <x:c r="B1483" t="str">
        <x:v>Y21</x:v>
      </x:c>
      <x:c r="C1483">
        <x:v>0.20000000000000001</x:v>
      </x:c>
      <x:c r="D1483">
        <x:f>'Сценарии'!Y21</x:f>
        <x:v>0.20000000000000001</x:v>
      </x:c>
      <x:c r="E1483">
        <x:f>IF(C1483=D1483,1,0)</x:f>
        <x:v>1</x:v>
      </x:c>
    </x:row>
    <x:row r="1484">
      <x:c r="A1484" t="str">
        <x:v>Сценарии</x:v>
      </x:c>
      <x:c r="B1484" t="str">
        <x:v>Z21</x:v>
      </x:c>
      <x:c r="C1484">
        <x:v>1</x:v>
      </x:c>
      <x:c r="D1484">
        <x:f>'Сценарии'!Z21</x:f>
        <x:v>1</x:v>
      </x:c>
      <x:c r="E1484">
        <x:f>IF(C1484=D1484,1,0)</x:f>
        <x:v>1</x:v>
      </x:c>
    </x:row>
    <x:row r="1485">
      <x:c r="A1485" t="str">
        <x:v>Сценарии</x:v>
      </x:c>
      <x:c r="B1485" t="str">
        <x:v>AA21</x:v>
      </x:c>
      <x:c r="C1485">
        <x:v>0.29999999999999999</x:v>
      </x:c>
      <x:c r="D1485">
        <x:f>'Сценарии'!AA21</x:f>
        <x:v>0.29999999999999999</x:v>
      </x:c>
      <x:c r="E1485">
        <x:f>IF(C1485=D1485,1,0)</x:f>
        <x:v>1</x:v>
      </x:c>
    </x:row>
    <x:row r="1486">
      <x:c r="A1486" t="str">
        <x:v>Сценарии</x:v>
      </x:c>
      <x:c r="B1486" t="str">
        <x:v>AB21</x:v>
      </x:c>
      <x:c r="C1486">
        <x:v>0.40000000000000002</x:v>
      </x:c>
      <x:c r="D1486">
        <x:f>'Сценарии'!AB21</x:f>
        <x:v>0.40000000000000002</x:v>
      </x:c>
      <x:c r="E1486">
        <x:f>IF(C1486=D1486,1,0)</x:f>
        <x:v>1</x:v>
      </x:c>
    </x:row>
    <x:row r="1487">
      <x:c r="A1487" t="str">
        <x:v>Сценарии</x:v>
      </x:c>
      <x:c r="B1487" t="str">
        <x:v>AC21</x:v>
      </x:c>
      <x:c r="C1487">
        <x:v>1</x:v>
      </x:c>
      <x:c r="D1487">
        <x:f>'Сценарии'!AC21</x:f>
        <x:v>1</x:v>
      </x:c>
      <x:c r="E1487">
        <x:f>IF(C1487=D1487,1,0)</x:f>
        <x:v>1</x:v>
      </x:c>
    </x:row>
    <x:row r="1488">
      <x:c r="A1488" t="str">
        <x:v>Сценарии</x:v>
      </x:c>
      <x:c r="B1488" t="str">
        <x:v>D22</x:v>
      </x:c>
      <x:c r="C1488">
        <x:v>44000000</x:v>
      </x:c>
      <x:c r="D1488">
        <x:f>'Сценарии'!D22</x:f>
        <x:v>44000000</x:v>
      </x:c>
      <x:c r="E1488">
        <x:f>IF(C1488=D1488,1,0)</x:f>
        <x:v>1</x:v>
      </x:c>
    </x:row>
    <x:row r="1489">
      <x:c r="A1489" t="str">
        <x:v>Сценарии</x:v>
      </x:c>
      <x:c r="B1489" t="str">
        <x:v>E22</x:v>
      </x:c>
      <x:c r="C1489">
        <x:v>84000000</x:v>
      </x:c>
      <x:c r="D1489">
        <x:f>'Сценарии'!E22</x:f>
        <x:v>84000000</x:v>
      </x:c>
      <x:c r="E1489">
        <x:f>IF(C1489=D1489,1,0)</x:f>
        <x:v>1</x:v>
      </x:c>
    </x:row>
    <x:row r="1490">
      <x:c r="A1490" t="str">
        <x:v>Сценарии</x:v>
      </x:c>
      <x:c r="B1490" t="str">
        <x:v>F22</x:v>
      </x:c>
      <x:c r="C1490">
        <x:v>0.27999999999999997</x:v>
      </x:c>
      <x:c r="D1490">
        <x:f>'Сценарии'!F22</x:f>
        <x:v>0.27999999999999997</x:v>
      </x:c>
      <x:c r="E1490">
        <x:f>IF(C1490=D1490,1,0)</x:f>
        <x:v>1</x:v>
      </x:c>
    </x:row>
    <x:row r="1491">
      <x:c r="A1491" t="str">
        <x:v>Сценарии</x:v>
      </x:c>
      <x:c r="B1491" t="str">
        <x:v>G22</x:v>
      </x:c>
      <x:c r="C1491">
        <x:v>0.12</x:v>
      </x:c>
      <x:c r="D1491">
        <x:f>'Сценарии'!G22</x:f>
        <x:v>0.12</x:v>
      </x:c>
      <x:c r="E1491">
        <x:f>IF(C1491=D1491,1,0)</x:f>
        <x:v>1</x:v>
      </x:c>
    </x:row>
    <x:row r="1492">
      <x:c r="A1492" t="str">
        <x:v>Сценарии</x:v>
      </x:c>
      <x:c r="B1492" t="str">
        <x:v>H22</x:v>
      </x:c>
      <x:c r="C1492">
        <x:v>0.17999999999999999</x:v>
      </x:c>
      <x:c r="D1492">
        <x:f>'Сценарии'!H22</x:f>
        <x:v>0.17999999999999999</x:v>
      </x:c>
      <x:c r="E1492">
        <x:f>IF(C1492=D1492,1,0)</x:f>
        <x:v>1</x:v>
      </x:c>
    </x:row>
    <x:row r="1493">
      <x:c r="A1493" t="str">
        <x:v>Сценарии</x:v>
      </x:c>
      <x:c r="B1493" t="str">
        <x:v>I22</x:v>
      </x:c>
      <x:c r="C1493">
        <x:v>0.41999999999999998</x:v>
      </x:c>
      <x:c r="D1493">
        <x:f>'Сценарии'!I22</x:f>
        <x:v>0.41999999999999998</x:v>
      </x:c>
      <x:c r="E1493">
        <x:f>IF(C1493=D1493,1,0)</x:f>
        <x:v>1</x:v>
      </x:c>
    </x:row>
    <x:row r="1494">
      <x:c r="A1494" t="str">
        <x:v>Сценарии</x:v>
      </x:c>
      <x:c r="B1494" t="str">
        <x:v>J22</x:v>
      </x:c>
      <x:c r="C1494">
        <x:v>0.12</x:v>
      </x:c>
      <x:c r="D1494">
        <x:f>'Сценарии'!J22</x:f>
        <x:v>0.12</x:v>
      </x:c>
      <x:c r="E1494">
        <x:f>IF(C1494=D1494,1,0)</x:f>
        <x:v>1</x:v>
      </x:c>
    </x:row>
    <x:row r="1495">
      <x:c r="A1495" t="str">
        <x:v>Сценарии</x:v>
      </x:c>
      <x:c r="B1495" t="str">
        <x:v>K22</x:v>
      </x:c>
      <x:c r="C1495">
        <x:v>0.20100000000000001</x:v>
      </x:c>
      <x:c r="D1495">
        <x:f>'Сценарии'!K22</x:f>
        <x:v>0.20100000000000001</x:v>
      </x:c>
      <x:c r="E1495">
        <x:f>IF(C1495=D1495,1,0)</x:f>
        <x:v>1</x:v>
      </x:c>
    </x:row>
    <x:row r="1496">
      <x:c r="A1496" t="str">
        <x:v>Сценарии</x:v>
      </x:c>
      <x:c r="B1496" t="str">
        <x:v>L22</x:v>
      </x:c>
      <x:c r="C1496">
        <x:v>2</x:v>
      </x:c>
      <x:c r="D1496">
        <x:f>'Сценарии'!L22</x:f>
        <x:v>2</x:v>
      </x:c>
      <x:c r="E1496">
        <x:f>IF(C1496=D1496,1,0)</x:f>
        <x:v>1</x:v>
      </x:c>
    </x:row>
    <x:row r="1497">
      <x:c r="A1497" t="str">
        <x:v>Сценарии</x:v>
      </x:c>
      <x:c r="B1497" t="str">
        <x:v>M22</x:v>
      </x:c>
      <x:c r="C1497">
        <x:v>0.5</x:v>
      </x:c>
      <x:c r="D1497">
        <x:f>'Сценарии'!M22</x:f>
        <x:v>0.5</x:v>
      </x:c>
      <x:c r="E1497">
        <x:f>IF(C1497=D1497,1,0)</x:f>
        <x:v>1</x:v>
      </x:c>
    </x:row>
    <x:row r="1498">
      <x:c r="A1498" t="str">
        <x:v>Сценарии</x:v>
      </x:c>
      <x:c r="B1498" t="str">
        <x:v>N22</x:v>
      </x:c>
      <x:c r="C1498">
        <x:v>0.80000000000000004</x:v>
      </x:c>
      <x:c r="D1498">
        <x:f>'Сценарии'!N22</x:f>
        <x:v>0.80000000000000004</x:v>
      </x:c>
      <x:c r="E1498">
        <x:f>IF(C1498=D1498,1,0)</x:f>
        <x:v>1</x:v>
      </x:c>
    </x:row>
    <x:row r="1499">
      <x:c r="A1499" t="str">
        <x:v>Сценарии</x:v>
      </x:c>
      <x:c r="B1499" t="str">
        <x:v>O22</x:v>
      </x:c>
      <x:c r="C1499">
        <x:v>1</x:v>
      </x:c>
      <x:c r="D1499">
        <x:f>'Сценарии'!O22</x:f>
        <x:v>1</x:v>
      </x:c>
      <x:c r="E1499">
        <x:f>IF(C1499=D1499,1,0)</x:f>
        <x:v>1</x:v>
      </x:c>
    </x:row>
    <x:row r="1500">
      <x:c r="A1500" t="str">
        <x:v>Сценарии</x:v>
      </x:c>
      <x:c r="B1500" t="str">
        <x:v>P22</x:v>
      </x:c>
      <x:c r="C1500">
        <x:v>0.25</x:v>
      </x:c>
      <x:c r="D1500">
        <x:f>'Сценарии'!P22</x:f>
        <x:v>0.25</x:v>
      </x:c>
      <x:c r="E1500">
        <x:f>IF(C1500=D1500,1,0)</x:f>
        <x:v>1</x:v>
      </x:c>
    </x:row>
    <x:row r="1501">
      <x:c r="A1501" t="str">
        <x:v>Сценарии</x:v>
      </x:c>
      <x:c r="B1501" t="str">
        <x:v>Q22</x:v>
      </x:c>
      <x:c r="C1501">
        <x:v>0.25</x:v>
      </x:c>
      <x:c r="D1501">
        <x:f>'Сценарии'!Q22</x:f>
        <x:v>0.25</x:v>
      </x:c>
      <x:c r="E1501">
        <x:f>IF(C1501=D1501,1,0)</x:f>
        <x:v>1</x:v>
      </x:c>
    </x:row>
    <x:row r="1502">
      <x:c r="A1502" t="str">
        <x:v>Сценарии</x:v>
      </x:c>
      <x:c r="B1502" t="str">
        <x:v>R22</x:v>
      </x:c>
      <x:c r="C1502">
        <x:v>0</x:v>
      </x:c>
      <x:c r="D1502">
        <x:f>'Сценарии'!R22</x:f>
        <x:v>0</x:v>
      </x:c>
      <x:c r="E1502">
        <x:f>IF(C1502=D1502,1,0)</x:f>
        <x:v>1</x:v>
      </x:c>
    </x:row>
    <x:row r="1503">
      <x:c r="A1503" t="str">
        <x:v>Сценарии</x:v>
      </x:c>
      <x:c r="B1503" t="str">
        <x:v>S22</x:v>
      </x:c>
      <x:c r="C1503">
        <x:v>0</x:v>
      </x:c>
      <x:c r="D1503">
        <x:f>'Сценарии'!S22</x:f>
        <x:v>0</x:v>
      </x:c>
      <x:c r="E1503">
        <x:f>IF(C1503=D1503,1,0)</x:f>
        <x:v>1</x:v>
      </x:c>
    </x:row>
    <x:row r="1504">
      <x:c r="A1504" t="str">
        <x:v>Сценарии</x:v>
      </x:c>
      <x:c r="B1504" t="str">
        <x:v>T22</x:v>
      </x:c>
      <x:c r="C1504">
        <x:v>0</x:v>
      </x:c>
      <x:c r="D1504">
        <x:f>'Сценарии'!T22</x:f>
        <x:v>0</x:v>
      </x:c>
      <x:c r="E1504">
        <x:f>IF(C1504=D1504,1,0)</x:f>
        <x:v>1</x:v>
      </x:c>
    </x:row>
    <x:row r="1505">
      <x:c r="A1505" t="str">
        <x:v>Сценарии</x:v>
      </x:c>
      <x:c r="B1505" t="str">
        <x:v>U22</x:v>
      </x:c>
      <x:c r="C1505">
        <x:v>1</x:v>
      </x:c>
      <x:c r="D1505">
        <x:f>'Сценарии'!U22</x:f>
        <x:v>1</x:v>
      </x:c>
      <x:c r="E1505">
        <x:f>IF(C1505=D1505,1,0)</x:f>
        <x:v>1</x:v>
      </x:c>
    </x:row>
    <x:row r="1506">
      <x:c r="A1506" t="str">
        <x:v>Сценарии</x:v>
      </x:c>
      <x:c r="B1506" t="str">
        <x:v>V22</x:v>
      </x:c>
      <x:c r="C1506">
        <x:v>1</x:v>
      </x:c>
      <x:c r="D1506">
        <x:f>'Сценарии'!V22</x:f>
        <x:v>1</x:v>
      </x:c>
      <x:c r="E1506">
        <x:f>IF(C1506=D1506,1,0)</x:f>
        <x:v>1</x:v>
      </x:c>
    </x:row>
    <x:row r="1507">
      <x:c r="A1507" t="str">
        <x:v>Сценарии</x:v>
      </x:c>
      <x:c r="B1507" t="str">
        <x:v>X22</x:v>
      </x:c>
      <x:c r="C1507">
        <x:v>1.5</x:v>
      </x:c>
      <x:c r="D1507">
        <x:f>'Сценарии'!X22</x:f>
        <x:v>1.5</x:v>
      </x:c>
      <x:c r="E1507">
        <x:f>IF(C1507=D1507,1,0)</x:f>
        <x:v>1</x:v>
      </x:c>
    </x:row>
    <x:row r="1508">
      <x:c r="A1508" t="str">
        <x:v>Сценарии</x:v>
      </x:c>
      <x:c r="B1508" t="str">
        <x:v>Y22</x:v>
      </x:c>
      <x:c r="C1508">
        <x:v>0.20000000000000001</x:v>
      </x:c>
      <x:c r="D1508">
        <x:f>'Сценарии'!Y22</x:f>
        <x:v>0.20000000000000001</x:v>
      </x:c>
      <x:c r="E1508">
        <x:f>IF(C1508=D1508,1,0)</x:f>
        <x:v>1</x:v>
      </x:c>
    </x:row>
    <x:row r="1509">
      <x:c r="A1509" t="str">
        <x:v>Сценарии</x:v>
      </x:c>
      <x:c r="B1509" t="str">
        <x:v>Z22</x:v>
      </x:c>
      <x:c r="C1509">
        <x:v>1</x:v>
      </x:c>
      <x:c r="D1509">
        <x:f>'Сценарии'!Z22</x:f>
        <x:v>1</x:v>
      </x:c>
      <x:c r="E1509">
        <x:f>IF(C1509=D1509,1,0)</x:f>
        <x:v>1</x:v>
      </x:c>
    </x:row>
    <x:row r="1510">
      <x:c r="A1510" t="str">
        <x:v>Сценарии</x:v>
      </x:c>
      <x:c r="B1510" t="str">
        <x:v>AA22</x:v>
      </x:c>
      <x:c r="C1510">
        <x:v>0.29999999999999999</x:v>
      </x:c>
      <x:c r="D1510">
        <x:f>'Сценарии'!AA22</x:f>
        <x:v>0.29999999999999999</x:v>
      </x:c>
      <x:c r="E1510">
        <x:f>IF(C1510=D1510,1,0)</x:f>
        <x:v>1</x:v>
      </x:c>
    </x:row>
    <x:row r="1511">
      <x:c r="A1511" t="str">
        <x:v>Сценарии</x:v>
      </x:c>
      <x:c r="B1511" t="str">
        <x:v>AB22</x:v>
      </x:c>
      <x:c r="C1511">
        <x:v>0.40000000000000002</x:v>
      </x:c>
      <x:c r="D1511">
        <x:f>'Сценарии'!AB22</x:f>
        <x:v>0.40000000000000002</x:v>
      </x:c>
      <x:c r="E1511">
        <x:f>IF(C1511=D1511,1,0)</x:f>
        <x:v>1</x:v>
      </x:c>
    </x:row>
    <x:row r="1512">
      <x:c r="A1512" t="str">
        <x:v>Сценарии</x:v>
      </x:c>
      <x:c r="B1512" t="str">
        <x:v>AC22</x:v>
      </x:c>
      <x:c r="C1512">
        <x:v>1</x:v>
      </x:c>
      <x:c r="D1512">
        <x:f>'Сценарии'!AC22</x:f>
        <x:v>1</x:v>
      </x:c>
      <x:c r="E1512">
        <x:f>IF(C1512=D1512,1,0)</x:f>
        <x:v>1</x:v>
      </x:c>
    </x:row>
    <x:row r="1513">
      <x:c r="A1513" t="str">
        <x:v>Сценарии</x:v>
      </x:c>
      <x:c r="B1513" t="str">
        <x:v>D23</x:v>
      </x:c>
      <x:c r="C1513">
        <x:v>44000000</x:v>
      </x:c>
      <x:c r="D1513">
        <x:f>'Сценарии'!D23</x:f>
        <x:v>44000000</x:v>
      </x:c>
      <x:c r="E1513">
        <x:f>IF(C1513=D1513,1,0)</x:f>
        <x:v>1</x:v>
      </x:c>
    </x:row>
    <x:row r="1514">
      <x:c r="A1514" t="str">
        <x:v>Сценарии</x:v>
      </x:c>
      <x:c r="B1514" t="str">
        <x:v>E23</x:v>
      </x:c>
      <x:c r="C1514">
        <x:v>84000000</x:v>
      </x:c>
      <x:c r="D1514">
        <x:f>'Сценарии'!E23</x:f>
        <x:v>84000000</x:v>
      </x:c>
      <x:c r="E1514">
        <x:f>IF(C1514=D1514,1,0)</x:f>
        <x:v>1</x:v>
      </x:c>
    </x:row>
    <x:row r="1515">
      <x:c r="A1515" t="str">
        <x:v>Сценарии</x:v>
      </x:c>
      <x:c r="B1515" t="str">
        <x:v>F23</x:v>
      </x:c>
      <x:c r="C1515">
        <x:v>0.27999999999999997</x:v>
      </x:c>
      <x:c r="D1515">
        <x:f>'Сценарии'!F23</x:f>
        <x:v>0.27999999999999997</x:v>
      </x:c>
      <x:c r="E1515">
        <x:f>IF(C1515=D1515,1,0)</x:f>
        <x:v>1</x:v>
      </x:c>
    </x:row>
    <x:row r="1516">
      <x:c r="A1516" t="str">
        <x:v>Сценарии</x:v>
      </x:c>
      <x:c r="B1516" t="str">
        <x:v>G23</x:v>
      </x:c>
      <x:c r="C1516">
        <x:v>0.12</x:v>
      </x:c>
      <x:c r="D1516">
        <x:f>'Сценарии'!G23</x:f>
        <x:v>0.12</x:v>
      </x:c>
      <x:c r="E1516">
        <x:f>IF(C1516=D1516,1,0)</x:f>
        <x:v>1</x:v>
      </x:c>
    </x:row>
    <x:row r="1517">
      <x:c r="A1517" t="str">
        <x:v>Сценарии</x:v>
      </x:c>
      <x:c r="B1517" t="str">
        <x:v>H23</x:v>
      </x:c>
      <x:c r="C1517">
        <x:v>0.17999999999999999</x:v>
      </x:c>
      <x:c r="D1517">
        <x:f>'Сценарии'!H23</x:f>
        <x:v>0.17999999999999999</x:v>
      </x:c>
      <x:c r="E1517">
        <x:f>IF(C1517=D1517,1,0)</x:f>
        <x:v>1</x:v>
      </x:c>
    </x:row>
    <x:row r="1518">
      <x:c r="A1518" t="str">
        <x:v>Сценарии</x:v>
      </x:c>
      <x:c r="B1518" t="str">
        <x:v>I23</x:v>
      </x:c>
      <x:c r="C1518">
        <x:v>0.41999999999999998</x:v>
      </x:c>
      <x:c r="D1518">
        <x:f>'Сценарии'!I23</x:f>
        <x:v>0.41999999999999998</x:v>
      </x:c>
      <x:c r="E1518">
        <x:f>IF(C1518=D1518,1,0)</x:f>
        <x:v>1</x:v>
      </x:c>
    </x:row>
    <x:row r="1519">
      <x:c r="A1519" t="str">
        <x:v>Сценарии</x:v>
      </x:c>
      <x:c r="B1519" t="str">
        <x:v>J23</x:v>
      </x:c>
      <x:c r="C1519">
        <x:v>0.17999999999999999</x:v>
      </x:c>
      <x:c r="D1519">
        <x:f>'Сценарии'!J23</x:f>
        <x:v>0.17999999999999999</x:v>
      </x:c>
      <x:c r="E1519">
        <x:f>IF(C1519=D1519,1,0)</x:f>
        <x:v>1</x:v>
      </x:c>
    </x:row>
    <x:row r="1520">
      <x:c r="A1520" t="str">
        <x:v>Сценарии</x:v>
      </x:c>
      <x:c r="B1520" t="str">
        <x:v>K23</x:v>
      </x:c>
      <x:c r="C1520">
        <x:v>0.26100000000000001</x:v>
      </x:c>
      <x:c r="D1520">
        <x:f>'Сценарии'!K23</x:f>
        <x:v>0.26100000000000001</x:v>
      </x:c>
      <x:c r="E1520">
        <x:f>IF(C1520=D1520,1,0)</x:f>
        <x:v>1</x:v>
      </x:c>
    </x:row>
    <x:row r="1521">
      <x:c r="A1521" t="str">
        <x:v>Сценарии</x:v>
      </x:c>
      <x:c r="B1521" t="str">
        <x:v>L23</x:v>
      </x:c>
      <x:c r="C1521">
        <x:v>2</x:v>
      </x:c>
      <x:c r="D1521">
        <x:f>'Сценарии'!L23</x:f>
        <x:v>2</x:v>
      </x:c>
      <x:c r="E1521">
        <x:f>IF(C1521=D1521,1,0)</x:f>
        <x:v>1</x:v>
      </x:c>
    </x:row>
    <x:row r="1522">
      <x:c r="A1522" t="str">
        <x:v>Сценарии</x:v>
      </x:c>
      <x:c r="B1522" t="str">
        <x:v>M23</x:v>
      </x:c>
      <x:c r="C1522">
        <x:v>0.5</x:v>
      </x:c>
      <x:c r="D1522">
        <x:f>'Сценарии'!M23</x:f>
        <x:v>0.5</x:v>
      </x:c>
      <x:c r="E1522">
        <x:f>IF(C1522=D1522,1,0)</x:f>
        <x:v>1</x:v>
      </x:c>
    </x:row>
    <x:row r="1523">
      <x:c r="A1523" t="str">
        <x:v>Сценарии</x:v>
      </x:c>
      <x:c r="B1523" t="str">
        <x:v>N23</x:v>
      </x:c>
      <x:c r="C1523">
        <x:v>0.80000000000000004</x:v>
      </x:c>
      <x:c r="D1523">
        <x:f>'Сценарии'!N23</x:f>
        <x:v>0.80000000000000004</x:v>
      </x:c>
      <x:c r="E1523">
        <x:f>IF(C1523=D1523,1,0)</x:f>
        <x:v>1</x:v>
      </x:c>
    </x:row>
    <x:row r="1524">
      <x:c r="A1524" t="str">
        <x:v>Сценарии</x:v>
      </x:c>
      <x:c r="B1524" t="str">
        <x:v>O23</x:v>
      </x:c>
      <x:c r="C1524">
        <x:v>1</x:v>
      </x:c>
      <x:c r="D1524">
        <x:f>'Сценарии'!O23</x:f>
        <x:v>1</x:v>
      </x:c>
      <x:c r="E1524">
        <x:f>IF(C1524=D1524,1,0)</x:f>
        <x:v>1</x:v>
      </x:c>
    </x:row>
    <x:row r="1525">
      <x:c r="A1525" t="str">
        <x:v>Сценарии</x:v>
      </x:c>
      <x:c r="B1525" t="str">
        <x:v>P23</x:v>
      </x:c>
      <x:c r="C1525">
        <x:v>0.25</x:v>
      </x:c>
      <x:c r="D1525">
        <x:f>'Сценарии'!P23</x:f>
        <x:v>0.25</x:v>
      </x:c>
      <x:c r="E1525">
        <x:f>IF(C1525=D1525,1,0)</x:f>
        <x:v>1</x:v>
      </x:c>
    </x:row>
    <x:row r="1526">
      <x:c r="A1526" t="str">
        <x:v>Сценарии</x:v>
      </x:c>
      <x:c r="B1526" t="str">
        <x:v>Q23</x:v>
      </x:c>
      <x:c r="C1526">
        <x:v>0.25</x:v>
      </x:c>
      <x:c r="D1526">
        <x:f>'Сценарии'!Q23</x:f>
        <x:v>0.25</x:v>
      </x:c>
      <x:c r="E1526">
        <x:f>IF(C1526=D1526,1,0)</x:f>
        <x:v>1</x:v>
      </x:c>
    </x:row>
    <x:row r="1527">
      <x:c r="A1527" t="str">
        <x:v>Сценарии</x:v>
      </x:c>
      <x:c r="B1527" t="str">
        <x:v>R23</x:v>
      </x:c>
      <x:c r="C1527">
        <x:v>0</x:v>
      </x:c>
      <x:c r="D1527">
        <x:f>'Сценарии'!R23</x:f>
        <x:v>0</x:v>
      </x:c>
      <x:c r="E1527">
        <x:f>IF(C1527=D1527,1,0)</x:f>
        <x:v>1</x:v>
      </x:c>
    </x:row>
    <x:row r="1528">
      <x:c r="A1528" t="str">
        <x:v>Сценарии</x:v>
      </x:c>
      <x:c r="B1528" t="str">
        <x:v>S23</x:v>
      </x:c>
      <x:c r="C1528">
        <x:v>0</x:v>
      </x:c>
      <x:c r="D1528">
        <x:f>'Сценарии'!S23</x:f>
        <x:v>0</x:v>
      </x:c>
      <x:c r="E1528">
        <x:f>IF(C1528=D1528,1,0)</x:f>
        <x:v>1</x:v>
      </x:c>
    </x:row>
    <x:row r="1529">
      <x:c r="A1529" t="str">
        <x:v>Сценарии</x:v>
      </x:c>
      <x:c r="B1529" t="str">
        <x:v>T23</x:v>
      </x:c>
      <x:c r="C1529">
        <x:v>0</x:v>
      </x:c>
      <x:c r="D1529">
        <x:f>'Сценарии'!T23</x:f>
        <x:v>0</x:v>
      </x:c>
      <x:c r="E1529">
        <x:f>IF(C1529=D1529,1,0)</x:f>
        <x:v>1</x:v>
      </x:c>
    </x:row>
    <x:row r="1530">
      <x:c r="A1530" t="str">
        <x:v>Сценарии</x:v>
      </x:c>
      <x:c r="B1530" t="str">
        <x:v>U23</x:v>
      </x:c>
      <x:c r="C1530">
        <x:v>1</x:v>
      </x:c>
      <x:c r="D1530">
        <x:f>'Сценарии'!U23</x:f>
        <x:v>1</x:v>
      </x:c>
      <x:c r="E1530">
        <x:f>IF(C1530=D1530,1,0)</x:f>
        <x:v>1</x:v>
      </x:c>
    </x:row>
    <x:row r="1531">
      <x:c r="A1531" t="str">
        <x:v>Сценарии</x:v>
      </x:c>
      <x:c r="B1531" t="str">
        <x:v>V23</x:v>
      </x:c>
      <x:c r="C1531">
        <x:v>1</x:v>
      </x:c>
      <x:c r="D1531">
        <x:f>'Сценарии'!V23</x:f>
        <x:v>1</x:v>
      </x:c>
      <x:c r="E1531">
        <x:f>IF(C1531=D1531,1,0)</x:f>
        <x:v>1</x:v>
      </x:c>
    </x:row>
    <x:row r="1532">
      <x:c r="A1532" t="str">
        <x:v>Сценарии</x:v>
      </x:c>
      <x:c r="B1532" t="str">
        <x:v>X23</x:v>
      </x:c>
      <x:c r="C1532">
        <x:v>1.5</x:v>
      </x:c>
      <x:c r="D1532">
        <x:f>'Сценарии'!X23</x:f>
        <x:v>1.5</x:v>
      </x:c>
      <x:c r="E1532">
        <x:f>IF(C1532=D1532,1,0)</x:f>
        <x:v>1</x:v>
      </x:c>
    </x:row>
    <x:row r="1533">
      <x:c r="A1533" t="str">
        <x:v>Сценарии</x:v>
      </x:c>
      <x:c r="B1533" t="str">
        <x:v>Y23</x:v>
      </x:c>
      <x:c r="C1533">
        <x:v>0.20000000000000001</x:v>
      </x:c>
      <x:c r="D1533">
        <x:f>'Сценарии'!Y23</x:f>
        <x:v>0.20000000000000001</x:v>
      </x:c>
      <x:c r="E1533">
        <x:f>IF(C1533=D1533,1,0)</x:f>
        <x:v>1</x:v>
      </x:c>
    </x:row>
    <x:row r="1534">
      <x:c r="A1534" t="str">
        <x:v>Сценарии</x:v>
      </x:c>
      <x:c r="B1534" t="str">
        <x:v>Z23</x:v>
      </x:c>
      <x:c r="C1534">
        <x:v>1</x:v>
      </x:c>
      <x:c r="D1534">
        <x:f>'Сценарии'!Z23</x:f>
        <x:v>1</x:v>
      </x:c>
      <x:c r="E1534">
        <x:f>IF(C1534=D1534,1,0)</x:f>
        <x:v>1</x:v>
      </x:c>
    </x:row>
    <x:row r="1535">
      <x:c r="A1535" t="str">
        <x:v>Сценарии</x:v>
      </x:c>
      <x:c r="B1535" t="str">
        <x:v>AA23</x:v>
      </x:c>
      <x:c r="C1535">
        <x:v>0.29999999999999999</x:v>
      </x:c>
      <x:c r="D1535">
        <x:f>'Сценарии'!AA23</x:f>
        <x:v>0.29999999999999999</x:v>
      </x:c>
      <x:c r="E1535">
        <x:f>IF(C1535=D1535,1,0)</x:f>
        <x:v>1</x:v>
      </x:c>
    </x:row>
    <x:row r="1536">
      <x:c r="A1536" t="str">
        <x:v>Сценарии</x:v>
      </x:c>
      <x:c r="B1536" t="str">
        <x:v>AB23</x:v>
      </x:c>
      <x:c r="C1536">
        <x:v>0.40000000000000002</x:v>
      </x:c>
      <x:c r="D1536">
        <x:f>'Сценарии'!AB23</x:f>
        <x:v>0.40000000000000002</x:v>
      </x:c>
      <x:c r="E1536">
        <x:f>IF(C1536=D1536,1,0)</x:f>
        <x:v>1</x:v>
      </x:c>
    </x:row>
    <x:row r="1537">
      <x:c r="A1537" t="str">
        <x:v>Сценарии</x:v>
      </x:c>
      <x:c r="B1537" t="str">
        <x:v>AC23</x:v>
      </x:c>
      <x:c r="C1537">
        <x:v>1</x:v>
      </x:c>
      <x:c r="D1537">
        <x:f>'Сценарии'!AC23</x:f>
        <x:v>1</x:v>
      </x:c>
      <x:c r="E1537">
        <x:f>IF(C1537=D1537,1,0)</x:f>
        <x:v>1</x:v>
      </x:c>
    </x:row>
    <x:row r="1538">
      <x:c r="A1538" t="str">
        <x:v>Сценарии</x:v>
      </x:c>
      <x:c r="B1538" t="str">
        <x:v>D24</x:v>
      </x:c>
      <x:c r="C1538">
        <x:v>44000000</x:v>
      </x:c>
      <x:c r="D1538">
        <x:f>'Сценарии'!D24</x:f>
        <x:v>44000000</x:v>
      </x:c>
      <x:c r="E1538">
        <x:f>IF(C1538=D1538,1,0)</x:f>
        <x:v>1</x:v>
      </x:c>
    </x:row>
    <x:row r="1539">
      <x:c r="A1539" t="str">
        <x:v>Сценарии</x:v>
      </x:c>
      <x:c r="B1539" t="str">
        <x:v>E24</x:v>
      </x:c>
      <x:c r="C1539">
        <x:v>84000000</x:v>
      </x:c>
      <x:c r="D1539">
        <x:f>'Сценарии'!E24</x:f>
        <x:v>84000000</x:v>
      </x:c>
      <x:c r="E1539">
        <x:f>IF(C1539=D1539,1,0)</x:f>
        <x:v>1</x:v>
      </x:c>
    </x:row>
    <x:row r="1540">
      <x:c r="A1540" t="str">
        <x:v>Сценарии</x:v>
      </x:c>
      <x:c r="B1540" t="str">
        <x:v>F24</x:v>
      </x:c>
      <x:c r="C1540">
        <x:v>0.27999999999999997</x:v>
      </x:c>
      <x:c r="D1540">
        <x:f>'Сценарии'!F24</x:f>
        <x:v>0.27999999999999997</x:v>
      </x:c>
      <x:c r="E1540">
        <x:f>IF(C1540=D1540,1,0)</x:f>
        <x:v>1</x:v>
      </x:c>
    </x:row>
    <x:row r="1541">
      <x:c r="A1541" t="str">
        <x:v>Сценарии</x:v>
      </x:c>
      <x:c r="B1541" t="str">
        <x:v>G24</x:v>
      </x:c>
      <x:c r="C1541">
        <x:v>0.12</x:v>
      </x:c>
      <x:c r="D1541">
        <x:f>'Сценарии'!G24</x:f>
        <x:v>0.12</x:v>
      </x:c>
      <x:c r="E1541">
        <x:f>IF(C1541=D1541,1,0)</x:f>
        <x:v>1</x:v>
      </x:c>
    </x:row>
    <x:row r="1542">
      <x:c r="A1542" t="str">
        <x:v>Сценарии</x:v>
      </x:c>
      <x:c r="B1542" t="str">
        <x:v>H24</x:v>
      </x:c>
      <x:c r="C1542">
        <x:v>0.17999999999999999</x:v>
      </x:c>
      <x:c r="D1542">
        <x:f>'Сценарии'!H24</x:f>
        <x:v>0.17999999999999999</x:v>
      </x:c>
      <x:c r="E1542">
        <x:f>IF(C1542=D1542,1,0)</x:f>
        <x:v>1</x:v>
      </x:c>
    </x:row>
    <x:row r="1543">
      <x:c r="A1543" t="str">
        <x:v>Сценарии</x:v>
      </x:c>
      <x:c r="B1543" t="str">
        <x:v>I24</x:v>
      </x:c>
      <x:c r="C1543">
        <x:v>0.41999999999999998</x:v>
      </x:c>
      <x:c r="D1543">
        <x:f>'Сценарии'!I24</x:f>
        <x:v>0.41999999999999998</x:v>
      </x:c>
      <x:c r="E1543">
        <x:f>IF(C1543=D1543,1,0)</x:f>
        <x:v>1</x:v>
      </x:c>
    </x:row>
    <x:row r="1544">
      <x:c r="A1544" t="str">
        <x:v>Сценарии</x:v>
      </x:c>
      <x:c r="B1544" t="str">
        <x:v>J24</x:v>
      </x:c>
      <x:c r="C1544">
        <x:v>0.20100000000000001</x:v>
      </x:c>
      <x:c r="D1544">
        <x:f>'Сценарии'!J24</x:f>
        <x:v>0.20100000000000001</x:v>
      </x:c>
      <x:c r="E1544">
        <x:f>IF(C1544=D1544,1,0)</x:f>
        <x:v>1</x:v>
      </x:c>
    </x:row>
    <x:row r="1545">
      <x:c r="A1545" t="str">
        <x:v>Сценарии</x:v>
      </x:c>
      <x:c r="B1545" t="str">
        <x:v>K24</x:v>
      </x:c>
      <x:c r="C1545">
        <x:v>0.28200000000000003</x:v>
      </x:c>
      <x:c r="D1545">
        <x:f>'Сценарии'!K24</x:f>
        <x:v>0.28200000000000003</x:v>
      </x:c>
      <x:c r="E1545">
        <x:f>IF(C1545=D1545,1,0)</x:f>
        <x:v>1</x:v>
      </x:c>
    </x:row>
    <x:row r="1546">
      <x:c r="A1546" t="str">
        <x:v>Сценарии</x:v>
      </x:c>
      <x:c r="B1546" t="str">
        <x:v>L24</x:v>
      </x:c>
      <x:c r="C1546">
        <x:v>2</x:v>
      </x:c>
      <x:c r="D1546">
        <x:f>'Сценарии'!L24</x:f>
        <x:v>2</x:v>
      </x:c>
      <x:c r="E1546">
        <x:f>IF(C1546=D1546,1,0)</x:f>
        <x:v>1</x:v>
      </x:c>
    </x:row>
    <x:row r="1547">
      <x:c r="A1547" t="str">
        <x:v>Сценарии</x:v>
      </x:c>
      <x:c r="B1547" t="str">
        <x:v>M24</x:v>
      </x:c>
      <x:c r="C1547">
        <x:v>0.5</x:v>
      </x:c>
      <x:c r="D1547">
        <x:f>'Сценарии'!M24</x:f>
        <x:v>0.5</x:v>
      </x:c>
      <x:c r="E1547">
        <x:f>IF(C1547=D1547,1,0)</x:f>
        <x:v>1</x:v>
      </x:c>
    </x:row>
    <x:row r="1548">
      <x:c r="A1548" t="str">
        <x:v>Сценарии</x:v>
      </x:c>
      <x:c r="B1548" t="str">
        <x:v>N24</x:v>
      </x:c>
      <x:c r="C1548">
        <x:v>0.80000000000000004</x:v>
      </x:c>
      <x:c r="D1548">
        <x:f>'Сценарии'!N24</x:f>
        <x:v>0.80000000000000004</x:v>
      </x:c>
      <x:c r="E1548">
        <x:f>IF(C1548=D1548,1,0)</x:f>
        <x:v>1</x:v>
      </x:c>
    </x:row>
    <x:row r="1549">
      <x:c r="A1549" t="str">
        <x:v>Сценарии</x:v>
      </x:c>
      <x:c r="B1549" t="str">
        <x:v>O24</x:v>
      </x:c>
      <x:c r="C1549">
        <x:v>1</x:v>
      </x:c>
      <x:c r="D1549">
        <x:f>'Сценарии'!O24</x:f>
        <x:v>1</x:v>
      </x:c>
      <x:c r="E1549">
        <x:f>IF(C1549=D1549,1,0)</x:f>
        <x:v>1</x:v>
      </x:c>
    </x:row>
    <x:row r="1550">
      <x:c r="A1550" t="str">
        <x:v>Сценарии</x:v>
      </x:c>
      <x:c r="B1550" t="str">
        <x:v>P24</x:v>
      </x:c>
      <x:c r="C1550">
        <x:v>0.25</x:v>
      </x:c>
      <x:c r="D1550">
        <x:f>'Сценарии'!P24</x:f>
        <x:v>0.25</x:v>
      </x:c>
      <x:c r="E1550">
        <x:f>IF(C1550=D1550,1,0)</x:f>
        <x:v>1</x:v>
      </x:c>
    </x:row>
    <x:row r="1551">
      <x:c r="A1551" t="str">
        <x:v>Сценарии</x:v>
      </x:c>
      <x:c r="B1551" t="str">
        <x:v>Q24</x:v>
      </x:c>
      <x:c r="C1551">
        <x:v>0.25</x:v>
      </x:c>
      <x:c r="D1551">
        <x:f>'Сценарии'!Q24</x:f>
        <x:v>0.25</x:v>
      </x:c>
      <x:c r="E1551">
        <x:f>IF(C1551=D1551,1,0)</x:f>
        <x:v>1</x:v>
      </x:c>
    </x:row>
    <x:row r="1552">
      <x:c r="A1552" t="str">
        <x:v>Сценарии</x:v>
      </x:c>
      <x:c r="B1552" t="str">
        <x:v>R24</x:v>
      </x:c>
      <x:c r="C1552">
        <x:v>0</x:v>
      </x:c>
      <x:c r="D1552">
        <x:f>'Сценарии'!R24</x:f>
        <x:v>0</x:v>
      </x:c>
      <x:c r="E1552">
        <x:f>IF(C1552=D1552,1,0)</x:f>
        <x:v>1</x:v>
      </x:c>
    </x:row>
    <x:row r="1553">
      <x:c r="A1553" t="str">
        <x:v>Сценарии</x:v>
      </x:c>
      <x:c r="B1553" t="str">
        <x:v>S24</x:v>
      </x:c>
      <x:c r="C1553">
        <x:v>0</x:v>
      </x:c>
      <x:c r="D1553">
        <x:f>'Сценарии'!S24</x:f>
        <x:v>0</x:v>
      </x:c>
      <x:c r="E1553">
        <x:f>IF(C1553=D1553,1,0)</x:f>
        <x:v>1</x:v>
      </x:c>
    </x:row>
    <x:row r="1554">
      <x:c r="A1554" t="str">
        <x:v>Сценарии</x:v>
      </x:c>
      <x:c r="B1554" t="str">
        <x:v>T24</x:v>
      </x:c>
      <x:c r="C1554">
        <x:v>0</x:v>
      </x:c>
      <x:c r="D1554">
        <x:f>'Сценарии'!T24</x:f>
        <x:v>0</x:v>
      </x:c>
      <x:c r="E1554">
        <x:f>IF(C1554=D1554,1,0)</x:f>
        <x:v>1</x:v>
      </x:c>
    </x:row>
    <x:row r="1555">
      <x:c r="A1555" t="str">
        <x:v>Сценарии</x:v>
      </x:c>
      <x:c r="B1555" t="str">
        <x:v>U24</x:v>
      </x:c>
      <x:c r="C1555">
        <x:v>1</x:v>
      </x:c>
      <x:c r="D1555">
        <x:f>'Сценарии'!U24</x:f>
        <x:v>1</x:v>
      </x:c>
      <x:c r="E1555">
        <x:f>IF(C1555=D1555,1,0)</x:f>
        <x:v>1</x:v>
      </x:c>
    </x:row>
    <x:row r="1556">
      <x:c r="A1556" t="str">
        <x:v>Сценарии</x:v>
      </x:c>
      <x:c r="B1556" t="str">
        <x:v>V24</x:v>
      </x:c>
      <x:c r="C1556">
        <x:v>1</x:v>
      </x:c>
      <x:c r="D1556">
        <x:f>'Сценарии'!V24</x:f>
        <x:v>1</x:v>
      </x:c>
      <x:c r="E1556">
        <x:f>IF(C1556=D1556,1,0)</x:f>
        <x:v>1</x:v>
      </x:c>
    </x:row>
    <x:row r="1557">
      <x:c r="A1557" t="str">
        <x:v>Сценарии</x:v>
      </x:c>
      <x:c r="B1557" t="str">
        <x:v>X24</x:v>
      </x:c>
      <x:c r="C1557">
        <x:v>1.5</x:v>
      </x:c>
      <x:c r="D1557">
        <x:f>'Сценарии'!X24</x:f>
        <x:v>1.5</x:v>
      </x:c>
      <x:c r="E1557">
        <x:f>IF(C1557=D1557,1,0)</x:f>
        <x:v>1</x:v>
      </x:c>
    </x:row>
    <x:row r="1558">
      <x:c r="A1558" t="str">
        <x:v>Сценарии</x:v>
      </x:c>
      <x:c r="B1558" t="str">
        <x:v>Y24</x:v>
      </x:c>
      <x:c r="C1558">
        <x:v>0.20000000000000001</x:v>
      </x:c>
      <x:c r="D1558">
        <x:f>'Сценарии'!Y24</x:f>
        <x:v>0.20000000000000001</x:v>
      </x:c>
      <x:c r="E1558">
        <x:f>IF(C1558=D1558,1,0)</x:f>
        <x:v>1</x:v>
      </x:c>
    </x:row>
    <x:row r="1559">
      <x:c r="A1559" t="str">
        <x:v>Сценарии</x:v>
      </x:c>
      <x:c r="B1559" t="str">
        <x:v>Z24</x:v>
      </x:c>
      <x:c r="C1559">
        <x:v>1</x:v>
      </x:c>
      <x:c r="D1559">
        <x:f>'Сценарии'!Z24</x:f>
        <x:v>1</x:v>
      </x:c>
      <x:c r="E1559">
        <x:f>IF(C1559=D1559,1,0)</x:f>
        <x:v>1</x:v>
      </x:c>
    </x:row>
    <x:row r="1560">
      <x:c r="A1560" t="str">
        <x:v>Сценарии</x:v>
      </x:c>
      <x:c r="B1560" t="str">
        <x:v>AA24</x:v>
      </x:c>
      <x:c r="C1560">
        <x:v>0.29999999999999999</x:v>
      </x:c>
      <x:c r="D1560">
        <x:f>'Сценарии'!AA24</x:f>
        <x:v>0.29999999999999999</x:v>
      </x:c>
      <x:c r="E1560">
        <x:f>IF(C1560=D1560,1,0)</x:f>
        <x:v>1</x:v>
      </x:c>
    </x:row>
    <x:row r="1561">
      <x:c r="A1561" t="str">
        <x:v>Сценарии</x:v>
      </x:c>
      <x:c r="B1561" t="str">
        <x:v>AB24</x:v>
      </x:c>
      <x:c r="C1561">
        <x:v>0.40000000000000002</x:v>
      </x:c>
      <x:c r="D1561">
        <x:f>'Сценарии'!AB24</x:f>
        <x:v>0.40000000000000002</x:v>
      </x:c>
      <x:c r="E1561">
        <x:f>IF(C1561=D1561,1,0)</x:f>
        <x:v>1</x:v>
      </x:c>
    </x:row>
    <x:row r="1562">
      <x:c r="A1562" t="str">
        <x:v>Сценарии</x:v>
      </x:c>
      <x:c r="B1562" t="str">
        <x:v>AC24</x:v>
      </x:c>
      <x:c r="C1562">
        <x:v>1</x:v>
      </x:c>
      <x:c r="D1562">
        <x:f>'Сценарии'!AC24</x:f>
        <x:v>1</x:v>
      </x:c>
      <x:c r="E1562">
        <x:f>IF(C1562=D1562,1,0)</x:f>
        <x:v>1</x:v>
      </x:c>
    </x:row>
    <x:row r="1563">
      <x:c r="A1563" t="str">
        <x:v>Сценарии</x:v>
      </x:c>
      <x:c r="B1563" t="str">
        <x:v>D25</x:v>
      </x:c>
      <x:c r="C1563">
        <x:v>44000000</x:v>
      </x:c>
      <x:c r="D1563">
        <x:f>'Сценарии'!D25</x:f>
        <x:v>44000000</x:v>
      </x:c>
      <x:c r="E1563">
        <x:f>IF(C1563=D1563,1,0)</x:f>
        <x:v>1</x:v>
      </x:c>
    </x:row>
    <x:row r="1564">
      <x:c r="A1564" t="str">
        <x:v>Сценарии</x:v>
      </x:c>
      <x:c r="B1564" t="str">
        <x:v>E25</x:v>
      </x:c>
      <x:c r="C1564">
        <x:v>84000000</x:v>
      </x:c>
      <x:c r="D1564">
        <x:f>'Сценарии'!E25</x:f>
        <x:v>84000000</x:v>
      </x:c>
      <x:c r="E1564">
        <x:f>IF(C1564=D1564,1,0)</x:f>
        <x:v>1</x:v>
      </x:c>
    </x:row>
    <x:row r="1565">
      <x:c r="A1565" t="str">
        <x:v>Сценарии</x:v>
      </x:c>
      <x:c r="B1565" t="str">
        <x:v>F25</x:v>
      </x:c>
      <x:c r="C1565">
        <x:v>0.27999999999999997</x:v>
      </x:c>
      <x:c r="D1565">
        <x:f>'Сценарии'!F25</x:f>
        <x:v>0.27999999999999997</x:v>
      </x:c>
      <x:c r="E1565">
        <x:f>IF(C1565=D1565,1,0)</x:f>
        <x:v>1</x:v>
      </x:c>
    </x:row>
    <x:row r="1566">
      <x:c r="A1566" t="str">
        <x:v>Сценарии</x:v>
      </x:c>
      <x:c r="B1566" t="str">
        <x:v>G25</x:v>
      </x:c>
      <x:c r="C1566">
        <x:v>0.12</x:v>
      </x:c>
      <x:c r="D1566">
        <x:f>'Сценарии'!G25</x:f>
        <x:v>0.12</x:v>
      </x:c>
      <x:c r="E1566">
        <x:f>IF(C1566=D1566,1,0)</x:f>
        <x:v>1</x:v>
      </x:c>
    </x:row>
    <x:row r="1567">
      <x:c r="A1567" t="str">
        <x:v>Сценарии</x:v>
      </x:c>
      <x:c r="B1567" t="str">
        <x:v>H25</x:v>
      </x:c>
      <x:c r="C1567">
        <x:v>0.17999999999999999</x:v>
      </x:c>
      <x:c r="D1567">
        <x:f>'Сценарии'!H25</x:f>
        <x:v>0.17999999999999999</x:v>
      </x:c>
      <x:c r="E1567">
        <x:f>IF(C1567=D1567,1,0)</x:f>
        <x:v>1</x:v>
      </x:c>
    </x:row>
    <x:row r="1568">
      <x:c r="A1568" t="str">
        <x:v>Сценарии</x:v>
      </x:c>
      <x:c r="B1568" t="str">
        <x:v>I25</x:v>
      </x:c>
      <x:c r="C1568">
        <x:v>0.41999999999999998</x:v>
      </x:c>
      <x:c r="D1568">
        <x:f>'Сценарии'!I25</x:f>
        <x:v>0.41999999999999998</x:v>
      </x:c>
      <x:c r="E1568">
        <x:f>IF(C1568=D1568,1,0)</x:f>
        <x:v>1</x:v>
      </x:c>
    </x:row>
    <x:row r="1569">
      <x:c r="A1569" t="str">
        <x:v>Сценарии</x:v>
      </x:c>
      <x:c r="B1569" t="str">
        <x:v>J25</x:v>
      </x:c>
      <x:c r="C1569">
        <x:v>0.14999999999999999</x:v>
      </x:c>
      <x:c r="D1569">
        <x:f>'Сценарии'!J25</x:f>
        <x:v>0.14999999999999999</x:v>
      </x:c>
      <x:c r="E1569">
        <x:f>IF(C1569=D1569,1,0)</x:f>
        <x:v>1</x:v>
      </x:c>
    </x:row>
    <x:row r="1570">
      <x:c r="A1570" t="str">
        <x:v>Сценарии</x:v>
      </x:c>
      <x:c r="B1570" t="str">
        <x:v>K25</x:v>
      </x:c>
      <x:c r="C1570">
        <x:v>0.23099999999999998</x:v>
      </x:c>
      <x:c r="D1570">
        <x:f>'Сценарии'!K25</x:f>
        <x:v>0.23099999999999998</x:v>
      </x:c>
      <x:c r="E1570">
        <x:f>IF(C1570=D1570,1,0)</x:f>
        <x:v>1</x:v>
      </x:c>
    </x:row>
    <x:row r="1571">
      <x:c r="A1571" t="str">
        <x:v>Сценарии</x:v>
      </x:c>
      <x:c r="B1571" t="str">
        <x:v>L25</x:v>
      </x:c>
      <x:c r="C1571">
        <x:v>2</x:v>
      </x:c>
      <x:c r="D1571">
        <x:f>'Сценарии'!L25</x:f>
        <x:v>2</x:v>
      </x:c>
      <x:c r="E1571">
        <x:f>IF(C1571=D1571,1,0)</x:f>
        <x:v>1</x:v>
      </x:c>
    </x:row>
    <x:row r="1572">
      <x:c r="A1572" t="str">
        <x:v>Сценарии</x:v>
      </x:c>
      <x:c r="B1572" t="str">
        <x:v>M25</x:v>
      </x:c>
      <x:c r="C1572">
        <x:v>0.5</x:v>
      </x:c>
      <x:c r="D1572">
        <x:f>'Сценарии'!M25</x:f>
        <x:v>0.5</x:v>
      </x:c>
      <x:c r="E1572">
        <x:f>IF(C1572=D1572,1,0)</x:f>
        <x:v>1</x:v>
      </x:c>
    </x:row>
    <x:row r="1573">
      <x:c r="A1573" t="str">
        <x:v>Сценарии</x:v>
      </x:c>
      <x:c r="B1573" t="str">
        <x:v>N25</x:v>
      </x:c>
      <x:c r="C1573">
        <x:v>0</x:v>
      </x:c>
      <x:c r="D1573">
        <x:f>'Сценарии'!N25</x:f>
        <x:v>0</x:v>
      </x:c>
      <x:c r="E1573">
        <x:f>IF(C1573=D1573,1,0)</x:f>
        <x:v>1</x:v>
      </x:c>
    </x:row>
    <x:row r="1574">
      <x:c r="A1574" t="str">
        <x:v>Сценарии</x:v>
      </x:c>
      <x:c r="B1574" t="str">
        <x:v>O25</x:v>
      </x:c>
      <x:c r="C1574">
        <x:v>1</x:v>
      </x:c>
      <x:c r="D1574">
        <x:f>'Сценарии'!O25</x:f>
        <x:v>1</x:v>
      </x:c>
      <x:c r="E1574">
        <x:f>IF(C1574=D1574,1,0)</x:f>
        <x:v>1</x:v>
      </x:c>
    </x:row>
    <x:row r="1575">
      <x:c r="A1575" t="str">
        <x:v>Сценарии</x:v>
      </x:c>
      <x:c r="B1575" t="str">
        <x:v>P25</x:v>
      </x:c>
      <x:c r="C1575">
        <x:v>0.25</x:v>
      </x:c>
      <x:c r="D1575">
        <x:f>'Сценарии'!P25</x:f>
        <x:v>0.25</x:v>
      </x:c>
      <x:c r="E1575">
        <x:f>IF(C1575=D1575,1,0)</x:f>
        <x:v>1</x:v>
      </x:c>
    </x:row>
    <x:row r="1576">
      <x:c r="A1576" t="str">
        <x:v>Сценарии</x:v>
      </x:c>
      <x:c r="B1576" t="str">
        <x:v>Q25</x:v>
      </x:c>
      <x:c r="C1576">
        <x:v>0.25</x:v>
      </x:c>
      <x:c r="D1576">
        <x:f>'Сценарии'!Q25</x:f>
        <x:v>0.25</x:v>
      </x:c>
      <x:c r="E1576">
        <x:f>IF(C1576=D1576,1,0)</x:f>
        <x:v>1</x:v>
      </x:c>
    </x:row>
    <x:row r="1577">
      <x:c r="A1577" t="str">
        <x:v>Сценарии</x:v>
      </x:c>
      <x:c r="B1577" t="str">
        <x:v>R25</x:v>
      </x:c>
      <x:c r="C1577">
        <x:v>0</x:v>
      </x:c>
      <x:c r="D1577">
        <x:f>'Сценарии'!R25</x:f>
        <x:v>0</x:v>
      </x:c>
      <x:c r="E1577">
        <x:f>IF(C1577=D1577,1,0)</x:f>
        <x:v>1</x:v>
      </x:c>
    </x:row>
    <x:row r="1578">
      <x:c r="A1578" t="str">
        <x:v>Сценарии</x:v>
      </x:c>
      <x:c r="B1578" t="str">
        <x:v>S25</x:v>
      </x:c>
      <x:c r="C1578">
        <x:v>0</x:v>
      </x:c>
      <x:c r="D1578">
        <x:f>'Сценарии'!S25</x:f>
        <x:v>0</x:v>
      </x:c>
      <x:c r="E1578">
        <x:f>IF(C1578=D1578,1,0)</x:f>
        <x:v>1</x:v>
      </x:c>
    </x:row>
    <x:row r="1579">
      <x:c r="A1579" t="str">
        <x:v>Сценарии</x:v>
      </x:c>
      <x:c r="B1579" t="str">
        <x:v>T25</x:v>
      </x:c>
      <x:c r="C1579">
        <x:v>0</x:v>
      </x:c>
      <x:c r="D1579">
        <x:f>'Сценарии'!T25</x:f>
        <x:v>0</x:v>
      </x:c>
      <x:c r="E1579">
        <x:f>IF(C1579=D1579,1,0)</x:f>
        <x:v>1</x:v>
      </x:c>
    </x:row>
    <x:row r="1580">
      <x:c r="A1580" t="str">
        <x:v>Сценарии</x:v>
      </x:c>
      <x:c r="B1580" t="str">
        <x:v>U25</x:v>
      </x:c>
      <x:c r="C1580">
        <x:v>1</x:v>
      </x:c>
      <x:c r="D1580">
        <x:f>'Сценарии'!U25</x:f>
        <x:v>1</x:v>
      </x:c>
      <x:c r="E1580">
        <x:f>IF(C1580=D1580,1,0)</x:f>
        <x:v>1</x:v>
      </x:c>
    </x:row>
    <x:row r="1581">
      <x:c r="A1581" t="str">
        <x:v>Сценарии</x:v>
      </x:c>
      <x:c r="B1581" t="str">
        <x:v>V25</x:v>
      </x:c>
      <x:c r="C1581">
        <x:v>1</x:v>
      </x:c>
      <x:c r="D1581">
        <x:f>'Сценарии'!V25</x:f>
        <x:v>1</x:v>
      </x:c>
      <x:c r="E1581">
        <x:f>IF(C1581=D1581,1,0)</x:f>
        <x:v>1</x:v>
      </x:c>
    </x:row>
    <x:row r="1582">
      <x:c r="A1582" t="str">
        <x:v>Сценарии</x:v>
      </x:c>
      <x:c r="B1582" t="str">
        <x:v>X25</x:v>
      </x:c>
      <x:c r="C1582">
        <x:v>1.5</x:v>
      </x:c>
      <x:c r="D1582">
        <x:f>'Сценарии'!X25</x:f>
        <x:v>1.5</x:v>
      </x:c>
      <x:c r="E1582">
        <x:f>IF(C1582=D1582,1,0)</x:f>
        <x:v>1</x:v>
      </x:c>
    </x:row>
    <x:row r="1583">
      <x:c r="A1583" t="str">
        <x:v>Сценарии</x:v>
      </x:c>
      <x:c r="B1583" t="str">
        <x:v>Y25</x:v>
      </x:c>
      <x:c r="C1583">
        <x:v>0.20000000000000001</x:v>
      </x:c>
      <x:c r="D1583">
        <x:f>'Сценарии'!Y25</x:f>
        <x:v>0.20000000000000001</x:v>
      </x:c>
      <x:c r="E1583">
        <x:f>IF(C1583=D1583,1,0)</x:f>
        <x:v>1</x:v>
      </x:c>
    </x:row>
    <x:row r="1584">
      <x:c r="A1584" t="str">
        <x:v>Сценарии</x:v>
      </x:c>
      <x:c r="B1584" t="str">
        <x:v>Z25</x:v>
      </x:c>
      <x:c r="C1584">
        <x:v>1</x:v>
      </x:c>
      <x:c r="D1584">
        <x:f>'Сценарии'!Z25</x:f>
        <x:v>1</x:v>
      </x:c>
      <x:c r="E1584">
        <x:f>IF(C1584=D1584,1,0)</x:f>
        <x:v>1</x:v>
      </x:c>
    </x:row>
    <x:row r="1585">
      <x:c r="A1585" t="str">
        <x:v>Сценарии</x:v>
      </x:c>
      <x:c r="B1585" t="str">
        <x:v>AA25</x:v>
      </x:c>
      <x:c r="C1585">
        <x:v>0.29999999999999999</x:v>
      </x:c>
      <x:c r="D1585">
        <x:f>'Сценарии'!AA25</x:f>
        <x:v>0.29999999999999999</x:v>
      </x:c>
      <x:c r="E1585">
        <x:f>IF(C1585=D1585,1,0)</x:f>
        <x:v>1</x:v>
      </x:c>
    </x:row>
    <x:row r="1586">
      <x:c r="A1586" t="str">
        <x:v>Сценарии</x:v>
      </x:c>
      <x:c r="B1586" t="str">
        <x:v>AB25</x:v>
      </x:c>
      <x:c r="C1586">
        <x:v>0.40000000000000002</x:v>
      </x:c>
      <x:c r="D1586">
        <x:f>'Сценарии'!AB25</x:f>
        <x:v>0.40000000000000002</x:v>
      </x:c>
      <x:c r="E1586">
        <x:f>IF(C1586=D1586,1,0)</x:f>
        <x:v>1</x:v>
      </x:c>
    </x:row>
    <x:row r="1587">
      <x:c r="A1587" t="str">
        <x:v>Сценарии</x:v>
      </x:c>
      <x:c r="B1587" t="str">
        <x:v>AC25</x:v>
      </x:c>
      <x:c r="C1587">
        <x:v>1</x:v>
      </x:c>
      <x:c r="D1587">
        <x:f>'Сценарии'!AC25</x:f>
        <x:v>1</x:v>
      </x:c>
      <x:c r="E1587">
        <x:f>IF(C1587=D1587,1,0)</x:f>
        <x:v>1</x:v>
      </x:c>
    </x:row>
    <x:row r="1588">
      <x:c r="A1588" t="str">
        <x:v>Сценарии</x:v>
      </x:c>
      <x:c r="B1588" t="str">
        <x:v>D26</x:v>
      </x:c>
      <x:c r="C1588">
        <x:v>44000000</x:v>
      </x:c>
      <x:c r="D1588">
        <x:f>'Сценарии'!D26</x:f>
        <x:v>44000000</x:v>
      </x:c>
      <x:c r="E1588">
        <x:f>IF(C1588=D1588,1,0)</x:f>
        <x:v>1</x:v>
      </x:c>
    </x:row>
    <x:row r="1589">
      <x:c r="A1589" t="str">
        <x:v>Сценарии</x:v>
      </x:c>
      <x:c r="B1589" t="str">
        <x:v>E26</x:v>
      </x:c>
      <x:c r="C1589">
        <x:v>84000000</x:v>
      </x:c>
      <x:c r="D1589">
        <x:f>'Сценарии'!E26</x:f>
        <x:v>84000000</x:v>
      </x:c>
      <x:c r="E1589">
        <x:f>IF(C1589=D1589,1,0)</x:f>
        <x:v>1</x:v>
      </x:c>
    </x:row>
    <x:row r="1590">
      <x:c r="A1590" t="str">
        <x:v>Сценарии</x:v>
      </x:c>
      <x:c r="B1590" t="str">
        <x:v>F26</x:v>
      </x:c>
      <x:c r="C1590">
        <x:v>0.27999999999999997</x:v>
      </x:c>
      <x:c r="D1590">
        <x:f>'Сценарии'!F26</x:f>
        <x:v>0.27999999999999997</x:v>
      </x:c>
      <x:c r="E1590">
        <x:f>IF(C1590=D1590,1,0)</x:f>
        <x:v>1</x:v>
      </x:c>
    </x:row>
    <x:row r="1591">
      <x:c r="A1591" t="str">
        <x:v>Сценарии</x:v>
      </x:c>
      <x:c r="B1591" t="str">
        <x:v>G26</x:v>
      </x:c>
      <x:c r="C1591">
        <x:v>0.12</x:v>
      </x:c>
      <x:c r="D1591">
        <x:f>'Сценарии'!G26</x:f>
        <x:v>0.12</x:v>
      </x:c>
      <x:c r="E1591">
        <x:f>IF(C1591=D1591,1,0)</x:f>
        <x:v>1</x:v>
      </x:c>
    </x:row>
    <x:row r="1592">
      <x:c r="A1592" t="str">
        <x:v>Сценарии</x:v>
      </x:c>
      <x:c r="B1592" t="str">
        <x:v>H26</x:v>
      </x:c>
      <x:c r="C1592">
        <x:v>0.17999999999999999</x:v>
      </x:c>
      <x:c r="D1592">
        <x:f>'Сценарии'!H26</x:f>
        <x:v>0.17999999999999999</x:v>
      </x:c>
      <x:c r="E1592">
        <x:f>IF(C1592=D1592,1,0)</x:f>
        <x:v>1</x:v>
      </x:c>
    </x:row>
    <x:row r="1593">
      <x:c r="A1593" t="str">
        <x:v>Сценарии</x:v>
      </x:c>
      <x:c r="B1593" t="str">
        <x:v>I26</x:v>
      </x:c>
      <x:c r="C1593">
        <x:v>0.41999999999999998</x:v>
      </x:c>
      <x:c r="D1593">
        <x:f>'Сценарии'!I26</x:f>
        <x:v>0.41999999999999998</x:v>
      </x:c>
      <x:c r="E1593">
        <x:f>IF(C1593=D1593,1,0)</x:f>
        <x:v>1</x:v>
      </x:c>
    </x:row>
    <x:row r="1594">
      <x:c r="A1594" t="str">
        <x:v>Сценарии</x:v>
      </x:c>
      <x:c r="B1594" t="str">
        <x:v>J26</x:v>
      </x:c>
      <x:c r="C1594">
        <x:v>0.14999999999999999</x:v>
      </x:c>
      <x:c r="D1594">
        <x:f>'Сценарии'!J26</x:f>
        <x:v>0.14999999999999999</x:v>
      </x:c>
      <x:c r="E1594">
        <x:f>IF(C1594=D1594,1,0)</x:f>
        <x:v>1</x:v>
      </x:c>
    </x:row>
    <x:row r="1595">
      <x:c r="A1595" t="str">
        <x:v>Сценарии</x:v>
      </x:c>
      <x:c r="B1595" t="str">
        <x:v>K26</x:v>
      </x:c>
      <x:c r="C1595">
        <x:v>0.23099999999999998</x:v>
      </x:c>
      <x:c r="D1595">
        <x:f>'Сценарии'!K26</x:f>
        <x:v>0.23099999999999998</x:v>
      </x:c>
      <x:c r="E1595">
        <x:f>IF(C1595=D1595,1,0)</x:f>
        <x:v>1</x:v>
      </x:c>
    </x:row>
    <x:row r="1596">
      <x:c r="A1596" t="str">
        <x:v>Сценарии</x:v>
      </x:c>
      <x:c r="B1596" t="str">
        <x:v>L26</x:v>
      </x:c>
      <x:c r="C1596">
        <x:v>2</x:v>
      </x:c>
      <x:c r="D1596">
        <x:f>'Сценарии'!L26</x:f>
        <x:v>2</x:v>
      </x:c>
      <x:c r="E1596">
        <x:f>IF(C1596=D1596,1,0)</x:f>
        <x:v>1</x:v>
      </x:c>
    </x:row>
    <x:row r="1597">
      <x:c r="A1597" t="str">
        <x:v>Сценарии</x:v>
      </x:c>
      <x:c r="B1597" t="str">
        <x:v>M26</x:v>
      </x:c>
      <x:c r="C1597">
        <x:v>0.5</x:v>
      </x:c>
      <x:c r="D1597">
        <x:f>'Сценарии'!M26</x:f>
        <x:v>0.5</x:v>
      </x:c>
      <x:c r="E1597">
        <x:f>IF(C1597=D1597,1,0)</x:f>
        <x:v>1</x:v>
      </x:c>
    </x:row>
    <x:row r="1598">
      <x:c r="A1598" t="str">
        <x:v>Сценарии</x:v>
      </x:c>
      <x:c r="B1598" t="str">
        <x:v>N26</x:v>
      </x:c>
      <x:c r="C1598">
        <x:v>0.5</x:v>
      </x:c>
      <x:c r="D1598">
        <x:f>'Сценарии'!N26</x:f>
        <x:v>0.5</x:v>
      </x:c>
      <x:c r="E1598">
        <x:f>IF(C1598=D1598,1,0)</x:f>
        <x:v>1</x:v>
      </x:c>
    </x:row>
    <x:row r="1599">
      <x:c r="A1599" t="str">
        <x:v>Сценарии</x:v>
      </x:c>
      <x:c r="B1599" t="str">
        <x:v>O26</x:v>
      </x:c>
      <x:c r="C1599">
        <x:v>1</x:v>
      </x:c>
      <x:c r="D1599">
        <x:f>'Сценарии'!O26</x:f>
        <x:v>1</x:v>
      </x:c>
      <x:c r="E1599">
        <x:f>IF(C1599=D1599,1,0)</x:f>
        <x:v>1</x:v>
      </x:c>
    </x:row>
    <x:row r="1600">
      <x:c r="A1600" t="str">
        <x:v>Сценарии</x:v>
      </x:c>
      <x:c r="B1600" t="str">
        <x:v>P26</x:v>
      </x:c>
      <x:c r="C1600">
        <x:v>0.25</x:v>
      </x:c>
      <x:c r="D1600">
        <x:f>'Сценарии'!P26</x:f>
        <x:v>0.25</x:v>
      </x:c>
      <x:c r="E1600">
        <x:f>IF(C1600=D1600,1,0)</x:f>
        <x:v>1</x:v>
      </x:c>
    </x:row>
    <x:row r="1601">
      <x:c r="A1601" t="str">
        <x:v>Сценарии</x:v>
      </x:c>
      <x:c r="B1601" t="str">
        <x:v>Q26</x:v>
      </x:c>
      <x:c r="C1601">
        <x:v>0.25</x:v>
      </x:c>
      <x:c r="D1601">
        <x:f>'Сценарии'!Q26</x:f>
        <x:v>0.25</x:v>
      </x:c>
      <x:c r="E1601">
        <x:f>IF(C1601=D1601,1,0)</x:f>
        <x:v>1</x:v>
      </x:c>
    </x:row>
    <x:row r="1602">
      <x:c r="A1602" t="str">
        <x:v>Сценарии</x:v>
      </x:c>
      <x:c r="B1602" t="str">
        <x:v>R26</x:v>
      </x:c>
      <x:c r="C1602">
        <x:v>0</x:v>
      </x:c>
      <x:c r="D1602">
        <x:f>'Сценарии'!R26</x:f>
        <x:v>0</x:v>
      </x:c>
      <x:c r="E1602">
        <x:f>IF(C1602=D1602,1,0)</x:f>
        <x:v>1</x:v>
      </x:c>
    </x:row>
    <x:row r="1603">
      <x:c r="A1603" t="str">
        <x:v>Сценарии</x:v>
      </x:c>
      <x:c r="B1603" t="str">
        <x:v>S26</x:v>
      </x:c>
      <x:c r="C1603">
        <x:v>0</x:v>
      </x:c>
      <x:c r="D1603">
        <x:f>'Сценарии'!S26</x:f>
        <x:v>0</x:v>
      </x:c>
      <x:c r="E1603">
        <x:f>IF(C1603=D1603,1,0)</x:f>
        <x:v>1</x:v>
      </x:c>
    </x:row>
    <x:row r="1604">
      <x:c r="A1604" t="str">
        <x:v>Сценарии</x:v>
      </x:c>
      <x:c r="B1604" t="str">
        <x:v>T26</x:v>
      </x:c>
      <x:c r="C1604">
        <x:v>0</x:v>
      </x:c>
      <x:c r="D1604">
        <x:f>'Сценарии'!T26</x:f>
        <x:v>0</x:v>
      </x:c>
      <x:c r="E1604">
        <x:f>IF(C1604=D1604,1,0)</x:f>
        <x:v>1</x:v>
      </x:c>
    </x:row>
    <x:row r="1605">
      <x:c r="A1605" t="str">
        <x:v>Сценарии</x:v>
      </x:c>
      <x:c r="B1605" t="str">
        <x:v>U26</x:v>
      </x:c>
      <x:c r="C1605">
        <x:v>1</x:v>
      </x:c>
      <x:c r="D1605">
        <x:f>'Сценарии'!U26</x:f>
        <x:v>1</x:v>
      </x:c>
      <x:c r="E1605">
        <x:f>IF(C1605=D1605,1,0)</x:f>
        <x:v>1</x:v>
      </x:c>
    </x:row>
    <x:row r="1606">
      <x:c r="A1606" t="str">
        <x:v>Сценарии</x:v>
      </x:c>
      <x:c r="B1606" t="str">
        <x:v>V26</x:v>
      </x:c>
      <x:c r="C1606">
        <x:v>1</x:v>
      </x:c>
      <x:c r="D1606">
        <x:f>'Сценарии'!V26</x:f>
        <x:v>1</x:v>
      </x:c>
      <x:c r="E1606">
        <x:f>IF(C1606=D1606,1,0)</x:f>
        <x:v>1</x:v>
      </x:c>
    </x:row>
    <x:row r="1607">
      <x:c r="A1607" t="str">
        <x:v>Сценарии</x:v>
      </x:c>
      <x:c r="B1607" t="str">
        <x:v>X26</x:v>
      </x:c>
      <x:c r="C1607">
        <x:v>1.5</x:v>
      </x:c>
      <x:c r="D1607">
        <x:f>'Сценарии'!X26</x:f>
        <x:v>1.5</x:v>
      </x:c>
      <x:c r="E1607">
        <x:f>IF(C1607=D1607,1,0)</x:f>
        <x:v>1</x:v>
      </x:c>
    </x:row>
    <x:row r="1608">
      <x:c r="A1608" t="str">
        <x:v>Сценарии</x:v>
      </x:c>
      <x:c r="B1608" t="str">
        <x:v>Y26</x:v>
      </x:c>
      <x:c r="C1608">
        <x:v>0.20000000000000001</x:v>
      </x:c>
      <x:c r="D1608">
        <x:f>'Сценарии'!Y26</x:f>
        <x:v>0.20000000000000001</x:v>
      </x:c>
      <x:c r="E1608">
        <x:f>IF(C1608=D1608,1,0)</x:f>
        <x:v>1</x:v>
      </x:c>
    </x:row>
    <x:row r="1609">
      <x:c r="A1609" t="str">
        <x:v>Сценарии</x:v>
      </x:c>
      <x:c r="B1609" t="str">
        <x:v>Z26</x:v>
      </x:c>
      <x:c r="C1609">
        <x:v>1</x:v>
      </x:c>
      <x:c r="D1609">
        <x:f>'Сценарии'!Z26</x:f>
        <x:v>1</x:v>
      </x:c>
      <x:c r="E1609">
        <x:f>IF(C1609=D1609,1,0)</x:f>
        <x:v>1</x:v>
      </x:c>
    </x:row>
    <x:row r="1610">
      <x:c r="A1610" t="str">
        <x:v>Сценарии</x:v>
      </x:c>
      <x:c r="B1610" t="str">
        <x:v>AA26</x:v>
      </x:c>
      <x:c r="C1610">
        <x:v>0.29999999999999999</x:v>
      </x:c>
      <x:c r="D1610">
        <x:f>'Сценарии'!AA26</x:f>
        <x:v>0.29999999999999999</x:v>
      </x:c>
      <x:c r="E1610">
        <x:f>IF(C1610=D1610,1,0)</x:f>
        <x:v>1</x:v>
      </x:c>
    </x:row>
    <x:row r="1611">
      <x:c r="A1611" t="str">
        <x:v>Сценарии</x:v>
      </x:c>
      <x:c r="B1611" t="str">
        <x:v>AB26</x:v>
      </x:c>
      <x:c r="C1611">
        <x:v>0.40000000000000002</x:v>
      </x:c>
      <x:c r="D1611">
        <x:f>'Сценарии'!AB26</x:f>
        <x:v>0.40000000000000002</x:v>
      </x:c>
      <x:c r="E1611">
        <x:f>IF(C1611=D1611,1,0)</x:f>
        <x:v>1</x:v>
      </x:c>
    </x:row>
    <x:row r="1612">
      <x:c r="A1612" t="str">
        <x:v>Сценарии</x:v>
      </x:c>
      <x:c r="B1612" t="str">
        <x:v>AC26</x:v>
      </x:c>
      <x:c r="C1612">
        <x:v>1</x:v>
      </x:c>
      <x:c r="D1612">
        <x:f>'Сценарии'!AC26</x:f>
        <x:v>1</x:v>
      </x:c>
      <x:c r="E1612">
        <x:f>IF(C1612=D1612,1,0)</x:f>
        <x:v>1</x:v>
      </x:c>
    </x:row>
    <x:row r="1613">
      <x:c r="A1613" t="str">
        <x:v>Сценарии</x:v>
      </x:c>
      <x:c r="B1613" t="str">
        <x:v>D27</x:v>
      </x:c>
      <x:c r="C1613">
        <x:v>44000000</x:v>
      </x:c>
      <x:c r="D1613">
        <x:f>'Сценарии'!D27</x:f>
        <x:v>44000000</x:v>
      </x:c>
      <x:c r="E1613">
        <x:f>IF(C1613=D1613,1,0)</x:f>
        <x:v>1</x:v>
      </x:c>
    </x:row>
    <x:row r="1614">
      <x:c r="A1614" t="str">
        <x:v>Сценарии</x:v>
      </x:c>
      <x:c r="B1614" t="str">
        <x:v>E27</x:v>
      </x:c>
      <x:c r="C1614">
        <x:v>84000000</x:v>
      </x:c>
      <x:c r="D1614">
        <x:f>'Сценарии'!E27</x:f>
        <x:v>84000000</x:v>
      </x:c>
      <x:c r="E1614">
        <x:f>IF(C1614=D1614,1,0)</x:f>
        <x:v>1</x:v>
      </x:c>
    </x:row>
    <x:row r="1615">
      <x:c r="A1615" t="str">
        <x:v>Сценарии</x:v>
      </x:c>
      <x:c r="B1615" t="str">
        <x:v>F27</x:v>
      </x:c>
      <x:c r="C1615">
        <x:v>0.27999999999999997</x:v>
      </x:c>
      <x:c r="D1615">
        <x:f>'Сценарии'!F27</x:f>
        <x:v>0.27999999999999997</x:v>
      </x:c>
      <x:c r="E1615">
        <x:f>IF(C1615=D1615,1,0)</x:f>
        <x:v>1</x:v>
      </x:c>
    </x:row>
    <x:row r="1616">
      <x:c r="A1616" t="str">
        <x:v>Сценарии</x:v>
      </x:c>
      <x:c r="B1616" t="str">
        <x:v>G27</x:v>
      </x:c>
      <x:c r="C1616">
        <x:v>0.12</x:v>
      </x:c>
      <x:c r="D1616">
        <x:f>'Сценарии'!G27</x:f>
        <x:v>0.12</x:v>
      </x:c>
      <x:c r="E1616">
        <x:f>IF(C1616=D1616,1,0)</x:f>
        <x:v>1</x:v>
      </x:c>
    </x:row>
    <x:row r="1617">
      <x:c r="A1617" t="str">
        <x:v>Сценарии</x:v>
      </x:c>
      <x:c r="B1617" t="str">
        <x:v>H27</x:v>
      </x:c>
      <x:c r="C1617">
        <x:v>0.17999999999999999</x:v>
      </x:c>
      <x:c r="D1617">
        <x:f>'Сценарии'!H27</x:f>
        <x:v>0.17999999999999999</x:v>
      </x:c>
      <x:c r="E1617">
        <x:f>IF(C1617=D1617,1,0)</x:f>
        <x:v>1</x:v>
      </x:c>
    </x:row>
    <x:row r="1618">
      <x:c r="A1618" t="str">
        <x:v>Сценарии</x:v>
      </x:c>
      <x:c r="B1618" t="str">
        <x:v>I27</x:v>
      </x:c>
      <x:c r="C1618">
        <x:v>0.41999999999999998</x:v>
      </x:c>
      <x:c r="D1618">
        <x:f>'Сценарии'!I27</x:f>
        <x:v>0.41999999999999998</x:v>
      </x:c>
      <x:c r="E1618">
        <x:f>IF(C1618=D1618,1,0)</x:f>
        <x:v>1</x:v>
      </x:c>
    </x:row>
    <x:row r="1619">
      <x:c r="A1619" t="str">
        <x:v>Сценарии</x:v>
      </x:c>
      <x:c r="B1619" t="str">
        <x:v>J27</x:v>
      </x:c>
      <x:c r="C1619">
        <x:v>0.14999999999999999</x:v>
      </x:c>
      <x:c r="D1619">
        <x:f>'Сценарии'!J27</x:f>
        <x:v>0.14999999999999999</x:v>
      </x:c>
      <x:c r="E1619">
        <x:f>IF(C1619=D1619,1,0)</x:f>
        <x:v>1</x:v>
      </x:c>
    </x:row>
    <x:row r="1620">
      <x:c r="A1620" t="str">
        <x:v>Сценарии</x:v>
      </x:c>
      <x:c r="B1620" t="str">
        <x:v>K27</x:v>
      </x:c>
      <x:c r="C1620">
        <x:v>0.23099999999999998</x:v>
      </x:c>
      <x:c r="D1620">
        <x:f>'Сценарии'!K27</x:f>
        <x:v>0.23099999999999998</x:v>
      </x:c>
      <x:c r="E1620">
        <x:f>IF(C1620=D1620,1,0)</x:f>
        <x:v>1</x:v>
      </x:c>
    </x:row>
    <x:row r="1621">
      <x:c r="A1621" t="str">
        <x:v>Сценарии</x:v>
      </x:c>
      <x:c r="B1621" t="str">
        <x:v>L27</x:v>
      </x:c>
      <x:c r="C1621">
        <x:v>2</x:v>
      </x:c>
      <x:c r="D1621">
        <x:f>'Сценарии'!L27</x:f>
        <x:v>2</x:v>
      </x:c>
      <x:c r="E1621">
        <x:f>IF(C1621=D1621,1,0)</x:f>
        <x:v>1</x:v>
      </x:c>
    </x:row>
    <x:row r="1622">
      <x:c r="A1622" t="str">
        <x:v>Сценарии</x:v>
      </x:c>
      <x:c r="B1622" t="str">
        <x:v>M27</x:v>
      </x:c>
      <x:c r="C1622">
        <x:v>0.5</x:v>
      </x:c>
      <x:c r="D1622">
        <x:f>'Сценарии'!M27</x:f>
        <x:v>0.5</x:v>
      </x:c>
      <x:c r="E1622">
        <x:f>IF(C1622=D1622,1,0)</x:f>
        <x:v>1</x:v>
      </x:c>
    </x:row>
    <x:row r="1623">
      <x:c r="A1623" t="str">
        <x:v>Сценарии</x:v>
      </x:c>
      <x:c r="B1623" t="str">
        <x:v>N27</x:v>
      </x:c>
      <x:c r="C1623">
        <x:v>1</x:v>
      </x:c>
      <x:c r="D1623">
        <x:f>'Сценарии'!N27</x:f>
        <x:v>1</x:v>
      </x:c>
      <x:c r="E1623">
        <x:f>IF(C1623=D1623,1,0)</x:f>
        <x:v>1</x:v>
      </x:c>
    </x:row>
    <x:row r="1624">
      <x:c r="A1624" t="str">
        <x:v>Сценарии</x:v>
      </x:c>
      <x:c r="B1624" t="str">
        <x:v>O27</x:v>
      </x:c>
      <x:c r="C1624">
        <x:v>1</x:v>
      </x:c>
      <x:c r="D1624">
        <x:f>'Сценарии'!O27</x:f>
        <x:v>1</x:v>
      </x:c>
      <x:c r="E1624">
        <x:f>IF(C1624=D1624,1,0)</x:f>
        <x:v>1</x:v>
      </x:c>
    </x:row>
    <x:row r="1625">
      <x:c r="A1625" t="str">
        <x:v>Сценарии</x:v>
      </x:c>
      <x:c r="B1625" t="str">
        <x:v>P27</x:v>
      </x:c>
      <x:c r="C1625">
        <x:v>0.25</x:v>
      </x:c>
      <x:c r="D1625">
        <x:f>'Сценарии'!P27</x:f>
        <x:v>0.25</x:v>
      </x:c>
      <x:c r="E1625">
        <x:f>IF(C1625=D1625,1,0)</x:f>
        <x:v>1</x:v>
      </x:c>
    </x:row>
    <x:row r="1626">
      <x:c r="A1626" t="str">
        <x:v>Сценарии</x:v>
      </x:c>
      <x:c r="B1626" t="str">
        <x:v>Q27</x:v>
      </x:c>
      <x:c r="C1626">
        <x:v>0.25</x:v>
      </x:c>
      <x:c r="D1626">
        <x:f>'Сценарии'!Q27</x:f>
        <x:v>0.25</x:v>
      </x:c>
      <x:c r="E1626">
        <x:f>IF(C1626=D1626,1,0)</x:f>
        <x:v>1</x:v>
      </x:c>
    </x:row>
    <x:row r="1627">
      <x:c r="A1627" t="str">
        <x:v>Сценарии</x:v>
      </x:c>
      <x:c r="B1627" t="str">
        <x:v>R27</x:v>
      </x:c>
      <x:c r="C1627">
        <x:v>0</x:v>
      </x:c>
      <x:c r="D1627">
        <x:f>'Сценарии'!R27</x:f>
        <x:v>0</x:v>
      </x:c>
      <x:c r="E1627">
        <x:f>IF(C1627=D1627,1,0)</x:f>
        <x:v>1</x:v>
      </x:c>
    </x:row>
    <x:row r="1628">
      <x:c r="A1628" t="str">
        <x:v>Сценарии</x:v>
      </x:c>
      <x:c r="B1628" t="str">
        <x:v>S27</x:v>
      </x:c>
      <x:c r="C1628">
        <x:v>0</x:v>
      </x:c>
      <x:c r="D1628">
        <x:f>'Сценарии'!S27</x:f>
        <x:v>0</x:v>
      </x:c>
      <x:c r="E1628">
        <x:f>IF(C1628=D1628,1,0)</x:f>
        <x:v>1</x:v>
      </x:c>
    </x:row>
    <x:row r="1629">
      <x:c r="A1629" t="str">
        <x:v>Сценарии</x:v>
      </x:c>
      <x:c r="B1629" t="str">
        <x:v>T27</x:v>
      </x:c>
      <x:c r="C1629">
        <x:v>0</x:v>
      </x:c>
      <x:c r="D1629">
        <x:f>'Сценарии'!T27</x:f>
        <x:v>0</x:v>
      </x:c>
      <x:c r="E1629">
        <x:f>IF(C1629=D1629,1,0)</x:f>
        <x:v>1</x:v>
      </x:c>
    </x:row>
    <x:row r="1630">
      <x:c r="A1630" t="str">
        <x:v>Сценарии</x:v>
      </x:c>
      <x:c r="B1630" t="str">
        <x:v>U27</x:v>
      </x:c>
      <x:c r="C1630">
        <x:v>1</x:v>
      </x:c>
      <x:c r="D1630">
        <x:f>'Сценарии'!U27</x:f>
        <x:v>1</x:v>
      </x:c>
      <x:c r="E1630">
        <x:f>IF(C1630=D1630,1,0)</x:f>
        <x:v>1</x:v>
      </x:c>
    </x:row>
    <x:row r="1631">
      <x:c r="A1631" t="str">
        <x:v>Сценарии</x:v>
      </x:c>
      <x:c r="B1631" t="str">
        <x:v>V27</x:v>
      </x:c>
      <x:c r="C1631">
        <x:v>1</x:v>
      </x:c>
      <x:c r="D1631">
        <x:f>'Сценарии'!V27</x:f>
        <x:v>1</x:v>
      </x:c>
      <x:c r="E1631">
        <x:f>IF(C1631=D1631,1,0)</x:f>
        <x:v>1</x:v>
      </x:c>
    </x:row>
    <x:row r="1632">
      <x:c r="A1632" t="str">
        <x:v>Сценарии</x:v>
      </x:c>
      <x:c r="B1632" t="str">
        <x:v>X27</x:v>
      </x:c>
      <x:c r="C1632">
        <x:v>1.5</x:v>
      </x:c>
      <x:c r="D1632">
        <x:f>'Сценарии'!X27</x:f>
        <x:v>1.5</x:v>
      </x:c>
      <x:c r="E1632">
        <x:f>IF(C1632=D1632,1,0)</x:f>
        <x:v>1</x:v>
      </x:c>
    </x:row>
    <x:row r="1633">
      <x:c r="A1633" t="str">
        <x:v>Сценарии</x:v>
      </x:c>
      <x:c r="B1633" t="str">
        <x:v>Y27</x:v>
      </x:c>
      <x:c r="C1633">
        <x:v>0.20000000000000001</x:v>
      </x:c>
      <x:c r="D1633">
        <x:f>'Сценарии'!Y27</x:f>
        <x:v>0.20000000000000001</x:v>
      </x:c>
      <x:c r="E1633">
        <x:f>IF(C1633=D1633,1,0)</x:f>
        <x:v>1</x:v>
      </x:c>
    </x:row>
    <x:row r="1634">
      <x:c r="A1634" t="str">
        <x:v>Сценарии</x:v>
      </x:c>
      <x:c r="B1634" t="str">
        <x:v>Z27</x:v>
      </x:c>
      <x:c r="C1634">
        <x:v>1</x:v>
      </x:c>
      <x:c r="D1634">
        <x:f>'Сценарии'!Z27</x:f>
        <x:v>1</x:v>
      </x:c>
      <x:c r="E1634">
        <x:f>IF(C1634=D1634,1,0)</x:f>
        <x:v>1</x:v>
      </x:c>
    </x:row>
    <x:row r="1635">
      <x:c r="A1635" t="str">
        <x:v>Сценарии</x:v>
      </x:c>
      <x:c r="B1635" t="str">
        <x:v>AA27</x:v>
      </x:c>
      <x:c r="C1635">
        <x:v>0.29999999999999999</x:v>
      </x:c>
      <x:c r="D1635">
        <x:f>'Сценарии'!AA27</x:f>
        <x:v>0.29999999999999999</x:v>
      </x:c>
      <x:c r="E1635">
        <x:f>IF(C1635=D1635,1,0)</x:f>
        <x:v>1</x:v>
      </x:c>
    </x:row>
    <x:row r="1636">
      <x:c r="A1636" t="str">
        <x:v>Сценарии</x:v>
      </x:c>
      <x:c r="B1636" t="str">
        <x:v>AB27</x:v>
      </x:c>
      <x:c r="C1636">
        <x:v>0.40000000000000002</x:v>
      </x:c>
      <x:c r="D1636">
        <x:f>'Сценарии'!AB27</x:f>
        <x:v>0.40000000000000002</x:v>
      </x:c>
      <x:c r="E1636">
        <x:f>IF(C1636=D1636,1,0)</x:f>
        <x:v>1</x:v>
      </x:c>
    </x:row>
    <x:row r="1637">
      <x:c r="A1637" t="str">
        <x:v>Сценарии</x:v>
      </x:c>
      <x:c r="B1637" t="str">
        <x:v>AC27</x:v>
      </x:c>
      <x:c r="C1637">
        <x:v>1</x:v>
      </x:c>
      <x:c r="D1637">
        <x:f>'Сценарии'!AC27</x:f>
        <x:v>1</x:v>
      </x:c>
      <x:c r="E1637">
        <x:f>IF(C1637=D1637,1,0)</x:f>
        <x:v>1</x:v>
      </x:c>
    </x:row>
    <x:row r="1638">
      <x:c r="A1638" t="str">
        <x:v>Сценарии</x:v>
      </x:c>
      <x:c r="B1638" t="str">
        <x:v>D28</x:v>
      </x:c>
      <x:c r="C1638">
        <x:v>44000000</x:v>
      </x:c>
      <x:c r="D1638">
        <x:f>'Сценарии'!D28</x:f>
        <x:v>44000000</x:v>
      </x:c>
      <x:c r="E1638">
        <x:f>IF(C1638=D1638,1,0)</x:f>
        <x:v>1</x:v>
      </x:c>
    </x:row>
    <x:row r="1639">
      <x:c r="A1639" t="str">
        <x:v>Сценарии</x:v>
      </x:c>
      <x:c r="B1639" t="str">
        <x:v>E28</x:v>
      </x:c>
      <x:c r="C1639">
        <x:v>84000000</x:v>
      </x:c>
      <x:c r="D1639">
        <x:f>'Сценарии'!E28</x:f>
        <x:v>84000000</x:v>
      </x:c>
      <x:c r="E1639">
        <x:f>IF(C1639=D1639,1,0)</x:f>
        <x:v>1</x:v>
      </x:c>
    </x:row>
    <x:row r="1640">
      <x:c r="A1640" t="str">
        <x:v>Сценарии</x:v>
      </x:c>
      <x:c r="B1640" t="str">
        <x:v>F28</x:v>
      </x:c>
      <x:c r="C1640">
        <x:v>0.27999999999999997</x:v>
      </x:c>
      <x:c r="D1640">
        <x:f>'Сценарии'!F28</x:f>
        <x:v>0.27999999999999997</x:v>
      </x:c>
      <x:c r="E1640">
        <x:f>IF(C1640=D1640,1,0)</x:f>
        <x:v>1</x:v>
      </x:c>
    </x:row>
    <x:row r="1641">
      <x:c r="A1641" t="str">
        <x:v>Сценарии</x:v>
      </x:c>
      <x:c r="B1641" t="str">
        <x:v>G28</x:v>
      </x:c>
      <x:c r="C1641">
        <x:v>0.12</x:v>
      </x:c>
      <x:c r="D1641">
        <x:f>'Сценарии'!G28</x:f>
        <x:v>0.12</x:v>
      </x:c>
      <x:c r="E1641">
        <x:f>IF(C1641=D1641,1,0)</x:f>
        <x:v>1</x:v>
      </x:c>
    </x:row>
    <x:row r="1642">
      <x:c r="A1642" t="str">
        <x:v>Сценарии</x:v>
      </x:c>
      <x:c r="B1642" t="str">
        <x:v>H28</x:v>
      </x:c>
      <x:c r="C1642">
        <x:v>0.17999999999999999</x:v>
      </x:c>
      <x:c r="D1642">
        <x:f>'Сценарии'!H28</x:f>
        <x:v>0.17999999999999999</x:v>
      </x:c>
      <x:c r="E1642">
        <x:f>IF(C1642=D1642,1,0)</x:f>
        <x:v>1</x:v>
      </x:c>
    </x:row>
    <x:row r="1643">
      <x:c r="A1643" t="str">
        <x:v>Сценарии</x:v>
      </x:c>
      <x:c r="B1643" t="str">
        <x:v>I28</x:v>
      </x:c>
      <x:c r="C1643">
        <x:v>0.41999999999999998</x:v>
      </x:c>
      <x:c r="D1643">
        <x:f>'Сценарии'!I28</x:f>
        <x:v>0.41999999999999998</x:v>
      </x:c>
      <x:c r="E1643">
        <x:f>IF(C1643=D1643,1,0)</x:f>
        <x:v>1</x:v>
      </x:c>
    </x:row>
    <x:row r="1644">
      <x:c r="A1644" t="str">
        <x:v>Сценарии</x:v>
      </x:c>
      <x:c r="B1644" t="str">
        <x:v>J28</x:v>
      </x:c>
      <x:c r="C1644">
        <x:v>0.14999999999999999</x:v>
      </x:c>
      <x:c r="D1644">
        <x:f>'Сценарии'!J28</x:f>
        <x:v>0.14999999999999999</x:v>
      </x:c>
      <x:c r="E1644">
        <x:f>IF(C1644=D1644,1,0)</x:f>
        <x:v>1</x:v>
      </x:c>
    </x:row>
    <x:row r="1645">
      <x:c r="A1645" t="str">
        <x:v>Сценарии</x:v>
      </x:c>
      <x:c r="B1645" t="str">
        <x:v>K28</x:v>
      </x:c>
      <x:c r="C1645">
        <x:v>0.23099999999999998</x:v>
      </x:c>
      <x:c r="D1645">
        <x:f>'Сценарии'!K28</x:f>
        <x:v>0.23099999999999998</x:v>
      </x:c>
      <x:c r="E1645">
        <x:f>IF(C1645=D1645,1,0)</x:f>
        <x:v>1</x:v>
      </x:c>
    </x:row>
    <x:row r="1646">
      <x:c r="A1646" t="str">
        <x:v>Сценарии</x:v>
      </x:c>
      <x:c r="B1646" t="str">
        <x:v>L28</x:v>
      </x:c>
      <x:c r="C1646">
        <x:v>2</x:v>
      </x:c>
      <x:c r="D1646">
        <x:f>'Сценарии'!L28</x:f>
        <x:v>2</x:v>
      </x:c>
      <x:c r="E1646">
        <x:f>IF(C1646=D1646,1,0)</x:f>
        <x:v>1</x:v>
      </x:c>
    </x:row>
    <x:row r="1647">
      <x:c r="A1647" t="str">
        <x:v>Сценарии</x:v>
      </x:c>
      <x:c r="B1647" t="str">
        <x:v>M28</x:v>
      </x:c>
      <x:c r="C1647">
        <x:v>0.5</x:v>
      </x:c>
      <x:c r="D1647">
        <x:f>'Сценарии'!M28</x:f>
        <x:v>0.5</x:v>
      </x:c>
      <x:c r="E1647">
        <x:f>IF(C1647=D1647,1,0)</x:f>
        <x:v>1</x:v>
      </x:c>
    </x:row>
    <x:row r="1648">
      <x:c r="A1648" t="str">
        <x:v>Сценарии</x:v>
      </x:c>
      <x:c r="B1648" t="str">
        <x:v>N28</x:v>
      </x:c>
      <x:c r="C1648">
        <x:v>0.80000000000000004</x:v>
      </x:c>
      <x:c r="D1648">
        <x:f>'Сценарии'!N28</x:f>
        <x:v>0.80000000000000004</x:v>
      </x:c>
      <x:c r="E1648">
        <x:f>IF(C1648=D1648,1,0)</x:f>
        <x:v>1</x:v>
      </x:c>
    </x:row>
    <x:row r="1649">
      <x:c r="A1649" t="str">
        <x:v>Сценарии</x:v>
      </x:c>
      <x:c r="B1649" t="str">
        <x:v>O28</x:v>
      </x:c>
      <x:c r="C1649">
        <x:v>0.5</x:v>
      </x:c>
      <x:c r="D1649">
        <x:f>'Сценарии'!O28</x:f>
        <x:v>0.5</x:v>
      </x:c>
      <x:c r="E1649">
        <x:f>IF(C1649=D1649,1,0)</x:f>
        <x:v>1</x:v>
      </x:c>
    </x:row>
    <x:row r="1650">
      <x:c r="A1650" t="str">
        <x:v>Сценарии</x:v>
      </x:c>
      <x:c r="B1650" t="str">
        <x:v>P28</x:v>
      </x:c>
      <x:c r="C1650">
        <x:v>0.25</x:v>
      </x:c>
      <x:c r="D1650">
        <x:f>'Сценарии'!P28</x:f>
        <x:v>0.25</x:v>
      </x:c>
      <x:c r="E1650">
        <x:f>IF(C1650=D1650,1,0)</x:f>
        <x:v>1</x:v>
      </x:c>
    </x:row>
    <x:row r="1651">
      <x:c r="A1651" t="str">
        <x:v>Сценарии</x:v>
      </x:c>
      <x:c r="B1651" t="str">
        <x:v>Q28</x:v>
      </x:c>
      <x:c r="C1651">
        <x:v>0.25</x:v>
      </x:c>
      <x:c r="D1651">
        <x:f>'Сценарии'!Q28</x:f>
        <x:v>0.25</x:v>
      </x:c>
      <x:c r="E1651">
        <x:f>IF(C1651=D1651,1,0)</x:f>
        <x:v>1</x:v>
      </x:c>
    </x:row>
    <x:row r="1652">
      <x:c r="A1652" t="str">
        <x:v>Сценарии</x:v>
      </x:c>
      <x:c r="B1652" t="str">
        <x:v>R28</x:v>
      </x:c>
      <x:c r="C1652">
        <x:v>0</x:v>
      </x:c>
      <x:c r="D1652">
        <x:f>'Сценарии'!R28</x:f>
        <x:v>0</x:v>
      </x:c>
      <x:c r="E1652">
        <x:f>IF(C1652=D1652,1,0)</x:f>
        <x:v>1</x:v>
      </x:c>
    </x:row>
    <x:row r="1653">
      <x:c r="A1653" t="str">
        <x:v>Сценарии</x:v>
      </x:c>
      <x:c r="B1653" t="str">
        <x:v>S28</x:v>
      </x:c>
      <x:c r="C1653">
        <x:v>0</x:v>
      </x:c>
      <x:c r="D1653">
        <x:f>'Сценарии'!S28</x:f>
        <x:v>0</x:v>
      </x:c>
      <x:c r="E1653">
        <x:f>IF(C1653=D1653,1,0)</x:f>
        <x:v>1</x:v>
      </x:c>
    </x:row>
    <x:row r="1654">
      <x:c r="A1654" t="str">
        <x:v>Сценарии</x:v>
      </x:c>
      <x:c r="B1654" t="str">
        <x:v>T28</x:v>
      </x:c>
      <x:c r="C1654">
        <x:v>0</x:v>
      </x:c>
      <x:c r="D1654">
        <x:f>'Сценарии'!T28</x:f>
        <x:v>0</x:v>
      </x:c>
      <x:c r="E1654">
        <x:f>IF(C1654=D1654,1,0)</x:f>
        <x:v>1</x:v>
      </x:c>
    </x:row>
    <x:row r="1655">
      <x:c r="A1655" t="str">
        <x:v>Сценарии</x:v>
      </x:c>
      <x:c r="B1655" t="str">
        <x:v>U28</x:v>
      </x:c>
      <x:c r="C1655">
        <x:v>1</x:v>
      </x:c>
      <x:c r="D1655">
        <x:f>'Сценарии'!U28</x:f>
        <x:v>1</x:v>
      </x:c>
      <x:c r="E1655">
        <x:f>IF(C1655=D1655,1,0)</x:f>
        <x:v>1</x:v>
      </x:c>
    </x:row>
    <x:row r="1656">
      <x:c r="A1656" t="str">
        <x:v>Сценарии</x:v>
      </x:c>
      <x:c r="B1656" t="str">
        <x:v>V28</x:v>
      </x:c>
      <x:c r="C1656">
        <x:v>1</x:v>
      </x:c>
      <x:c r="D1656">
        <x:f>'Сценарии'!V28</x:f>
        <x:v>1</x:v>
      </x:c>
      <x:c r="E1656">
        <x:f>IF(C1656=D1656,1,0)</x:f>
        <x:v>1</x:v>
      </x:c>
    </x:row>
    <x:row r="1657">
      <x:c r="A1657" t="str">
        <x:v>Сценарии</x:v>
      </x:c>
      <x:c r="B1657" t="str">
        <x:v>X28</x:v>
      </x:c>
      <x:c r="C1657">
        <x:v>1.5</x:v>
      </x:c>
      <x:c r="D1657">
        <x:f>'Сценарии'!X28</x:f>
        <x:v>1.5</x:v>
      </x:c>
      <x:c r="E1657">
        <x:f>IF(C1657=D1657,1,0)</x:f>
        <x:v>1</x:v>
      </x:c>
    </x:row>
    <x:row r="1658">
      <x:c r="A1658" t="str">
        <x:v>Сценарии</x:v>
      </x:c>
      <x:c r="B1658" t="str">
        <x:v>Y28</x:v>
      </x:c>
      <x:c r="C1658">
        <x:v>0.20000000000000001</x:v>
      </x:c>
      <x:c r="D1658">
        <x:f>'Сценарии'!Y28</x:f>
        <x:v>0.20000000000000001</x:v>
      </x:c>
      <x:c r="E1658">
        <x:f>IF(C1658=D1658,1,0)</x:f>
        <x:v>1</x:v>
      </x:c>
    </x:row>
    <x:row r="1659">
      <x:c r="A1659" t="str">
        <x:v>Сценарии</x:v>
      </x:c>
      <x:c r="B1659" t="str">
        <x:v>Z28</x:v>
      </x:c>
      <x:c r="C1659">
        <x:v>1</x:v>
      </x:c>
      <x:c r="D1659">
        <x:f>'Сценарии'!Z28</x:f>
        <x:v>1</x:v>
      </x:c>
      <x:c r="E1659">
        <x:f>IF(C1659=D1659,1,0)</x:f>
        <x:v>1</x:v>
      </x:c>
    </x:row>
    <x:row r="1660">
      <x:c r="A1660" t="str">
        <x:v>Сценарии</x:v>
      </x:c>
      <x:c r="B1660" t="str">
        <x:v>AA28</x:v>
      </x:c>
      <x:c r="C1660">
        <x:v>0.29999999999999999</x:v>
      </x:c>
      <x:c r="D1660">
        <x:f>'Сценарии'!AA28</x:f>
        <x:v>0.29999999999999999</x:v>
      </x:c>
      <x:c r="E1660">
        <x:f>IF(C1660=D1660,1,0)</x:f>
        <x:v>1</x:v>
      </x:c>
    </x:row>
    <x:row r="1661">
      <x:c r="A1661" t="str">
        <x:v>Сценарии</x:v>
      </x:c>
      <x:c r="B1661" t="str">
        <x:v>AB28</x:v>
      </x:c>
      <x:c r="C1661">
        <x:v>0.40000000000000002</x:v>
      </x:c>
      <x:c r="D1661">
        <x:f>'Сценарии'!AB28</x:f>
        <x:v>0.40000000000000002</x:v>
      </x:c>
      <x:c r="E1661">
        <x:f>IF(C1661=D1661,1,0)</x:f>
        <x:v>1</x:v>
      </x:c>
    </x:row>
    <x:row r="1662">
      <x:c r="A1662" t="str">
        <x:v>Сценарии</x:v>
      </x:c>
      <x:c r="B1662" t="str">
        <x:v>AC28</x:v>
      </x:c>
      <x:c r="C1662">
        <x:v>1</x:v>
      </x:c>
      <x:c r="D1662">
        <x:f>'Сценарии'!AC28</x:f>
        <x:v>1</x:v>
      </x:c>
      <x:c r="E1662">
        <x:f>IF(C1662=D1662,1,0)</x:f>
        <x:v>1</x:v>
      </x:c>
    </x:row>
    <x:row r="1663">
      <x:c r="A1663" t="str">
        <x:v>Сценарии</x:v>
      </x:c>
      <x:c r="B1663" t="str">
        <x:v>D29</x:v>
      </x:c>
      <x:c r="C1663">
        <x:v>44000000</x:v>
      </x:c>
      <x:c r="D1663">
        <x:f>'Сценарии'!D29</x:f>
        <x:v>44000000</x:v>
      </x:c>
      <x:c r="E1663">
        <x:f>IF(C1663=D1663,1,0)</x:f>
        <x:v>1</x:v>
      </x:c>
    </x:row>
    <x:row r="1664">
      <x:c r="A1664" t="str">
        <x:v>Сценарии</x:v>
      </x:c>
      <x:c r="B1664" t="str">
        <x:v>E29</x:v>
      </x:c>
      <x:c r="C1664">
        <x:v>84000000</x:v>
      </x:c>
      <x:c r="D1664">
        <x:f>'Сценарии'!E29</x:f>
        <x:v>84000000</x:v>
      </x:c>
      <x:c r="E1664">
        <x:f>IF(C1664=D1664,1,0)</x:f>
        <x:v>1</x:v>
      </x:c>
    </x:row>
    <x:row r="1665">
      <x:c r="A1665" t="str">
        <x:v>Сценарии</x:v>
      </x:c>
      <x:c r="B1665" t="str">
        <x:v>F29</x:v>
      </x:c>
      <x:c r="C1665">
        <x:v>0.27999999999999997</x:v>
      </x:c>
      <x:c r="D1665">
        <x:f>'Сценарии'!F29</x:f>
        <x:v>0.27999999999999997</x:v>
      </x:c>
      <x:c r="E1665">
        <x:f>IF(C1665=D1665,1,0)</x:f>
        <x:v>1</x:v>
      </x:c>
    </x:row>
    <x:row r="1666">
      <x:c r="A1666" t="str">
        <x:v>Сценарии</x:v>
      </x:c>
      <x:c r="B1666" t="str">
        <x:v>G29</x:v>
      </x:c>
      <x:c r="C1666">
        <x:v>0.12</x:v>
      </x:c>
      <x:c r="D1666">
        <x:f>'Сценарии'!G29</x:f>
        <x:v>0.12</x:v>
      </x:c>
      <x:c r="E1666">
        <x:f>IF(C1666=D1666,1,0)</x:f>
        <x:v>1</x:v>
      </x:c>
    </x:row>
    <x:row r="1667">
      <x:c r="A1667" t="str">
        <x:v>Сценарии</x:v>
      </x:c>
      <x:c r="B1667" t="str">
        <x:v>H29</x:v>
      </x:c>
      <x:c r="C1667">
        <x:v>0.17999999999999999</x:v>
      </x:c>
      <x:c r="D1667">
        <x:f>'Сценарии'!H29</x:f>
        <x:v>0.17999999999999999</x:v>
      </x:c>
      <x:c r="E1667">
        <x:f>IF(C1667=D1667,1,0)</x:f>
        <x:v>1</x:v>
      </x:c>
    </x:row>
    <x:row r="1668">
      <x:c r="A1668" t="str">
        <x:v>Сценарии</x:v>
      </x:c>
      <x:c r="B1668" t="str">
        <x:v>I29</x:v>
      </x:c>
      <x:c r="C1668">
        <x:v>0.41999999999999998</x:v>
      </x:c>
      <x:c r="D1668">
        <x:f>'Сценарии'!I29</x:f>
        <x:v>0.41999999999999998</x:v>
      </x:c>
      <x:c r="E1668">
        <x:f>IF(C1668=D1668,1,0)</x:f>
        <x:v>1</x:v>
      </x:c>
    </x:row>
    <x:row r="1669">
      <x:c r="A1669" t="str">
        <x:v>Сценарии</x:v>
      </x:c>
      <x:c r="B1669" t="str">
        <x:v>J29</x:v>
      </x:c>
      <x:c r="C1669">
        <x:v>0.14999999999999999</x:v>
      </x:c>
      <x:c r="D1669">
        <x:f>'Сценарии'!J29</x:f>
        <x:v>0.14999999999999999</x:v>
      </x:c>
      <x:c r="E1669">
        <x:f>IF(C1669=D1669,1,0)</x:f>
        <x:v>1</x:v>
      </x:c>
    </x:row>
    <x:row r="1670">
      <x:c r="A1670" t="str">
        <x:v>Сценарии</x:v>
      </x:c>
      <x:c r="B1670" t="str">
        <x:v>K29</x:v>
      </x:c>
      <x:c r="C1670">
        <x:v>0.23099999999999998</x:v>
      </x:c>
      <x:c r="D1670">
        <x:f>'Сценарии'!K29</x:f>
        <x:v>0.23099999999999998</x:v>
      </x:c>
      <x:c r="E1670">
        <x:f>IF(C1670=D1670,1,0)</x:f>
        <x:v>1</x:v>
      </x:c>
    </x:row>
    <x:row r="1671">
      <x:c r="A1671" t="str">
        <x:v>Сценарии</x:v>
      </x:c>
      <x:c r="B1671" t="str">
        <x:v>L29</x:v>
      </x:c>
      <x:c r="C1671">
        <x:v>2</x:v>
      </x:c>
      <x:c r="D1671">
        <x:f>'Сценарии'!L29</x:f>
        <x:v>2</x:v>
      </x:c>
      <x:c r="E1671">
        <x:f>IF(C1671=D1671,1,0)</x:f>
        <x:v>1</x:v>
      </x:c>
    </x:row>
    <x:row r="1672">
      <x:c r="A1672" t="str">
        <x:v>Сценарии</x:v>
      </x:c>
      <x:c r="B1672" t="str">
        <x:v>M29</x:v>
      </x:c>
      <x:c r="C1672">
        <x:v>0.5</x:v>
      </x:c>
      <x:c r="D1672">
        <x:f>'Сценарии'!M29</x:f>
        <x:v>0.5</x:v>
      </x:c>
      <x:c r="E1672">
        <x:f>IF(C1672=D1672,1,0)</x:f>
        <x:v>1</x:v>
      </x:c>
    </x:row>
    <x:row r="1673">
      <x:c r="A1673" t="str">
        <x:v>Сценарии</x:v>
      </x:c>
      <x:c r="B1673" t="str">
        <x:v>N29</x:v>
      </x:c>
      <x:c r="C1673">
        <x:v>0.80000000000000004</x:v>
      </x:c>
      <x:c r="D1673">
        <x:f>'Сценарии'!N29</x:f>
        <x:v>0.80000000000000004</x:v>
      </x:c>
      <x:c r="E1673">
        <x:f>IF(C1673=D1673,1,0)</x:f>
        <x:v>1</x:v>
      </x:c>
    </x:row>
    <x:row r="1674">
      <x:c r="A1674" t="str">
        <x:v>Сценарии</x:v>
      </x:c>
      <x:c r="B1674" t="str">
        <x:v>O29</x:v>
      </x:c>
      <x:c r="C1674">
        <x:v>1.5</x:v>
      </x:c>
      <x:c r="D1674">
        <x:f>'Сценарии'!O29</x:f>
        <x:v>1.5</x:v>
      </x:c>
      <x:c r="E1674">
        <x:f>IF(C1674=D1674,1,0)</x:f>
        <x:v>1</x:v>
      </x:c>
    </x:row>
    <x:row r="1675">
      <x:c r="A1675" t="str">
        <x:v>Сценарии</x:v>
      </x:c>
      <x:c r="B1675" t="str">
        <x:v>P29</x:v>
      </x:c>
      <x:c r="C1675">
        <x:v>0.25</x:v>
      </x:c>
      <x:c r="D1675">
        <x:f>'Сценарии'!P29</x:f>
        <x:v>0.25</x:v>
      </x:c>
      <x:c r="E1675">
        <x:f>IF(C1675=D1675,1,0)</x:f>
        <x:v>1</x:v>
      </x:c>
    </x:row>
    <x:row r="1676">
      <x:c r="A1676" t="str">
        <x:v>Сценарии</x:v>
      </x:c>
      <x:c r="B1676" t="str">
        <x:v>Q29</x:v>
      </x:c>
      <x:c r="C1676">
        <x:v>0.25</x:v>
      </x:c>
      <x:c r="D1676">
        <x:f>'Сценарии'!Q29</x:f>
        <x:v>0.25</x:v>
      </x:c>
      <x:c r="E1676">
        <x:f>IF(C1676=D1676,1,0)</x:f>
        <x:v>1</x:v>
      </x:c>
    </x:row>
    <x:row r="1677">
      <x:c r="A1677" t="str">
        <x:v>Сценарии</x:v>
      </x:c>
      <x:c r="B1677" t="str">
        <x:v>R29</x:v>
      </x:c>
      <x:c r="C1677">
        <x:v>0</x:v>
      </x:c>
      <x:c r="D1677">
        <x:f>'Сценарии'!R29</x:f>
        <x:v>0</x:v>
      </x:c>
      <x:c r="E1677">
        <x:f>IF(C1677=D1677,1,0)</x:f>
        <x:v>1</x:v>
      </x:c>
    </x:row>
    <x:row r="1678">
      <x:c r="A1678" t="str">
        <x:v>Сценарии</x:v>
      </x:c>
      <x:c r="B1678" t="str">
        <x:v>S29</x:v>
      </x:c>
      <x:c r="C1678">
        <x:v>0</x:v>
      </x:c>
      <x:c r="D1678">
        <x:f>'Сценарии'!S29</x:f>
        <x:v>0</x:v>
      </x:c>
      <x:c r="E1678">
        <x:f>IF(C1678=D1678,1,0)</x:f>
        <x:v>1</x:v>
      </x:c>
    </x:row>
    <x:row r="1679">
      <x:c r="A1679" t="str">
        <x:v>Сценарии</x:v>
      </x:c>
      <x:c r="B1679" t="str">
        <x:v>T29</x:v>
      </x:c>
      <x:c r="C1679">
        <x:v>0</x:v>
      </x:c>
      <x:c r="D1679">
        <x:f>'Сценарии'!T29</x:f>
        <x:v>0</x:v>
      </x:c>
      <x:c r="E1679">
        <x:f>IF(C1679=D1679,1,0)</x:f>
        <x:v>1</x:v>
      </x:c>
    </x:row>
    <x:row r="1680">
      <x:c r="A1680" t="str">
        <x:v>Сценарии</x:v>
      </x:c>
      <x:c r="B1680" t="str">
        <x:v>U29</x:v>
      </x:c>
      <x:c r="C1680">
        <x:v>1</x:v>
      </x:c>
      <x:c r="D1680">
        <x:f>'Сценарии'!U29</x:f>
        <x:v>1</x:v>
      </x:c>
      <x:c r="E1680">
        <x:f>IF(C1680=D1680,1,0)</x:f>
        <x:v>1</x:v>
      </x:c>
    </x:row>
    <x:row r="1681">
      <x:c r="A1681" t="str">
        <x:v>Сценарии</x:v>
      </x:c>
      <x:c r="B1681" t="str">
        <x:v>V29</x:v>
      </x:c>
      <x:c r="C1681">
        <x:v>1</x:v>
      </x:c>
      <x:c r="D1681">
        <x:f>'Сценарии'!V29</x:f>
        <x:v>1</x:v>
      </x:c>
      <x:c r="E1681">
        <x:f>IF(C1681=D1681,1,0)</x:f>
        <x:v>1</x:v>
      </x:c>
    </x:row>
    <x:row r="1682">
      <x:c r="A1682" t="str">
        <x:v>Сценарии</x:v>
      </x:c>
      <x:c r="B1682" t="str">
        <x:v>X29</x:v>
      </x:c>
      <x:c r="C1682">
        <x:v>1.5</x:v>
      </x:c>
      <x:c r="D1682">
        <x:f>'Сценарии'!X29</x:f>
        <x:v>1.5</x:v>
      </x:c>
      <x:c r="E1682">
        <x:f>IF(C1682=D1682,1,0)</x:f>
        <x:v>1</x:v>
      </x:c>
    </x:row>
    <x:row r="1683">
      <x:c r="A1683" t="str">
        <x:v>Сценарии</x:v>
      </x:c>
      <x:c r="B1683" t="str">
        <x:v>Y29</x:v>
      </x:c>
      <x:c r="C1683">
        <x:v>0.20000000000000001</x:v>
      </x:c>
      <x:c r="D1683">
        <x:f>'Сценарии'!Y29</x:f>
        <x:v>0.20000000000000001</x:v>
      </x:c>
      <x:c r="E1683">
        <x:f>IF(C1683=D1683,1,0)</x:f>
        <x:v>1</x:v>
      </x:c>
    </x:row>
    <x:row r="1684">
      <x:c r="A1684" t="str">
        <x:v>Сценарии</x:v>
      </x:c>
      <x:c r="B1684" t="str">
        <x:v>Z29</x:v>
      </x:c>
      <x:c r="C1684">
        <x:v>1</x:v>
      </x:c>
      <x:c r="D1684">
        <x:f>'Сценарии'!Z29</x:f>
        <x:v>1</x:v>
      </x:c>
      <x:c r="E1684">
        <x:f>IF(C1684=D1684,1,0)</x:f>
        <x:v>1</x:v>
      </x:c>
    </x:row>
    <x:row r="1685">
      <x:c r="A1685" t="str">
        <x:v>Сценарии</x:v>
      </x:c>
      <x:c r="B1685" t="str">
        <x:v>AA29</x:v>
      </x:c>
      <x:c r="C1685">
        <x:v>0.29999999999999999</x:v>
      </x:c>
      <x:c r="D1685">
        <x:f>'Сценарии'!AA29</x:f>
        <x:v>0.29999999999999999</x:v>
      </x:c>
      <x:c r="E1685">
        <x:f>IF(C1685=D1685,1,0)</x:f>
        <x:v>1</x:v>
      </x:c>
    </x:row>
    <x:row r="1686">
      <x:c r="A1686" t="str">
        <x:v>Сценарии</x:v>
      </x:c>
      <x:c r="B1686" t="str">
        <x:v>AB29</x:v>
      </x:c>
      <x:c r="C1686">
        <x:v>0.40000000000000002</x:v>
      </x:c>
      <x:c r="D1686">
        <x:f>'Сценарии'!AB29</x:f>
        <x:v>0.40000000000000002</x:v>
      </x:c>
      <x:c r="E1686">
        <x:f>IF(C1686=D1686,1,0)</x:f>
        <x:v>1</x:v>
      </x:c>
    </x:row>
    <x:row r="1687">
      <x:c r="A1687" t="str">
        <x:v>Сценарии</x:v>
      </x:c>
      <x:c r="B1687" t="str">
        <x:v>AC29</x:v>
      </x:c>
      <x:c r="C1687">
        <x:v>1</x:v>
      </x:c>
      <x:c r="D1687">
        <x:f>'Сценарии'!AC29</x:f>
        <x:v>1</x:v>
      </x:c>
      <x:c r="E1687">
        <x:f>IF(C1687=D1687,1,0)</x:f>
        <x:v>1</x:v>
      </x:c>
    </x:row>
    <x:row r="1688">
      <x:c r="A1688" t="str">
        <x:v>Сценарии</x:v>
      </x:c>
      <x:c r="B1688" t="str">
        <x:v>D30</x:v>
      </x:c>
      <x:c r="C1688">
        <x:v>44000000</x:v>
      </x:c>
      <x:c r="D1688">
        <x:f>'Сценарии'!D30</x:f>
        <x:v>44000000</x:v>
      </x:c>
      <x:c r="E1688">
        <x:f>IF(C1688=D1688,1,0)</x:f>
        <x:v>1</x:v>
      </x:c>
    </x:row>
    <x:row r="1689">
      <x:c r="A1689" t="str">
        <x:v>Сценарии</x:v>
      </x:c>
      <x:c r="B1689" t="str">
        <x:v>E30</x:v>
      </x:c>
      <x:c r="C1689">
        <x:v>84000000</x:v>
      </x:c>
      <x:c r="D1689">
        <x:f>'Сценарии'!E30</x:f>
        <x:v>84000000</x:v>
      </x:c>
      <x:c r="E1689">
        <x:f>IF(C1689=D1689,1,0)</x:f>
        <x:v>1</x:v>
      </x:c>
    </x:row>
    <x:row r="1690">
      <x:c r="A1690" t="str">
        <x:v>Сценарии</x:v>
      </x:c>
      <x:c r="B1690" t="str">
        <x:v>F30</x:v>
      </x:c>
      <x:c r="C1690">
        <x:v>0.27999999999999997</x:v>
      </x:c>
      <x:c r="D1690">
        <x:f>'Сценарии'!F30</x:f>
        <x:v>0.27999999999999997</x:v>
      </x:c>
      <x:c r="E1690">
        <x:f>IF(C1690=D1690,1,0)</x:f>
        <x:v>1</x:v>
      </x:c>
    </x:row>
    <x:row r="1691">
      <x:c r="A1691" t="str">
        <x:v>Сценарии</x:v>
      </x:c>
      <x:c r="B1691" t="str">
        <x:v>G30</x:v>
      </x:c>
      <x:c r="C1691">
        <x:v>0.12</x:v>
      </x:c>
      <x:c r="D1691">
        <x:f>'Сценарии'!G30</x:f>
        <x:v>0.12</x:v>
      </x:c>
      <x:c r="E1691">
        <x:f>IF(C1691=D1691,1,0)</x:f>
        <x:v>1</x:v>
      </x:c>
    </x:row>
    <x:row r="1692">
      <x:c r="A1692" t="str">
        <x:v>Сценарии</x:v>
      </x:c>
      <x:c r="B1692" t="str">
        <x:v>H30</x:v>
      </x:c>
      <x:c r="C1692">
        <x:v>0.17999999999999999</x:v>
      </x:c>
      <x:c r="D1692">
        <x:f>'Сценарии'!H30</x:f>
        <x:v>0.17999999999999999</x:v>
      </x:c>
      <x:c r="E1692">
        <x:f>IF(C1692=D1692,1,0)</x:f>
        <x:v>1</x:v>
      </x:c>
    </x:row>
    <x:row r="1693">
      <x:c r="A1693" t="str">
        <x:v>Сценарии</x:v>
      </x:c>
      <x:c r="B1693" t="str">
        <x:v>I30</x:v>
      </x:c>
      <x:c r="C1693">
        <x:v>0.41999999999999998</x:v>
      </x:c>
      <x:c r="D1693">
        <x:f>'Сценарии'!I30</x:f>
        <x:v>0.41999999999999998</x:v>
      </x:c>
      <x:c r="E1693">
        <x:f>IF(C1693=D1693,1,0)</x:f>
        <x:v>1</x:v>
      </x:c>
    </x:row>
    <x:row r="1694">
      <x:c r="A1694" t="str">
        <x:v>Сценарии</x:v>
      </x:c>
      <x:c r="B1694" t="str">
        <x:v>J30</x:v>
      </x:c>
      <x:c r="C1694">
        <x:v>0.14999999999999999</x:v>
      </x:c>
      <x:c r="D1694">
        <x:f>'Сценарии'!J30</x:f>
        <x:v>0.14999999999999999</x:v>
      </x:c>
      <x:c r="E1694">
        <x:f>IF(C1694=D1694,1,0)</x:f>
        <x:v>1</x:v>
      </x:c>
    </x:row>
    <x:row r="1695">
      <x:c r="A1695" t="str">
        <x:v>Сценарии</x:v>
      </x:c>
      <x:c r="B1695" t="str">
        <x:v>K30</x:v>
      </x:c>
      <x:c r="C1695">
        <x:v>0.23099999999999998</x:v>
      </x:c>
      <x:c r="D1695">
        <x:f>'Сценарии'!K30</x:f>
        <x:v>0.23099999999999998</x:v>
      </x:c>
      <x:c r="E1695">
        <x:f>IF(C1695=D1695,1,0)</x:f>
        <x:v>1</x:v>
      </x:c>
    </x:row>
    <x:row r="1696">
      <x:c r="A1696" t="str">
        <x:v>Сценарии</x:v>
      </x:c>
      <x:c r="B1696" t="str">
        <x:v>L30</x:v>
      </x:c>
      <x:c r="C1696">
        <x:v>2</x:v>
      </x:c>
      <x:c r="D1696">
        <x:f>'Сценарии'!L30</x:f>
        <x:v>2</x:v>
      </x:c>
      <x:c r="E1696">
        <x:f>IF(C1696=D1696,1,0)</x:f>
        <x:v>1</x:v>
      </x:c>
    </x:row>
    <x:row r="1697">
      <x:c r="A1697" t="str">
        <x:v>Сценарии</x:v>
      </x:c>
      <x:c r="B1697" t="str">
        <x:v>M30</x:v>
      </x:c>
      <x:c r="C1697">
        <x:v>0.5</x:v>
      </x:c>
      <x:c r="D1697">
        <x:f>'Сценарии'!M30</x:f>
        <x:v>0.5</x:v>
      </x:c>
      <x:c r="E1697">
        <x:f>IF(C1697=D1697,1,0)</x:f>
        <x:v>1</x:v>
      </x:c>
    </x:row>
    <x:row r="1698">
      <x:c r="A1698" t="str">
        <x:v>Сценарии</x:v>
      </x:c>
      <x:c r="B1698" t="str">
        <x:v>N30</x:v>
      </x:c>
      <x:c r="C1698">
        <x:v>0.5</x:v>
      </x:c>
      <x:c r="D1698">
        <x:f>'Сценарии'!N30</x:f>
        <x:v>0.5</x:v>
      </x:c>
      <x:c r="E1698">
        <x:f>IF(C1698=D1698,1,0)</x:f>
        <x:v>1</x:v>
      </x:c>
    </x:row>
    <x:row r="1699">
      <x:c r="A1699" t="str">
        <x:v>Сценарии</x:v>
      </x:c>
      <x:c r="B1699" t="str">
        <x:v>O30</x:v>
      </x:c>
      <x:c r="C1699">
        <x:v>1</x:v>
      </x:c>
      <x:c r="D1699">
        <x:f>'Сценарии'!O30</x:f>
        <x:v>1</x:v>
      </x:c>
      <x:c r="E1699">
        <x:f>IF(C1699=D1699,1,0)</x:f>
        <x:v>1</x:v>
      </x:c>
    </x:row>
    <x:row r="1700">
      <x:c r="A1700" t="str">
        <x:v>Сценарии</x:v>
      </x:c>
      <x:c r="B1700" t="str">
        <x:v>P30</x:v>
      </x:c>
      <x:c r="C1700">
        <x:v>0.25</x:v>
      </x:c>
      <x:c r="D1700">
        <x:f>'Сценарии'!P30</x:f>
        <x:v>0.25</x:v>
      </x:c>
      <x:c r="E1700">
        <x:f>IF(C1700=D1700,1,0)</x:f>
        <x:v>1</x:v>
      </x:c>
    </x:row>
    <x:row r="1701">
      <x:c r="A1701" t="str">
        <x:v>Сценарии</x:v>
      </x:c>
      <x:c r="B1701" t="str">
        <x:v>Q30</x:v>
      </x:c>
      <x:c r="C1701">
        <x:v>0.25</x:v>
      </x:c>
      <x:c r="D1701">
        <x:f>'Сценарии'!Q30</x:f>
        <x:v>0.25</x:v>
      </x:c>
      <x:c r="E1701">
        <x:f>IF(C1701=D1701,1,0)</x:f>
        <x:v>1</x:v>
      </x:c>
    </x:row>
    <x:row r="1702">
      <x:c r="A1702" t="str">
        <x:v>Сценарии</x:v>
      </x:c>
      <x:c r="B1702" t="str">
        <x:v>R30</x:v>
      </x:c>
      <x:c r="C1702">
        <x:v>0</x:v>
      </x:c>
      <x:c r="D1702">
        <x:f>'Сценарии'!R30</x:f>
        <x:v>0</x:v>
      </x:c>
      <x:c r="E1702">
        <x:f>IF(C1702=D1702,1,0)</x:f>
        <x:v>1</x:v>
      </x:c>
    </x:row>
    <x:row r="1703">
      <x:c r="A1703" t="str">
        <x:v>Сценарии</x:v>
      </x:c>
      <x:c r="B1703" t="str">
        <x:v>S30</x:v>
      </x:c>
      <x:c r="C1703">
        <x:v>0</x:v>
      </x:c>
      <x:c r="D1703">
        <x:f>'Сценарии'!S30</x:f>
        <x:v>0</x:v>
      </x:c>
      <x:c r="E1703">
        <x:f>IF(C1703=D1703,1,0)</x:f>
        <x:v>1</x:v>
      </x:c>
    </x:row>
    <x:row r="1704">
      <x:c r="A1704" t="str">
        <x:v>Сценарии</x:v>
      </x:c>
      <x:c r="B1704" t="str">
        <x:v>T30</x:v>
      </x:c>
      <x:c r="C1704">
        <x:v>0</x:v>
      </x:c>
      <x:c r="D1704">
        <x:f>'Сценарии'!T30</x:f>
        <x:v>0</x:v>
      </x:c>
      <x:c r="E1704">
        <x:f>IF(C1704=D1704,1,0)</x:f>
        <x:v>1</x:v>
      </x:c>
    </x:row>
    <x:row r="1705">
      <x:c r="A1705" t="str">
        <x:v>Сценарии</x:v>
      </x:c>
      <x:c r="B1705" t="str">
        <x:v>U30</x:v>
      </x:c>
      <x:c r="C1705">
        <x:v>1</x:v>
      </x:c>
      <x:c r="D1705">
        <x:f>'Сценарии'!U30</x:f>
        <x:v>1</x:v>
      </x:c>
      <x:c r="E1705">
        <x:f>IF(C1705=D1705,1,0)</x:f>
        <x:v>1</x:v>
      </x:c>
    </x:row>
    <x:row r="1706">
      <x:c r="A1706" t="str">
        <x:v>Сценарии</x:v>
      </x:c>
      <x:c r="B1706" t="str">
        <x:v>V30</x:v>
      </x:c>
      <x:c r="C1706">
        <x:v>1</x:v>
      </x:c>
      <x:c r="D1706">
        <x:f>'Сценарии'!V30</x:f>
        <x:v>1</x:v>
      </x:c>
      <x:c r="E1706">
        <x:f>IF(C1706=D1706,1,0)</x:f>
        <x:v>1</x:v>
      </x:c>
    </x:row>
    <x:row r="1707">
      <x:c r="A1707" t="str">
        <x:v>Сценарии</x:v>
      </x:c>
      <x:c r="B1707" t="str">
        <x:v>X30</x:v>
      </x:c>
      <x:c r="C1707">
        <x:v>1.2</x:v>
      </x:c>
      <x:c r="D1707">
        <x:f>'Сценарии'!X30</x:f>
        <x:v>1.2</x:v>
      </x:c>
      <x:c r="E1707">
        <x:f>IF(C1707=D1707,1,0)</x:f>
        <x:v>1</x:v>
      </x:c>
    </x:row>
    <x:row r="1708">
      <x:c r="A1708" t="str">
        <x:v>Сценарии</x:v>
      </x:c>
      <x:c r="B1708" t="str">
        <x:v>Y30</x:v>
      </x:c>
      <x:c r="C1708">
        <x:v>0.40000000000000002</x:v>
      </x:c>
      <x:c r="D1708">
        <x:f>'Сценарии'!Y30</x:f>
        <x:v>0.40000000000000002</x:v>
      </x:c>
      <x:c r="E1708">
        <x:f>IF(C1708=D1708,1,0)</x:f>
        <x:v>1</x:v>
      </x:c>
    </x:row>
    <x:row r="1709">
      <x:c r="A1709" t="str">
        <x:v>Сценарии</x:v>
      </x:c>
      <x:c r="B1709" t="str">
        <x:v>Z30</x:v>
      </x:c>
      <x:c r="C1709">
        <x:v>1</x:v>
      </x:c>
      <x:c r="D1709">
        <x:f>'Сценарии'!Z30</x:f>
        <x:v>1</x:v>
      </x:c>
      <x:c r="E1709">
        <x:f>IF(C1709=D1709,1,0)</x:f>
        <x:v>1</x:v>
      </x:c>
    </x:row>
    <x:row r="1710">
      <x:c r="A1710" t="str">
        <x:v>Сценарии</x:v>
      </x:c>
      <x:c r="B1710" t="str">
        <x:v>AA30</x:v>
      </x:c>
      <x:c r="C1710">
        <x:v>0.5</x:v>
      </x:c>
      <x:c r="D1710">
        <x:f>'Сценарии'!AA30</x:f>
        <x:v>0.5</x:v>
      </x:c>
      <x:c r="E1710">
        <x:f>IF(C1710=D1710,1,0)</x:f>
        <x:v>1</x:v>
      </x:c>
    </x:row>
    <x:row r="1711">
      <x:c r="A1711" t="str">
        <x:v>Сценарии</x:v>
      </x:c>
      <x:c r="B1711" t="str">
        <x:v>AB30</x:v>
      </x:c>
      <x:c r="C1711">
        <x:v>0.40000000000000002</x:v>
      </x:c>
      <x:c r="D1711">
        <x:f>'Сценарии'!AB30</x:f>
        <x:v>0.40000000000000002</x:v>
      </x:c>
      <x:c r="E1711">
        <x:f>IF(C1711=D1711,1,0)</x:f>
        <x:v>1</x:v>
      </x:c>
    </x:row>
    <x:row r="1712">
      <x:c r="A1712" t="str">
        <x:v>Сценарии</x:v>
      </x:c>
      <x:c r="B1712" t="str">
        <x:v>AC30</x:v>
      </x:c>
      <x:c r="C1712">
        <x:v>1</x:v>
      </x:c>
      <x:c r="D1712">
        <x:f>'Сценарии'!AC30</x:f>
        <x:v>1</x:v>
      </x:c>
      <x:c r="E1712">
        <x:f>IF(C1712=D1712,1,0)</x:f>
        <x:v>1</x:v>
      </x:c>
    </x:row>
    <x:row r="1713">
      <x:c r="A1713" t="str">
        <x:v>Сценарии</x:v>
      </x:c>
      <x:c r="B1713" t="str">
        <x:v>D31</x:v>
      </x:c>
      <x:c r="C1713">
        <x:v>44000000</x:v>
      </x:c>
      <x:c r="D1713">
        <x:f>'Сценарии'!D31</x:f>
        <x:v>44000000</x:v>
      </x:c>
      <x:c r="E1713">
        <x:f>IF(C1713=D1713,1,0)</x:f>
        <x:v>1</x:v>
      </x:c>
    </x:row>
    <x:row r="1714">
      <x:c r="A1714" t="str">
        <x:v>Сценарии</x:v>
      </x:c>
      <x:c r="B1714" t="str">
        <x:v>E31</x:v>
      </x:c>
      <x:c r="C1714">
        <x:v>84000000</x:v>
      </x:c>
      <x:c r="D1714">
        <x:f>'Сценарии'!E31</x:f>
        <x:v>84000000</x:v>
      </x:c>
      <x:c r="E1714">
        <x:f>IF(C1714=D1714,1,0)</x:f>
        <x:v>1</x:v>
      </x:c>
    </x:row>
    <x:row r="1715">
      <x:c r="A1715" t="str">
        <x:v>Сценарии</x:v>
      </x:c>
      <x:c r="B1715" t="str">
        <x:v>F31</x:v>
      </x:c>
      <x:c r="C1715">
        <x:v>0.27999999999999997</x:v>
      </x:c>
      <x:c r="D1715">
        <x:f>'Сценарии'!F31</x:f>
        <x:v>0.27999999999999997</x:v>
      </x:c>
      <x:c r="E1715">
        <x:f>IF(C1715=D1715,1,0)</x:f>
        <x:v>1</x:v>
      </x:c>
    </x:row>
    <x:row r="1716">
      <x:c r="A1716" t="str">
        <x:v>Сценарии</x:v>
      </x:c>
      <x:c r="B1716" t="str">
        <x:v>G31</x:v>
      </x:c>
      <x:c r="C1716">
        <x:v>0.12</x:v>
      </x:c>
      <x:c r="D1716">
        <x:f>'Сценарии'!G31</x:f>
        <x:v>0.12</x:v>
      </x:c>
      <x:c r="E1716">
        <x:f>IF(C1716=D1716,1,0)</x:f>
        <x:v>1</x:v>
      </x:c>
    </x:row>
    <x:row r="1717">
      <x:c r="A1717" t="str">
        <x:v>Сценарии</x:v>
      </x:c>
      <x:c r="B1717" t="str">
        <x:v>H31</x:v>
      </x:c>
      <x:c r="C1717">
        <x:v>0.17999999999999999</x:v>
      </x:c>
      <x:c r="D1717">
        <x:f>'Сценарии'!H31</x:f>
        <x:v>0.17999999999999999</x:v>
      </x:c>
      <x:c r="E1717">
        <x:f>IF(C1717=D1717,1,0)</x:f>
        <x:v>1</x:v>
      </x:c>
    </x:row>
    <x:row r="1718">
      <x:c r="A1718" t="str">
        <x:v>Сценарии</x:v>
      </x:c>
      <x:c r="B1718" t="str">
        <x:v>I31</x:v>
      </x:c>
      <x:c r="C1718">
        <x:v>0.41999999999999998</x:v>
      </x:c>
      <x:c r="D1718">
        <x:f>'Сценарии'!I31</x:f>
        <x:v>0.41999999999999998</x:v>
      </x:c>
      <x:c r="E1718">
        <x:f>IF(C1718=D1718,1,0)</x:f>
        <x:v>1</x:v>
      </x:c>
    </x:row>
    <x:row r="1719">
      <x:c r="A1719" t="str">
        <x:v>Сценарии</x:v>
      </x:c>
      <x:c r="B1719" t="str">
        <x:v>J31</x:v>
      </x:c>
      <x:c r="C1719">
        <x:v>0.14999999999999999</x:v>
      </x:c>
      <x:c r="D1719">
        <x:f>'Сценарии'!J31</x:f>
        <x:v>0.14999999999999999</x:v>
      </x:c>
      <x:c r="E1719">
        <x:f>IF(C1719=D1719,1,0)</x:f>
        <x:v>1</x:v>
      </x:c>
    </x:row>
    <x:row r="1720">
      <x:c r="A1720" t="str">
        <x:v>Сценарии</x:v>
      </x:c>
      <x:c r="B1720" t="str">
        <x:v>K31</x:v>
      </x:c>
      <x:c r="C1720">
        <x:v>0.23099999999999998</x:v>
      </x:c>
      <x:c r="D1720">
        <x:f>'Сценарии'!K31</x:f>
        <x:v>0.23099999999999998</x:v>
      </x:c>
      <x:c r="E1720">
        <x:f>IF(C1720=D1720,1,0)</x:f>
        <x:v>1</x:v>
      </x:c>
    </x:row>
    <x:row r="1721">
      <x:c r="A1721" t="str">
        <x:v>Сценарии</x:v>
      </x:c>
      <x:c r="B1721" t="str">
        <x:v>L31</x:v>
      </x:c>
      <x:c r="C1721">
        <x:v>2</x:v>
      </x:c>
      <x:c r="D1721">
        <x:f>'Сценарии'!L31</x:f>
        <x:v>2</x:v>
      </x:c>
      <x:c r="E1721">
        <x:f>IF(C1721=D1721,1,0)</x:f>
        <x:v>1</x:v>
      </x:c>
    </x:row>
    <x:row r="1722">
      <x:c r="A1722" t="str">
        <x:v>Сценарии</x:v>
      </x:c>
      <x:c r="B1722" t="str">
        <x:v>M31</x:v>
      </x:c>
      <x:c r="C1722">
        <x:v>0.5</x:v>
      </x:c>
      <x:c r="D1722">
        <x:f>'Сценарии'!M31</x:f>
        <x:v>0.5</x:v>
      </x:c>
      <x:c r="E1722">
        <x:f>IF(C1722=D1722,1,0)</x:f>
        <x:v>1</x:v>
      </x:c>
    </x:row>
    <x:row r="1723">
      <x:c r="A1723" t="str">
        <x:v>Сценарии</x:v>
      </x:c>
      <x:c r="B1723" t="str">
        <x:v>N31</x:v>
      </x:c>
      <x:c r="C1723">
        <x:v>0.80000000000000004</x:v>
      </x:c>
      <x:c r="D1723">
        <x:f>'Сценарии'!N31</x:f>
        <x:v>0.80000000000000004</x:v>
      </x:c>
      <x:c r="E1723">
        <x:f>IF(C1723=D1723,1,0)</x:f>
        <x:v>1</x:v>
      </x:c>
    </x:row>
    <x:row r="1724">
      <x:c r="A1724" t="str">
        <x:v>Сценарии</x:v>
      </x:c>
      <x:c r="B1724" t="str">
        <x:v>O31</x:v>
      </x:c>
      <x:c r="C1724">
        <x:v>1</x:v>
      </x:c>
      <x:c r="D1724">
        <x:f>'Сценарии'!O31</x:f>
        <x:v>1</x:v>
      </x:c>
      <x:c r="E1724">
        <x:f>IF(C1724=D1724,1,0)</x:f>
        <x:v>1</x:v>
      </x:c>
    </x:row>
    <x:row r="1725">
      <x:c r="A1725" t="str">
        <x:v>Сценарии</x:v>
      </x:c>
      <x:c r="B1725" t="str">
        <x:v>P31</x:v>
      </x:c>
      <x:c r="C1725">
        <x:v>0.25</x:v>
      </x:c>
      <x:c r="D1725">
        <x:f>'Сценарии'!P31</x:f>
        <x:v>0.25</x:v>
      </x:c>
      <x:c r="E1725">
        <x:f>IF(C1725=D1725,1,0)</x:f>
        <x:v>1</x:v>
      </x:c>
    </x:row>
    <x:row r="1726">
      <x:c r="A1726" t="str">
        <x:v>Сценарии</x:v>
      </x:c>
      <x:c r="B1726" t="str">
        <x:v>Q31</x:v>
      </x:c>
      <x:c r="C1726">
        <x:v>0.25</x:v>
      </x:c>
      <x:c r="D1726">
        <x:f>'Сценарии'!Q31</x:f>
        <x:v>0.25</x:v>
      </x:c>
      <x:c r="E1726">
        <x:f>IF(C1726=D1726,1,0)</x:f>
        <x:v>1</x:v>
      </x:c>
    </x:row>
    <x:row r="1727">
      <x:c r="A1727" t="str">
        <x:v>Сценарии</x:v>
      </x:c>
      <x:c r="B1727" t="str">
        <x:v>R31</x:v>
      </x:c>
      <x:c r="C1727">
        <x:v>0</x:v>
      </x:c>
      <x:c r="D1727">
        <x:f>'Сценарии'!R31</x:f>
        <x:v>0</x:v>
      </x:c>
      <x:c r="E1727">
        <x:f>IF(C1727=D1727,1,0)</x:f>
        <x:v>1</x:v>
      </x:c>
    </x:row>
    <x:row r="1728">
      <x:c r="A1728" t="str">
        <x:v>Сценарии</x:v>
      </x:c>
      <x:c r="B1728" t="str">
        <x:v>S31</x:v>
      </x:c>
      <x:c r="C1728">
        <x:v>0</x:v>
      </x:c>
      <x:c r="D1728">
        <x:f>'Сценарии'!S31</x:f>
        <x:v>0</x:v>
      </x:c>
      <x:c r="E1728">
        <x:f>IF(C1728=D1728,1,0)</x:f>
        <x:v>1</x:v>
      </x:c>
    </x:row>
    <x:row r="1729">
      <x:c r="A1729" t="str">
        <x:v>Сценарии</x:v>
      </x:c>
      <x:c r="B1729" t="str">
        <x:v>T31</x:v>
      </x:c>
      <x:c r="C1729">
        <x:v>0</x:v>
      </x:c>
      <x:c r="D1729">
        <x:f>'Сценарии'!T31</x:f>
        <x:v>0</x:v>
      </x:c>
      <x:c r="E1729">
        <x:f>IF(C1729=D1729,1,0)</x:f>
        <x:v>1</x:v>
      </x:c>
    </x:row>
    <x:row r="1730">
      <x:c r="A1730" t="str">
        <x:v>Сценарии</x:v>
      </x:c>
      <x:c r="B1730" t="str">
        <x:v>U31</x:v>
      </x:c>
      <x:c r="C1730">
        <x:v>1</x:v>
      </x:c>
      <x:c r="D1730">
        <x:f>'Сценарии'!U31</x:f>
        <x:v>1</x:v>
      </x:c>
      <x:c r="E1730">
        <x:f>IF(C1730=D1730,1,0)</x:f>
        <x:v>1</x:v>
      </x:c>
    </x:row>
    <x:row r="1731">
      <x:c r="A1731" t="str">
        <x:v>Сценарии</x:v>
      </x:c>
      <x:c r="B1731" t="str">
        <x:v>V31</x:v>
      </x:c>
      <x:c r="C1731">
        <x:v>1</x:v>
      </x:c>
      <x:c r="D1731">
        <x:f>'Сценарии'!V31</x:f>
        <x:v>1</x:v>
      </x:c>
      <x:c r="E1731">
        <x:f>IF(C1731=D1731,1,0)</x:f>
        <x:v>1</x:v>
      </x:c>
    </x:row>
    <x:row r="1732">
      <x:c r="A1732" t="str">
        <x:v>Сценарии</x:v>
      </x:c>
      <x:c r="B1732" t="str">
        <x:v>X31</x:v>
      </x:c>
      <x:c r="C1732">
        <x:v>1.5</x:v>
      </x:c>
      <x:c r="D1732">
        <x:f>'Сценарии'!X31</x:f>
        <x:v>1.5</x:v>
      </x:c>
      <x:c r="E1732">
        <x:f>IF(C1732=D1732,1,0)</x:f>
        <x:v>1</x:v>
      </x:c>
    </x:row>
    <x:row r="1733">
      <x:c r="A1733" t="str">
        <x:v>Сценарии</x:v>
      </x:c>
      <x:c r="B1733" t="str">
        <x:v>Y31</x:v>
      </x:c>
      <x:c r="C1733">
        <x:v>0.20000000000000001</x:v>
      </x:c>
      <x:c r="D1733">
        <x:f>'Сценарии'!Y31</x:f>
        <x:v>0.20000000000000001</x:v>
      </x:c>
      <x:c r="E1733">
        <x:f>IF(C1733=D1733,1,0)</x:f>
        <x:v>1</x:v>
      </x:c>
    </x:row>
    <x:row r="1734">
      <x:c r="A1734" t="str">
        <x:v>Сценарии</x:v>
      </x:c>
      <x:c r="B1734" t="str">
        <x:v>Z31</x:v>
      </x:c>
      <x:c r="C1734">
        <x:v>1</x:v>
      </x:c>
      <x:c r="D1734">
        <x:f>'Сценарии'!Z31</x:f>
        <x:v>1</x:v>
      </x:c>
      <x:c r="E1734">
        <x:f>IF(C1734=D1734,1,0)</x:f>
        <x:v>1</x:v>
      </x:c>
    </x:row>
    <x:row r="1735">
      <x:c r="A1735" t="str">
        <x:v>Сценарии</x:v>
      </x:c>
      <x:c r="B1735" t="str">
        <x:v>AA31</x:v>
      </x:c>
      <x:c r="C1735">
        <x:v>0.29999999999999999</x:v>
      </x:c>
      <x:c r="D1735">
        <x:f>'Сценарии'!AA31</x:f>
        <x:v>0.29999999999999999</x:v>
      </x:c>
      <x:c r="E1735">
        <x:f>IF(C1735=D1735,1,0)</x:f>
        <x:v>1</x:v>
      </x:c>
    </x:row>
    <x:row r="1736">
      <x:c r="A1736" t="str">
        <x:v>Сценарии</x:v>
      </x:c>
      <x:c r="B1736" t="str">
        <x:v>AB31</x:v>
      </x:c>
      <x:c r="C1736">
        <x:v>0.25</x:v>
      </x:c>
      <x:c r="D1736">
        <x:f>'Сценарии'!AB31</x:f>
        <x:v>0.25</x:v>
      </x:c>
      <x:c r="E1736">
        <x:f>IF(C1736=D1736,1,0)</x:f>
        <x:v>1</x:v>
      </x:c>
    </x:row>
    <x:row r="1737">
      <x:c r="A1737" t="str">
        <x:v>Сценарии</x:v>
      </x:c>
      <x:c r="B1737" t="str">
        <x:v>AC31</x:v>
      </x:c>
      <x:c r="C1737">
        <x:v>1</x:v>
      </x:c>
      <x:c r="D1737">
        <x:f>'Сценарии'!AC31</x:f>
        <x:v>1</x:v>
      </x:c>
      <x:c r="E1737">
        <x:f>IF(C1737=D1737,1,0)</x:f>
        <x:v>1</x:v>
      </x:c>
    </x:row>
    <x:row r="1738">
      <x:c r="A1738" t="str">
        <x:v>Сценарии</x:v>
      </x:c>
      <x:c r="B1738" t="str">
        <x:v>D32</x:v>
      </x:c>
      <x:c r="C1738">
        <x:v>44000000</x:v>
      </x:c>
      <x:c r="D1738">
        <x:f>'Сценарии'!D32</x:f>
        <x:v>44000000</x:v>
      </x:c>
      <x:c r="E1738">
        <x:f>IF(C1738=D1738,1,0)</x:f>
        <x:v>1</x:v>
      </x:c>
    </x:row>
    <x:row r="1739">
      <x:c r="A1739" t="str">
        <x:v>Сценарии</x:v>
      </x:c>
      <x:c r="B1739" t="str">
        <x:v>E32</x:v>
      </x:c>
      <x:c r="C1739">
        <x:v>84000000</x:v>
      </x:c>
      <x:c r="D1739">
        <x:f>'Сценарии'!E32</x:f>
        <x:v>84000000</x:v>
      </x:c>
      <x:c r="E1739">
        <x:f>IF(C1739=D1739,1,0)</x:f>
        <x:v>1</x:v>
      </x:c>
    </x:row>
    <x:row r="1740">
      <x:c r="A1740" t="str">
        <x:v>Сценарии</x:v>
      </x:c>
      <x:c r="B1740" t="str">
        <x:v>F32</x:v>
      </x:c>
      <x:c r="C1740">
        <x:v>0.27999999999999997</x:v>
      </x:c>
      <x:c r="D1740">
        <x:f>'Сценарии'!F32</x:f>
        <x:v>0.27999999999999997</x:v>
      </x:c>
      <x:c r="E1740">
        <x:f>IF(C1740=D1740,1,0)</x:f>
        <x:v>1</x:v>
      </x:c>
    </x:row>
    <x:row r="1741">
      <x:c r="A1741" t="str">
        <x:v>Сценарии</x:v>
      </x:c>
      <x:c r="B1741" t="str">
        <x:v>G32</x:v>
      </x:c>
      <x:c r="C1741">
        <x:v>0.12</x:v>
      </x:c>
      <x:c r="D1741">
        <x:f>'Сценарии'!G32</x:f>
        <x:v>0.12</x:v>
      </x:c>
      <x:c r="E1741">
        <x:f>IF(C1741=D1741,1,0)</x:f>
        <x:v>1</x:v>
      </x:c>
    </x:row>
    <x:row r="1742">
      <x:c r="A1742" t="str">
        <x:v>Сценарии</x:v>
      </x:c>
      <x:c r="B1742" t="str">
        <x:v>H32</x:v>
      </x:c>
      <x:c r="C1742">
        <x:v>0.17999999999999999</x:v>
      </x:c>
      <x:c r="D1742">
        <x:f>'Сценарии'!H32</x:f>
        <x:v>0.17999999999999999</x:v>
      </x:c>
      <x:c r="E1742">
        <x:f>IF(C1742=D1742,1,0)</x:f>
        <x:v>1</x:v>
      </x:c>
    </x:row>
    <x:row r="1743">
      <x:c r="A1743" t="str">
        <x:v>Сценарии</x:v>
      </x:c>
      <x:c r="B1743" t="str">
        <x:v>I32</x:v>
      </x:c>
      <x:c r="C1743">
        <x:v>0.41999999999999998</x:v>
      </x:c>
      <x:c r="D1743">
        <x:f>'Сценарии'!I32</x:f>
        <x:v>0.41999999999999998</x:v>
      </x:c>
      <x:c r="E1743">
        <x:f>IF(C1743=D1743,1,0)</x:f>
        <x:v>1</x:v>
      </x:c>
    </x:row>
    <x:row r="1744">
      <x:c r="A1744" t="str">
        <x:v>Сценарии</x:v>
      </x:c>
      <x:c r="B1744" t="str">
        <x:v>J32</x:v>
      </x:c>
      <x:c r="C1744">
        <x:v>0.14999999999999999</x:v>
      </x:c>
      <x:c r="D1744">
        <x:f>'Сценарии'!J32</x:f>
        <x:v>0.14999999999999999</x:v>
      </x:c>
      <x:c r="E1744">
        <x:f>IF(C1744=D1744,1,0)</x:f>
        <x:v>1</x:v>
      </x:c>
    </x:row>
    <x:row r="1745">
      <x:c r="A1745" t="str">
        <x:v>Сценарии</x:v>
      </x:c>
      <x:c r="B1745" t="str">
        <x:v>K32</x:v>
      </x:c>
      <x:c r="C1745">
        <x:v>0.23099999999999998</x:v>
      </x:c>
      <x:c r="D1745">
        <x:f>'Сценарии'!K32</x:f>
        <x:v>0.23099999999999998</x:v>
      </x:c>
      <x:c r="E1745">
        <x:f>IF(C1745=D1745,1,0)</x:f>
        <x:v>1</x:v>
      </x:c>
    </x:row>
    <x:row r="1746">
      <x:c r="A1746" t="str">
        <x:v>Сценарии</x:v>
      </x:c>
      <x:c r="B1746" t="str">
        <x:v>L32</x:v>
      </x:c>
      <x:c r="C1746">
        <x:v>2</x:v>
      </x:c>
      <x:c r="D1746">
        <x:f>'Сценарии'!L32</x:f>
        <x:v>2</x:v>
      </x:c>
      <x:c r="E1746">
        <x:f>IF(C1746=D1746,1,0)</x:f>
        <x:v>1</x:v>
      </x:c>
    </x:row>
    <x:row r="1747">
      <x:c r="A1747" t="str">
        <x:v>Сценарии</x:v>
      </x:c>
      <x:c r="B1747" t="str">
        <x:v>M32</x:v>
      </x:c>
      <x:c r="C1747">
        <x:v>0.5</x:v>
      </x:c>
      <x:c r="D1747">
        <x:f>'Сценарии'!M32</x:f>
        <x:v>0.5</x:v>
      </x:c>
      <x:c r="E1747">
        <x:f>IF(C1747=D1747,1,0)</x:f>
        <x:v>1</x:v>
      </x:c>
    </x:row>
    <x:row r="1748">
      <x:c r="A1748" t="str">
        <x:v>Сценарии</x:v>
      </x:c>
      <x:c r="B1748" t="str">
        <x:v>N32</x:v>
      </x:c>
      <x:c r="C1748">
        <x:v>0.80000000000000004</x:v>
      </x:c>
      <x:c r="D1748">
        <x:f>'Сценарии'!N32</x:f>
        <x:v>0.80000000000000004</x:v>
      </x:c>
      <x:c r="E1748">
        <x:f>IF(C1748=D1748,1,0)</x:f>
        <x:v>1</x:v>
      </x:c>
    </x:row>
    <x:row r="1749">
      <x:c r="A1749" t="str">
        <x:v>Сценарии</x:v>
      </x:c>
      <x:c r="B1749" t="str">
        <x:v>O32</x:v>
      </x:c>
      <x:c r="C1749">
        <x:v>1</x:v>
      </x:c>
      <x:c r="D1749">
        <x:f>'Сценарии'!O32</x:f>
        <x:v>1</x:v>
      </x:c>
      <x:c r="E1749">
        <x:f>IF(C1749=D1749,1,0)</x:f>
        <x:v>1</x:v>
      </x:c>
    </x:row>
    <x:row r="1750">
      <x:c r="A1750" t="str">
        <x:v>Сценарии</x:v>
      </x:c>
      <x:c r="B1750" t="str">
        <x:v>P32</x:v>
      </x:c>
      <x:c r="C1750">
        <x:v>0.25</x:v>
      </x:c>
      <x:c r="D1750">
        <x:f>'Сценарии'!P32</x:f>
        <x:v>0.25</x:v>
      </x:c>
      <x:c r="E1750">
        <x:f>IF(C1750=D1750,1,0)</x:f>
        <x:v>1</x:v>
      </x:c>
    </x:row>
    <x:row r="1751">
      <x:c r="A1751" t="str">
        <x:v>Сценарии</x:v>
      </x:c>
      <x:c r="B1751" t="str">
        <x:v>Q32</x:v>
      </x:c>
      <x:c r="C1751">
        <x:v>0.25</x:v>
      </x:c>
      <x:c r="D1751">
        <x:f>'Сценарии'!Q32</x:f>
        <x:v>0.25</x:v>
      </x:c>
      <x:c r="E1751">
        <x:f>IF(C1751=D1751,1,0)</x:f>
        <x:v>1</x:v>
      </x:c>
    </x:row>
    <x:row r="1752">
      <x:c r="A1752" t="str">
        <x:v>Сценарии</x:v>
      </x:c>
      <x:c r="B1752" t="str">
        <x:v>R32</x:v>
      </x:c>
      <x:c r="C1752">
        <x:v>0</x:v>
      </x:c>
      <x:c r="D1752">
        <x:f>'Сценарии'!R32</x:f>
        <x:v>0</x:v>
      </x:c>
      <x:c r="E1752">
        <x:f>IF(C1752=D1752,1,0)</x:f>
        <x:v>1</x:v>
      </x:c>
    </x:row>
    <x:row r="1753">
      <x:c r="A1753" t="str">
        <x:v>Сценарии</x:v>
      </x:c>
      <x:c r="B1753" t="str">
        <x:v>S32</x:v>
      </x:c>
      <x:c r="C1753">
        <x:v>0</x:v>
      </x:c>
      <x:c r="D1753">
        <x:f>'Сценарии'!S32</x:f>
        <x:v>0</x:v>
      </x:c>
      <x:c r="E1753">
        <x:f>IF(C1753=D1753,1,0)</x:f>
        <x:v>1</x:v>
      </x:c>
    </x:row>
    <x:row r="1754">
      <x:c r="A1754" t="str">
        <x:v>Сценарии</x:v>
      </x:c>
      <x:c r="B1754" t="str">
        <x:v>T32</x:v>
      </x:c>
      <x:c r="C1754">
        <x:v>0</x:v>
      </x:c>
      <x:c r="D1754">
        <x:f>'Сценарии'!T32</x:f>
        <x:v>0</x:v>
      </x:c>
      <x:c r="E1754">
        <x:f>IF(C1754=D1754,1,0)</x:f>
        <x:v>1</x:v>
      </x:c>
    </x:row>
    <x:row r="1755">
      <x:c r="A1755" t="str">
        <x:v>Сценарии</x:v>
      </x:c>
      <x:c r="B1755" t="str">
        <x:v>U32</x:v>
      </x:c>
      <x:c r="C1755">
        <x:v>1</x:v>
      </x:c>
      <x:c r="D1755">
        <x:f>'Сценарии'!U32</x:f>
        <x:v>1</x:v>
      </x:c>
      <x:c r="E1755">
        <x:f>IF(C1755=D1755,1,0)</x:f>
        <x:v>1</x:v>
      </x:c>
    </x:row>
    <x:row r="1756">
      <x:c r="A1756" t="str">
        <x:v>Сценарии</x:v>
      </x:c>
      <x:c r="B1756" t="str">
        <x:v>V32</x:v>
      </x:c>
      <x:c r="C1756">
        <x:v>1</x:v>
      </x:c>
      <x:c r="D1756">
        <x:f>'Сценарии'!V32</x:f>
        <x:v>1</x:v>
      </x:c>
      <x:c r="E1756">
        <x:f>IF(C1756=D1756,1,0)</x:f>
        <x:v>1</x:v>
      </x:c>
    </x:row>
    <x:row r="1757">
      <x:c r="A1757" t="str">
        <x:v>Сценарии</x:v>
      </x:c>
      <x:c r="B1757" t="str">
        <x:v>X32</x:v>
      </x:c>
      <x:c r="C1757">
        <x:v>1.5</x:v>
      </x:c>
      <x:c r="D1757">
        <x:f>'Сценарии'!X32</x:f>
        <x:v>1.5</x:v>
      </x:c>
      <x:c r="E1757">
        <x:f>IF(C1757=D1757,1,0)</x:f>
        <x:v>1</x:v>
      </x:c>
    </x:row>
    <x:row r="1758">
      <x:c r="A1758" t="str">
        <x:v>Сценарии</x:v>
      </x:c>
      <x:c r="B1758" t="str">
        <x:v>Y32</x:v>
      </x:c>
      <x:c r="C1758">
        <x:v>0.20000000000000001</x:v>
      </x:c>
      <x:c r="D1758">
        <x:f>'Сценарии'!Y32</x:f>
        <x:v>0.20000000000000001</x:v>
      </x:c>
      <x:c r="E1758">
        <x:f>IF(C1758=D1758,1,0)</x:f>
        <x:v>1</x:v>
      </x:c>
    </x:row>
    <x:row r="1759">
      <x:c r="A1759" t="str">
        <x:v>Сценарии</x:v>
      </x:c>
      <x:c r="B1759" t="str">
        <x:v>Z32</x:v>
      </x:c>
      <x:c r="C1759">
        <x:v>1</x:v>
      </x:c>
      <x:c r="D1759">
        <x:f>'Сценарии'!Z32</x:f>
        <x:v>1</x:v>
      </x:c>
      <x:c r="E1759">
        <x:f>IF(C1759=D1759,1,0)</x:f>
        <x:v>1</x:v>
      </x:c>
    </x:row>
    <x:row r="1760">
      <x:c r="A1760" t="str">
        <x:v>Сценарии</x:v>
      </x:c>
      <x:c r="B1760" t="str">
        <x:v>AA32</x:v>
      </x:c>
      <x:c r="C1760">
        <x:v>0.29999999999999999</x:v>
      </x:c>
      <x:c r="D1760">
        <x:f>'Сценарии'!AA32</x:f>
        <x:v>0.29999999999999999</x:v>
      </x:c>
      <x:c r="E1760">
        <x:f>IF(C1760=D1760,1,0)</x:f>
        <x:v>1</x:v>
      </x:c>
    </x:row>
    <x:row r="1761">
      <x:c r="A1761" t="str">
        <x:v>Сценарии</x:v>
      </x:c>
      <x:c r="B1761" t="str">
        <x:v>AB32</x:v>
      </x:c>
      <x:c r="C1761">
        <x:v>0.59999999999999998</x:v>
      </x:c>
      <x:c r="D1761">
        <x:f>'Сценарии'!AB32</x:f>
        <x:v>0.59999999999999998</x:v>
      </x:c>
      <x:c r="E1761">
        <x:f>IF(C1761=D1761,1,0)</x:f>
        <x:v>1</x:v>
      </x:c>
    </x:row>
    <x:row r="1762">
      <x:c r="A1762" t="str">
        <x:v>Сценарии</x:v>
      </x:c>
      <x:c r="B1762" t="str">
        <x:v>AC32</x:v>
      </x:c>
      <x:c r="C1762">
        <x:v>1</x:v>
      </x:c>
      <x:c r="D1762">
        <x:f>'Сценарии'!AC32</x:f>
        <x:v>1</x:v>
      </x:c>
      <x:c r="E1762">
        <x:f>IF(C1762=D1762,1,0)</x:f>
        <x:v>1</x:v>
      </x:c>
    </x:row>
    <x:row r="1763">
      <x:c r="A1763" t="str">
        <x:v>Сценарии</x:v>
      </x:c>
      <x:c r="B1763" t="str">
        <x:v>D33</x:v>
      </x:c>
      <x:c r="C1763">
        <x:v>44000000</x:v>
      </x:c>
      <x:c r="D1763">
        <x:f>'Сценарии'!D33</x:f>
        <x:v>44000000</x:v>
      </x:c>
      <x:c r="E1763">
        <x:f>IF(C1763=D1763,1,0)</x:f>
        <x:v>1</x:v>
      </x:c>
    </x:row>
    <x:row r="1764">
      <x:c r="A1764" t="str">
        <x:v>Сценарии</x:v>
      </x:c>
      <x:c r="B1764" t="str">
        <x:v>E33</x:v>
      </x:c>
      <x:c r="C1764">
        <x:v>84000000</x:v>
      </x:c>
      <x:c r="D1764">
        <x:f>'Сценарии'!E33</x:f>
        <x:v>84000000</x:v>
      </x:c>
      <x:c r="E1764">
        <x:f>IF(C1764=D1764,1,0)</x:f>
        <x:v>1</x:v>
      </x:c>
    </x:row>
    <x:row r="1765">
      <x:c r="A1765" t="str">
        <x:v>Сценарии</x:v>
      </x:c>
      <x:c r="B1765" t="str">
        <x:v>F33</x:v>
      </x:c>
      <x:c r="C1765">
        <x:v>0.27999999999999997</x:v>
      </x:c>
      <x:c r="D1765">
        <x:f>'Сценарии'!F33</x:f>
        <x:v>0.27999999999999997</x:v>
      </x:c>
      <x:c r="E1765">
        <x:f>IF(C1765=D1765,1,0)</x:f>
        <x:v>1</x:v>
      </x:c>
    </x:row>
    <x:row r="1766">
      <x:c r="A1766" t="str">
        <x:v>Сценарии</x:v>
      </x:c>
      <x:c r="B1766" t="str">
        <x:v>G33</x:v>
      </x:c>
      <x:c r="C1766">
        <x:v>0.12</x:v>
      </x:c>
      <x:c r="D1766">
        <x:f>'Сценарии'!G33</x:f>
        <x:v>0.12</x:v>
      </x:c>
      <x:c r="E1766">
        <x:f>IF(C1766=D1766,1,0)</x:f>
        <x:v>1</x:v>
      </x:c>
    </x:row>
    <x:row r="1767">
      <x:c r="A1767" t="str">
        <x:v>Сценарии</x:v>
      </x:c>
      <x:c r="B1767" t="str">
        <x:v>H33</x:v>
      </x:c>
      <x:c r="C1767">
        <x:v>0.17999999999999999</x:v>
      </x:c>
      <x:c r="D1767">
        <x:f>'Сценарии'!H33</x:f>
        <x:v>0.17999999999999999</x:v>
      </x:c>
      <x:c r="E1767">
        <x:f>IF(C1767=D1767,1,0)</x:f>
        <x:v>1</x:v>
      </x:c>
    </x:row>
    <x:row r="1768">
      <x:c r="A1768" t="str">
        <x:v>Сценарии</x:v>
      </x:c>
      <x:c r="B1768" t="str">
        <x:v>I33</x:v>
      </x:c>
      <x:c r="C1768">
        <x:v>0.41999999999999998</x:v>
      </x:c>
      <x:c r="D1768">
        <x:f>'Сценарии'!I33</x:f>
        <x:v>0.41999999999999998</x:v>
      </x:c>
      <x:c r="E1768">
        <x:f>IF(C1768=D1768,1,0)</x:f>
        <x:v>1</x:v>
      </x:c>
    </x:row>
    <x:row r="1769">
      <x:c r="A1769" t="str">
        <x:v>Сценарии</x:v>
      </x:c>
      <x:c r="B1769" t="str">
        <x:v>J33</x:v>
      </x:c>
      <x:c r="C1769">
        <x:v>0.14999999999999999</x:v>
      </x:c>
      <x:c r="D1769">
        <x:f>'Сценарии'!J33</x:f>
        <x:v>0.14999999999999999</x:v>
      </x:c>
      <x:c r="E1769">
        <x:f>IF(C1769=D1769,1,0)</x:f>
        <x:v>1</x:v>
      </x:c>
    </x:row>
    <x:row r="1770">
      <x:c r="A1770" t="str">
        <x:v>Сценарии</x:v>
      </x:c>
      <x:c r="B1770" t="str">
        <x:v>K33</x:v>
      </x:c>
      <x:c r="C1770">
        <x:v>0.23099999999999998</x:v>
      </x:c>
      <x:c r="D1770">
        <x:f>'Сценарии'!K33</x:f>
        <x:v>0.23099999999999998</x:v>
      </x:c>
      <x:c r="E1770">
        <x:f>IF(C1770=D1770,1,0)</x:f>
        <x:v>1</x:v>
      </x:c>
    </x:row>
    <x:row r="1771">
      <x:c r="A1771" t="str">
        <x:v>Сценарии</x:v>
      </x:c>
      <x:c r="B1771" t="str">
        <x:v>L33</x:v>
      </x:c>
      <x:c r="C1771">
        <x:v>2</x:v>
      </x:c>
      <x:c r="D1771">
        <x:f>'Сценарии'!L33</x:f>
        <x:v>2</x:v>
      </x:c>
      <x:c r="E1771">
        <x:f>IF(C1771=D1771,1,0)</x:f>
        <x:v>1</x:v>
      </x:c>
    </x:row>
    <x:row r="1772">
      <x:c r="A1772" t="str">
        <x:v>Сценарии</x:v>
      </x:c>
      <x:c r="B1772" t="str">
        <x:v>M33</x:v>
      </x:c>
      <x:c r="C1772">
        <x:v>0.5</x:v>
      </x:c>
      <x:c r="D1772">
        <x:f>'Сценарии'!M33</x:f>
        <x:v>0.5</x:v>
      </x:c>
      <x:c r="E1772">
        <x:f>IF(C1772=D1772,1,0)</x:f>
        <x:v>1</x:v>
      </x:c>
    </x:row>
    <x:row r="1773">
      <x:c r="A1773" t="str">
        <x:v>Сценарии</x:v>
      </x:c>
      <x:c r="B1773" t="str">
        <x:v>N33</x:v>
      </x:c>
      <x:c r="C1773">
        <x:v>0.80000000000000004</x:v>
      </x:c>
      <x:c r="D1773">
        <x:f>'Сценарии'!N33</x:f>
        <x:v>0.80000000000000004</x:v>
      </x:c>
      <x:c r="E1773">
        <x:f>IF(C1773=D1773,1,0)</x:f>
        <x:v>1</x:v>
      </x:c>
    </x:row>
    <x:row r="1774">
      <x:c r="A1774" t="str">
        <x:v>Сценарии</x:v>
      </x:c>
      <x:c r="B1774" t="str">
        <x:v>O33</x:v>
      </x:c>
      <x:c r="C1774">
        <x:v>1</x:v>
      </x:c>
      <x:c r="D1774">
        <x:f>'Сценарии'!O33</x:f>
        <x:v>1</x:v>
      </x:c>
      <x:c r="E1774">
        <x:f>IF(C1774=D1774,1,0)</x:f>
        <x:v>1</x:v>
      </x:c>
    </x:row>
    <x:row r="1775">
      <x:c r="A1775" t="str">
        <x:v>Сценарии</x:v>
      </x:c>
      <x:c r="B1775" t="str">
        <x:v>P33</x:v>
      </x:c>
      <x:c r="C1775">
        <x:v>0.25</x:v>
      </x:c>
      <x:c r="D1775">
        <x:f>'Сценарии'!P33</x:f>
        <x:v>0.25</x:v>
      </x:c>
      <x:c r="E1775">
        <x:f>IF(C1775=D1775,1,0)</x:f>
        <x:v>1</x:v>
      </x:c>
    </x:row>
    <x:row r="1776">
      <x:c r="A1776" t="str">
        <x:v>Сценарии</x:v>
      </x:c>
      <x:c r="B1776" t="str">
        <x:v>Q33</x:v>
      </x:c>
      <x:c r="C1776">
        <x:v>0.25</x:v>
      </x:c>
      <x:c r="D1776">
        <x:f>'Сценарии'!Q33</x:f>
        <x:v>0.25</x:v>
      </x:c>
      <x:c r="E1776">
        <x:f>IF(C1776=D1776,1,0)</x:f>
        <x:v>1</x:v>
      </x:c>
    </x:row>
    <x:row r="1777">
      <x:c r="A1777" t="str">
        <x:v>Сценарии</x:v>
      </x:c>
      <x:c r="B1777" t="str">
        <x:v>R33</x:v>
      </x:c>
      <x:c r="C1777">
        <x:v>0</x:v>
      </x:c>
      <x:c r="D1777">
        <x:f>'Сценарии'!R33</x:f>
        <x:v>0</x:v>
      </x:c>
      <x:c r="E1777">
        <x:f>IF(C1777=D1777,1,0)</x:f>
        <x:v>1</x:v>
      </x:c>
    </x:row>
    <x:row r="1778">
      <x:c r="A1778" t="str">
        <x:v>Сценарии</x:v>
      </x:c>
      <x:c r="B1778" t="str">
        <x:v>S33</x:v>
      </x:c>
      <x:c r="C1778">
        <x:v>0</x:v>
      </x:c>
      <x:c r="D1778">
        <x:f>'Сценарии'!S33</x:f>
        <x:v>0</x:v>
      </x:c>
      <x:c r="E1778">
        <x:f>IF(C1778=D1778,1,0)</x:f>
        <x:v>1</x:v>
      </x:c>
    </x:row>
    <x:row r="1779">
      <x:c r="A1779" t="str">
        <x:v>Сценарии</x:v>
      </x:c>
      <x:c r="B1779" t="str">
        <x:v>T33</x:v>
      </x:c>
      <x:c r="C1779">
        <x:v>0</x:v>
      </x:c>
      <x:c r="D1779">
        <x:f>'Сценарии'!T33</x:f>
        <x:v>0</x:v>
      </x:c>
      <x:c r="E1779">
        <x:f>IF(C1779=D1779,1,0)</x:f>
        <x:v>1</x:v>
      </x:c>
    </x:row>
    <x:row r="1780">
      <x:c r="A1780" t="str">
        <x:v>Сценарии</x:v>
      </x:c>
      <x:c r="B1780" t="str">
        <x:v>U33</x:v>
      </x:c>
      <x:c r="C1780">
        <x:v>1</x:v>
      </x:c>
      <x:c r="D1780">
        <x:f>'Сценарии'!U33</x:f>
        <x:v>1</x:v>
      </x:c>
      <x:c r="E1780">
        <x:f>IF(C1780=D1780,1,0)</x:f>
        <x:v>1</x:v>
      </x:c>
    </x:row>
    <x:row r="1781">
      <x:c r="A1781" t="str">
        <x:v>Сценарии</x:v>
      </x:c>
      <x:c r="B1781" t="str">
        <x:v>V33</x:v>
      </x:c>
      <x:c r="C1781">
        <x:v>1</x:v>
      </x:c>
      <x:c r="D1781">
        <x:f>'Сценарии'!V33</x:f>
        <x:v>1</x:v>
      </x:c>
      <x:c r="E1781">
        <x:f>IF(C1781=D1781,1,0)</x:f>
        <x:v>1</x:v>
      </x:c>
    </x:row>
    <x:row r="1782">
      <x:c r="A1782" t="str">
        <x:v>Сценарии</x:v>
      </x:c>
      <x:c r="B1782" t="str">
        <x:v>X33</x:v>
      </x:c>
      <x:c r="C1782">
        <x:v>1.5</x:v>
      </x:c>
      <x:c r="D1782">
        <x:f>'Сценарии'!X33</x:f>
        <x:v>1.5</x:v>
      </x:c>
      <x:c r="E1782">
        <x:f>IF(C1782=D1782,1,0)</x:f>
        <x:v>1</x:v>
      </x:c>
    </x:row>
    <x:row r="1783">
      <x:c r="A1783" t="str">
        <x:v>Сценарии</x:v>
      </x:c>
      <x:c r="B1783" t="str">
        <x:v>Y33</x:v>
      </x:c>
      <x:c r="C1783">
        <x:v>0.20000000000000001</x:v>
      </x:c>
      <x:c r="D1783">
        <x:f>'Сценарии'!Y33</x:f>
        <x:v>0.20000000000000001</x:v>
      </x:c>
      <x:c r="E1783">
        <x:f>IF(C1783=D1783,1,0)</x:f>
        <x:v>1</x:v>
      </x:c>
    </x:row>
    <x:row r="1784">
      <x:c r="A1784" t="str">
        <x:v>Сценарии</x:v>
      </x:c>
      <x:c r="B1784" t="str">
        <x:v>Z33</x:v>
      </x:c>
      <x:c r="C1784">
        <x:v>1</x:v>
      </x:c>
      <x:c r="D1784">
        <x:f>'Сценарии'!Z33</x:f>
        <x:v>1</x:v>
      </x:c>
      <x:c r="E1784">
        <x:f>IF(C1784=D1784,1,0)</x:f>
        <x:v>1</x:v>
      </x:c>
    </x:row>
    <x:row r="1785">
      <x:c r="A1785" t="str">
        <x:v>Сценарии</x:v>
      </x:c>
      <x:c r="B1785" t="str">
        <x:v>AA33</x:v>
      </x:c>
      <x:c r="C1785">
        <x:v>0.29999999999999999</x:v>
      </x:c>
      <x:c r="D1785">
        <x:f>'Сценарии'!AA33</x:f>
        <x:v>0.29999999999999999</x:v>
      </x:c>
      <x:c r="E1785">
        <x:f>IF(C1785=D1785,1,0)</x:f>
        <x:v>1</x:v>
      </x:c>
    </x:row>
    <x:row r="1786">
      <x:c r="A1786" t="str">
        <x:v>Сценарии</x:v>
      </x:c>
      <x:c r="B1786" t="str">
        <x:v>AB33</x:v>
      </x:c>
      <x:c r="C1786">
        <x:v>0.80000000000000004</x:v>
      </x:c>
      <x:c r="D1786">
        <x:f>'Сценарии'!AB33</x:f>
        <x:v>0.80000000000000004</x:v>
      </x:c>
      <x:c r="E1786">
        <x:f>IF(C1786=D1786,1,0)</x:f>
        <x:v>1</x:v>
      </x:c>
    </x:row>
    <x:row r="1787">
      <x:c r="A1787" t="str">
        <x:v>Сценарии</x:v>
      </x:c>
      <x:c r="B1787" t="str">
        <x:v>AC33</x:v>
      </x:c>
      <x:c r="C1787">
        <x:v>1</x:v>
      </x:c>
      <x:c r="D1787">
        <x:f>'Сценарии'!AC33</x:f>
        <x:v>1</x:v>
      </x:c>
      <x:c r="E1787">
        <x:f>IF(C1787=D1787,1,0)</x:f>
        <x:v>1</x:v>
      </x:c>
    </x:row>
    <x:row r="1788">
      <x:c r="A1788" t="str">
        <x:v>Сценарии</x:v>
      </x:c>
      <x:c r="B1788" t="str">
        <x:v>D34</x:v>
      </x:c>
      <x:c r="C1788">
        <x:v>44000000</x:v>
      </x:c>
      <x:c r="D1788">
        <x:f>'Сценарии'!D34</x:f>
        <x:v>44000000</x:v>
      </x:c>
      <x:c r="E1788">
        <x:f>IF(C1788=D1788,1,0)</x:f>
        <x:v>1</x:v>
      </x:c>
    </x:row>
    <x:row r="1789">
      <x:c r="A1789" t="str">
        <x:v>Сценарии</x:v>
      </x:c>
      <x:c r="B1789" t="str">
        <x:v>E34</x:v>
      </x:c>
      <x:c r="C1789">
        <x:v>84000000</x:v>
      </x:c>
      <x:c r="D1789">
        <x:f>'Сценарии'!E34</x:f>
        <x:v>84000000</x:v>
      </x:c>
      <x:c r="E1789">
        <x:f>IF(C1789=D1789,1,0)</x:f>
        <x:v>1</x:v>
      </x:c>
    </x:row>
    <x:row r="1790">
      <x:c r="A1790" t="str">
        <x:v>Сценарии</x:v>
      </x:c>
      <x:c r="B1790" t="str">
        <x:v>F34</x:v>
      </x:c>
      <x:c r="C1790">
        <x:v>0.27999999999999997</x:v>
      </x:c>
      <x:c r="D1790">
        <x:f>'Сценарии'!F34</x:f>
        <x:v>0.27999999999999997</x:v>
      </x:c>
      <x:c r="E1790">
        <x:f>IF(C1790=D1790,1,0)</x:f>
        <x:v>1</x:v>
      </x:c>
    </x:row>
    <x:row r="1791">
      <x:c r="A1791" t="str">
        <x:v>Сценарии</x:v>
      </x:c>
      <x:c r="B1791" t="str">
        <x:v>G34</x:v>
      </x:c>
      <x:c r="C1791">
        <x:v>0.12</x:v>
      </x:c>
      <x:c r="D1791">
        <x:f>'Сценарии'!G34</x:f>
        <x:v>0.12</x:v>
      </x:c>
      <x:c r="E1791">
        <x:f>IF(C1791=D1791,1,0)</x:f>
        <x:v>1</x:v>
      </x:c>
    </x:row>
    <x:row r="1792">
      <x:c r="A1792" t="str">
        <x:v>Сценарии</x:v>
      </x:c>
      <x:c r="B1792" t="str">
        <x:v>H34</x:v>
      </x:c>
      <x:c r="C1792">
        <x:v>0.17999999999999999</x:v>
      </x:c>
      <x:c r="D1792">
        <x:f>'Сценарии'!H34</x:f>
        <x:v>0.17999999999999999</x:v>
      </x:c>
      <x:c r="E1792">
        <x:f>IF(C1792=D1792,1,0)</x:f>
        <x:v>1</x:v>
      </x:c>
    </x:row>
    <x:row r="1793">
      <x:c r="A1793" t="str">
        <x:v>Сценарии</x:v>
      </x:c>
      <x:c r="B1793" t="str">
        <x:v>I34</x:v>
      </x:c>
      <x:c r="C1793">
        <x:v>0.41999999999999998</x:v>
      </x:c>
      <x:c r="D1793">
        <x:f>'Сценарии'!I34</x:f>
        <x:v>0.41999999999999998</x:v>
      </x:c>
      <x:c r="E1793">
        <x:f>IF(C1793=D1793,1,0)</x:f>
        <x:v>1</x:v>
      </x:c>
    </x:row>
    <x:row r="1794">
      <x:c r="A1794" t="str">
        <x:v>Сценарии</x:v>
      </x:c>
      <x:c r="B1794" t="str">
        <x:v>J34</x:v>
      </x:c>
      <x:c r="C1794">
        <x:v>0.14999999999999999</x:v>
      </x:c>
      <x:c r="D1794">
        <x:f>'Сценарии'!J34</x:f>
        <x:v>0.14999999999999999</x:v>
      </x:c>
      <x:c r="E1794">
        <x:f>IF(C1794=D1794,1,0)</x:f>
        <x:v>1</x:v>
      </x:c>
    </x:row>
    <x:row r="1795">
      <x:c r="A1795" t="str">
        <x:v>Сценарии</x:v>
      </x:c>
      <x:c r="B1795" t="str">
        <x:v>K34</x:v>
      </x:c>
      <x:c r="C1795">
        <x:v>0.23099999999999998</x:v>
      </x:c>
      <x:c r="D1795">
        <x:f>'Сценарии'!K34</x:f>
        <x:v>0.23099999999999998</x:v>
      </x:c>
      <x:c r="E1795">
        <x:f>IF(C1795=D1795,1,0)</x:f>
        <x:v>1</x:v>
      </x:c>
    </x:row>
    <x:row r="1796">
      <x:c r="A1796" t="str">
        <x:v>Сценарии</x:v>
      </x:c>
      <x:c r="B1796" t="str">
        <x:v>L34</x:v>
      </x:c>
      <x:c r="C1796">
        <x:v>2</x:v>
      </x:c>
      <x:c r="D1796">
        <x:f>'Сценарии'!L34</x:f>
        <x:v>2</x:v>
      </x:c>
      <x:c r="E1796">
        <x:f>IF(C1796=D1796,1,0)</x:f>
        <x:v>1</x:v>
      </x:c>
    </x:row>
    <x:row r="1797">
      <x:c r="A1797" t="str">
        <x:v>Сценарии</x:v>
      </x:c>
      <x:c r="B1797" t="str">
        <x:v>M34</x:v>
      </x:c>
      <x:c r="C1797">
        <x:v>0.5</x:v>
      </x:c>
      <x:c r="D1797">
        <x:f>'Сценарии'!M34</x:f>
        <x:v>0.5</x:v>
      </x:c>
      <x:c r="E1797">
        <x:f>IF(C1797=D1797,1,0)</x:f>
        <x:v>1</x:v>
      </x:c>
    </x:row>
    <x:row r="1798">
      <x:c r="A1798" t="str">
        <x:v>Сценарии</x:v>
      </x:c>
      <x:c r="B1798" t="str">
        <x:v>N34</x:v>
      </x:c>
      <x:c r="C1798">
        <x:v>0.80000000000000004</x:v>
      </x:c>
      <x:c r="D1798">
        <x:f>'Сценарии'!N34</x:f>
        <x:v>0.80000000000000004</x:v>
      </x:c>
      <x:c r="E1798">
        <x:f>IF(C1798=D1798,1,0)</x:f>
        <x:v>1</x:v>
      </x:c>
    </x:row>
    <x:row r="1799">
      <x:c r="A1799" t="str">
        <x:v>Сценарии</x:v>
      </x:c>
      <x:c r="B1799" t="str">
        <x:v>O34</x:v>
      </x:c>
      <x:c r="C1799">
        <x:v>1</x:v>
      </x:c>
      <x:c r="D1799">
        <x:f>'Сценарии'!O34</x:f>
        <x:v>1</x:v>
      </x:c>
      <x:c r="E1799">
        <x:f>IF(C1799=D1799,1,0)</x:f>
        <x:v>1</x:v>
      </x:c>
    </x:row>
    <x:row r="1800">
      <x:c r="A1800" t="str">
        <x:v>Сценарии</x:v>
      </x:c>
      <x:c r="B1800" t="str">
        <x:v>P34</x:v>
      </x:c>
      <x:c r="C1800">
        <x:v>0.25</x:v>
      </x:c>
      <x:c r="D1800">
        <x:f>'Сценарии'!P34</x:f>
        <x:v>0.25</x:v>
      </x:c>
      <x:c r="E1800">
        <x:f>IF(C1800=D1800,1,0)</x:f>
        <x:v>1</x:v>
      </x:c>
    </x:row>
    <x:row r="1801">
      <x:c r="A1801" t="str">
        <x:v>Сценарии</x:v>
      </x:c>
      <x:c r="B1801" t="str">
        <x:v>Q34</x:v>
      </x:c>
      <x:c r="C1801">
        <x:v>0.25</x:v>
      </x:c>
      <x:c r="D1801">
        <x:f>'Сценарии'!Q34</x:f>
        <x:v>0.25</x:v>
      </x:c>
      <x:c r="E1801">
        <x:f>IF(C1801=D1801,1,0)</x:f>
        <x:v>1</x:v>
      </x:c>
    </x:row>
    <x:row r="1802">
      <x:c r="A1802" t="str">
        <x:v>Сценарии</x:v>
      </x:c>
      <x:c r="B1802" t="str">
        <x:v>R34</x:v>
      </x:c>
      <x:c r="C1802">
        <x:v>0</x:v>
      </x:c>
      <x:c r="D1802">
        <x:f>'Сценарии'!R34</x:f>
        <x:v>0</x:v>
      </x:c>
      <x:c r="E1802">
        <x:f>IF(C1802=D1802,1,0)</x:f>
        <x:v>1</x:v>
      </x:c>
    </x:row>
    <x:row r="1803">
      <x:c r="A1803" t="str">
        <x:v>Сценарии</x:v>
      </x:c>
      <x:c r="B1803" t="str">
        <x:v>S34</x:v>
      </x:c>
      <x:c r="C1803">
        <x:v>0</x:v>
      </x:c>
      <x:c r="D1803">
        <x:f>'Сценарии'!S34</x:f>
        <x:v>0</x:v>
      </x:c>
      <x:c r="E1803">
        <x:f>IF(C1803=D1803,1,0)</x:f>
        <x:v>1</x:v>
      </x:c>
    </x:row>
    <x:row r="1804">
      <x:c r="A1804" t="str">
        <x:v>Сценарии</x:v>
      </x:c>
      <x:c r="B1804" t="str">
        <x:v>T34</x:v>
      </x:c>
      <x:c r="C1804">
        <x:v>0</x:v>
      </x:c>
      <x:c r="D1804">
        <x:f>'Сценарии'!T34</x:f>
        <x:v>0</x:v>
      </x:c>
      <x:c r="E1804">
        <x:f>IF(C1804=D1804,1,0)</x:f>
        <x:v>1</x:v>
      </x:c>
    </x:row>
    <x:row r="1805">
      <x:c r="A1805" t="str">
        <x:v>Сценарии</x:v>
      </x:c>
      <x:c r="B1805" t="str">
        <x:v>U34</x:v>
      </x:c>
      <x:c r="C1805">
        <x:v>1</x:v>
      </x:c>
      <x:c r="D1805">
        <x:f>'Сценарии'!U34</x:f>
        <x:v>1</x:v>
      </x:c>
      <x:c r="E1805">
        <x:f>IF(C1805=D1805,1,0)</x:f>
        <x:v>1</x:v>
      </x:c>
    </x:row>
    <x:row r="1806">
      <x:c r="A1806" t="str">
        <x:v>Сценарии</x:v>
      </x:c>
      <x:c r="B1806" t="str">
        <x:v>V34</x:v>
      </x:c>
      <x:c r="C1806">
        <x:v>1</x:v>
      </x:c>
      <x:c r="D1806">
        <x:f>'Сценарии'!V34</x:f>
        <x:v>1</x:v>
      </x:c>
      <x:c r="E1806">
        <x:f>IF(C1806=D1806,1,0)</x:f>
        <x:v>1</x:v>
      </x:c>
    </x:row>
    <x:row r="1807">
      <x:c r="A1807" t="str">
        <x:v>Сценарии</x:v>
      </x:c>
      <x:c r="B1807" t="str">
        <x:v>X34</x:v>
      </x:c>
      <x:c r="C1807">
        <x:v>1.5</x:v>
      </x:c>
      <x:c r="D1807">
        <x:f>'Сценарии'!X34</x:f>
        <x:v>1.5</x:v>
      </x:c>
      <x:c r="E1807">
        <x:f>IF(C1807=D1807,1,0)</x:f>
        <x:v>1</x:v>
      </x:c>
    </x:row>
    <x:row r="1808">
      <x:c r="A1808" t="str">
        <x:v>Сценарии</x:v>
      </x:c>
      <x:c r="B1808" t="str">
        <x:v>Y34</x:v>
      </x:c>
      <x:c r="C1808">
        <x:v>0.20000000000000001</x:v>
      </x:c>
      <x:c r="D1808">
        <x:f>'Сценарии'!Y34</x:f>
        <x:v>0.20000000000000001</x:v>
      </x:c>
      <x:c r="E1808">
        <x:f>IF(C1808=D1808,1,0)</x:f>
        <x:v>1</x:v>
      </x:c>
    </x:row>
    <x:row r="1809">
      <x:c r="A1809" t="str">
        <x:v>Сценарии</x:v>
      </x:c>
      <x:c r="B1809" t="str">
        <x:v>Z34</x:v>
      </x:c>
      <x:c r="C1809">
        <x:v>1</x:v>
      </x:c>
      <x:c r="D1809">
        <x:f>'Сценарии'!Z34</x:f>
        <x:v>1</x:v>
      </x:c>
      <x:c r="E1809">
        <x:f>IF(C1809=D1809,1,0)</x:f>
        <x:v>1</x:v>
      </x:c>
    </x:row>
    <x:row r="1810">
      <x:c r="A1810" t="str">
        <x:v>Сценарии</x:v>
      </x:c>
      <x:c r="B1810" t="str">
        <x:v>AA34</x:v>
      </x:c>
      <x:c r="C1810">
        <x:v>0.29999999999999999</x:v>
      </x:c>
      <x:c r="D1810">
        <x:f>'Сценарии'!AA34</x:f>
        <x:v>0.29999999999999999</x:v>
      </x:c>
      <x:c r="E1810">
        <x:f>IF(C1810=D1810,1,0)</x:f>
        <x:v>1</x:v>
      </x:c>
    </x:row>
    <x:row r="1811">
      <x:c r="A1811" t="str">
        <x:v>Сценарии</x:v>
      </x:c>
      <x:c r="B1811" t="str">
        <x:v>AB34</x:v>
      </x:c>
      <x:c r="C1811">
        <x:v>1</x:v>
      </x:c>
      <x:c r="D1811">
        <x:f>'Сценарии'!AB34</x:f>
        <x:v>1</x:v>
      </x:c>
      <x:c r="E1811">
        <x:f>IF(C1811=D1811,1,0)</x:f>
        <x:v>1</x:v>
      </x:c>
    </x:row>
    <x:row r="1812">
      <x:c r="A1812" t="str">
        <x:v>Сценарии</x:v>
      </x:c>
      <x:c r="B1812" t="str">
        <x:v>AC34</x:v>
      </x:c>
      <x:c r="C1812">
        <x:v>1</x:v>
      </x:c>
      <x:c r="D1812">
        <x:f>'Сценарии'!AC34</x:f>
        <x:v>1</x:v>
      </x:c>
      <x:c r="E1812">
        <x:f>IF(C1812=D1812,1,0)</x:f>
        <x:v>1</x:v>
      </x:c>
    </x:row>
    <x:row r="1813">
      <x:c r="A1813" t="str">
        <x:v>Сценарии</x:v>
      </x:c>
      <x:c r="B1813" t="str">
        <x:v>D35</x:v>
      </x:c>
      <x:c r="C1813">
        <x:v>44000000</x:v>
      </x:c>
      <x:c r="D1813">
        <x:f>'Сценарии'!D35</x:f>
        <x:v>44000000</x:v>
      </x:c>
      <x:c r="E1813">
        <x:f>IF(C1813=D1813,1,0)</x:f>
        <x:v>1</x:v>
      </x:c>
    </x:row>
    <x:row r="1814">
      <x:c r="A1814" t="str">
        <x:v>Сценарии</x:v>
      </x:c>
      <x:c r="B1814" t="str">
        <x:v>E35</x:v>
      </x:c>
      <x:c r="C1814">
        <x:v>84000000</x:v>
      </x:c>
      <x:c r="D1814">
        <x:f>'Сценарии'!E35</x:f>
        <x:v>84000000</x:v>
      </x:c>
      <x:c r="E1814">
        <x:f>IF(C1814=D1814,1,0)</x:f>
        <x:v>1</x:v>
      </x:c>
    </x:row>
    <x:row r="1815">
      <x:c r="A1815" t="str">
        <x:v>Сценарии</x:v>
      </x:c>
      <x:c r="B1815" t="str">
        <x:v>F35</x:v>
      </x:c>
      <x:c r="C1815">
        <x:v>0.13999999999999999</x:v>
      </x:c>
      <x:c r="D1815">
        <x:f>'Сценарии'!F35</x:f>
        <x:v>0.13999999999999999</x:v>
      </x:c>
      <x:c r="E1815">
        <x:f>IF(C1815=D1815,1,0)</x:f>
        <x:v>1</x:v>
      </x:c>
    </x:row>
    <x:row r="1816">
      <x:c r="A1816" t="str">
        <x:v>Сценарии</x:v>
      </x:c>
      <x:c r="B1816" t="str">
        <x:v>G35</x:v>
      </x:c>
      <x:c r="C1816">
        <x:v>0.059999999999999998</x:v>
      </x:c>
      <x:c r="D1816">
        <x:f>'Сценарии'!G35</x:f>
        <x:v>0.059999999999999998</x:v>
      </x:c>
      <x:c r="E1816">
        <x:f>IF(C1816=D1816,1,0)</x:f>
        <x:v>1</x:v>
      </x:c>
    </x:row>
    <x:row r="1817">
      <x:c r="A1817" t="str">
        <x:v>Сценарии</x:v>
      </x:c>
      <x:c r="B1817" t="str">
        <x:v>H35</x:v>
      </x:c>
      <x:c r="C1817">
        <x:v>0.23999999999999999</x:v>
      </x:c>
      <x:c r="D1817">
        <x:f>'Сценарии'!H35</x:f>
        <x:v>0.23999999999999999</x:v>
      </x:c>
      <x:c r="E1817">
        <x:f>IF(C1817=D1817,1,0)</x:f>
        <x:v>1</x:v>
      </x:c>
    </x:row>
    <x:row r="1818">
      <x:c r="A1818" t="str">
        <x:v>Сценарии</x:v>
      </x:c>
      <x:c r="B1818" t="str">
        <x:v>I35</x:v>
      </x:c>
      <x:c r="C1818">
        <x:v>0.55999999999999994</x:v>
      </x:c>
      <x:c r="D1818">
        <x:f>'Сценарии'!I35</x:f>
        <x:v>0.55999999999999994</x:v>
      </x:c>
      <x:c r="E1818">
        <x:f>IF(C1818=D1818,1,0)</x:f>
        <x:v>1</x:v>
      </x:c>
    </x:row>
    <x:row r="1819">
      <x:c r="A1819" t="str">
        <x:v>Сценарии</x:v>
      </x:c>
      <x:c r="B1819" t="str">
        <x:v>J35</x:v>
      </x:c>
      <x:c r="C1819">
        <x:v>0.14999999999999999</x:v>
      </x:c>
      <x:c r="D1819">
        <x:f>'Сценарии'!J35</x:f>
        <x:v>0.14999999999999999</x:v>
      </x:c>
      <x:c r="E1819">
        <x:f>IF(C1819=D1819,1,0)</x:f>
        <x:v>1</x:v>
      </x:c>
    </x:row>
    <x:row r="1820">
      <x:c r="A1820" t="str">
        <x:v>Сценарии</x:v>
      </x:c>
      <x:c r="B1820" t="str">
        <x:v>K35</x:v>
      </x:c>
      <x:c r="C1820">
        <x:v>0.249</x:v>
      </x:c>
      <x:c r="D1820">
        <x:f>'Сценарии'!K35</x:f>
        <x:v>0.249</x:v>
      </x:c>
      <x:c r="E1820">
        <x:f>IF(C1820=D1820,1,0)</x:f>
        <x:v>1</x:v>
      </x:c>
    </x:row>
    <x:row r="1821">
      <x:c r="A1821" t="str">
        <x:v>Сценарии</x:v>
      </x:c>
      <x:c r="B1821" t="str">
        <x:v>L35</x:v>
      </x:c>
      <x:c r="C1821">
        <x:v>2</x:v>
      </x:c>
      <x:c r="D1821">
        <x:f>'Сценарии'!L35</x:f>
        <x:v>2</x:v>
      </x:c>
      <x:c r="E1821">
        <x:f>IF(C1821=D1821,1,0)</x:f>
        <x:v>1</x:v>
      </x:c>
    </x:row>
    <x:row r="1822">
      <x:c r="A1822" t="str">
        <x:v>Сценарии</x:v>
      </x:c>
      <x:c r="B1822" t="str">
        <x:v>M35</x:v>
      </x:c>
      <x:c r="C1822">
        <x:v>0.625</x:v>
      </x:c>
      <x:c r="D1822">
        <x:f>'Сценарии'!M35</x:f>
        <x:v>0.625</x:v>
      </x:c>
      <x:c r="E1822">
        <x:f>IF(C1822=D1822,1,0)</x:f>
        <x:v>1</x:v>
      </x:c>
    </x:row>
    <x:row r="1823">
      <x:c r="A1823" t="str">
        <x:v>Сценарии</x:v>
      </x:c>
      <x:c r="B1823" t="str">
        <x:v>N35</x:v>
      </x:c>
      <x:c r="C1823">
        <x:v>0.80000000000000004</x:v>
      </x:c>
      <x:c r="D1823">
        <x:f>'Сценарии'!N35</x:f>
        <x:v>0.80000000000000004</x:v>
      </x:c>
      <x:c r="E1823">
        <x:f>IF(C1823=D1823,1,0)</x:f>
        <x:v>1</x:v>
      </x:c>
    </x:row>
    <x:row r="1824">
      <x:c r="A1824" t="str">
        <x:v>Сценарии</x:v>
      </x:c>
      <x:c r="B1824" t="str">
        <x:v>O35</x:v>
      </x:c>
      <x:c r="C1824">
        <x:v>1</x:v>
      </x:c>
      <x:c r="D1824">
        <x:f>'Сценарии'!O35</x:f>
        <x:v>1</x:v>
      </x:c>
      <x:c r="E1824">
        <x:f>IF(C1824=D1824,1,0)</x:f>
        <x:v>1</x:v>
      </x:c>
    </x:row>
    <x:row r="1825">
      <x:c r="A1825" t="str">
        <x:v>Сценарии</x:v>
      </x:c>
      <x:c r="B1825" t="str">
        <x:v>P35</x:v>
      </x:c>
      <x:c r="C1825">
        <x:v>0.25</x:v>
      </x:c>
      <x:c r="D1825">
        <x:f>'Сценарии'!P35</x:f>
        <x:v>0.25</x:v>
      </x:c>
      <x:c r="E1825">
        <x:f>IF(C1825=D1825,1,0)</x:f>
        <x:v>1</x:v>
      </x:c>
    </x:row>
    <x:row r="1826">
      <x:c r="A1826" t="str">
        <x:v>Сценарии</x:v>
      </x:c>
      <x:c r="B1826" t="str">
        <x:v>Q35</x:v>
      </x:c>
      <x:c r="C1826">
        <x:v>0.25</x:v>
      </x:c>
      <x:c r="D1826">
        <x:f>'Сценарии'!Q35</x:f>
        <x:v>0.25</x:v>
      </x:c>
      <x:c r="E1826">
        <x:f>IF(C1826=D1826,1,0)</x:f>
        <x:v>1</x:v>
      </x:c>
    </x:row>
    <x:row r="1827">
      <x:c r="A1827" t="str">
        <x:v>Сценарии</x:v>
      </x:c>
      <x:c r="B1827" t="str">
        <x:v>R35</x:v>
      </x:c>
      <x:c r="C1827">
        <x:v>0</x:v>
      </x:c>
      <x:c r="D1827">
        <x:f>'Сценарии'!R35</x:f>
        <x:v>0</x:v>
      </x:c>
      <x:c r="E1827">
        <x:f>IF(C1827=D1827,1,0)</x:f>
        <x:v>1</x:v>
      </x:c>
    </x:row>
    <x:row r="1828">
      <x:c r="A1828" t="str">
        <x:v>Сценарии</x:v>
      </x:c>
      <x:c r="B1828" t="str">
        <x:v>S35</x:v>
      </x:c>
      <x:c r="C1828">
        <x:v>0</x:v>
      </x:c>
      <x:c r="D1828">
        <x:f>'Сценарии'!S35</x:f>
        <x:v>0</x:v>
      </x:c>
      <x:c r="E1828">
        <x:f>IF(C1828=D1828,1,0)</x:f>
        <x:v>1</x:v>
      </x:c>
    </x:row>
    <x:row r="1829">
      <x:c r="A1829" t="str">
        <x:v>Сценарии</x:v>
      </x:c>
      <x:c r="B1829" t="str">
        <x:v>T35</x:v>
      </x:c>
      <x:c r="C1829">
        <x:v>0</x:v>
      </x:c>
      <x:c r="D1829">
        <x:f>'Сценарии'!T35</x:f>
        <x:v>0</x:v>
      </x:c>
      <x:c r="E1829">
        <x:f>IF(C1829=D1829,1,0)</x:f>
        <x:v>1</x:v>
      </x:c>
    </x:row>
    <x:row r="1830">
      <x:c r="A1830" t="str">
        <x:v>Сценарии</x:v>
      </x:c>
      <x:c r="B1830" t="str">
        <x:v>U35</x:v>
      </x:c>
      <x:c r="C1830">
        <x:v>1</x:v>
      </x:c>
      <x:c r="D1830">
        <x:f>'Сценарии'!U35</x:f>
        <x:v>1</x:v>
      </x:c>
      <x:c r="E1830">
        <x:f>IF(C1830=D1830,1,0)</x:f>
        <x:v>1</x:v>
      </x:c>
    </x:row>
    <x:row r="1831">
      <x:c r="A1831" t="str">
        <x:v>Сценарии</x:v>
      </x:c>
      <x:c r="B1831" t="str">
        <x:v>V35</x:v>
      </x:c>
      <x:c r="C1831">
        <x:v>1</x:v>
      </x:c>
      <x:c r="D1831">
        <x:f>'Сценарии'!V35</x:f>
        <x:v>1</x:v>
      </x:c>
      <x:c r="E1831">
        <x:f>IF(C1831=D1831,1,0)</x:f>
        <x:v>1</x:v>
      </x:c>
    </x:row>
    <x:row r="1832">
      <x:c r="A1832" t="str">
        <x:v>Сценарии</x:v>
      </x:c>
      <x:c r="B1832" t="str">
        <x:v>X35</x:v>
      </x:c>
      <x:c r="C1832">
        <x:v>1.5</x:v>
      </x:c>
      <x:c r="D1832">
        <x:f>'Сценарии'!X35</x:f>
        <x:v>1.5</x:v>
      </x:c>
      <x:c r="E1832">
        <x:f>IF(C1832=D1832,1,0)</x:f>
        <x:v>1</x:v>
      </x:c>
    </x:row>
    <x:row r="1833">
      <x:c r="A1833" t="str">
        <x:v>Сценарии</x:v>
      </x:c>
      <x:c r="B1833" t="str">
        <x:v>Y35</x:v>
      </x:c>
      <x:c r="C1833">
        <x:v>0.20000000000000001</x:v>
      </x:c>
      <x:c r="D1833">
        <x:f>'Сценарии'!Y35</x:f>
        <x:v>0.20000000000000001</x:v>
      </x:c>
      <x:c r="E1833">
        <x:f>IF(C1833=D1833,1,0)</x:f>
        <x:v>1</x:v>
      </x:c>
    </x:row>
    <x:row r="1834">
      <x:c r="A1834" t="str">
        <x:v>Сценарии</x:v>
      </x:c>
      <x:c r="B1834" t="str">
        <x:v>Z35</x:v>
      </x:c>
      <x:c r="C1834">
        <x:v>1</x:v>
      </x:c>
      <x:c r="D1834">
        <x:f>'Сценарии'!Z35</x:f>
        <x:v>1</x:v>
      </x:c>
      <x:c r="E1834">
        <x:f>IF(C1834=D1834,1,0)</x:f>
        <x:v>1</x:v>
      </x:c>
    </x:row>
    <x:row r="1835">
      <x:c r="A1835" t="str">
        <x:v>Сценарии</x:v>
      </x:c>
      <x:c r="B1835" t="str">
        <x:v>AA35</x:v>
      </x:c>
      <x:c r="C1835">
        <x:v>0.29999999999999999</x:v>
      </x:c>
      <x:c r="D1835">
        <x:f>'Сценарии'!AA35</x:f>
        <x:v>0.29999999999999999</x:v>
      </x:c>
      <x:c r="E1835">
        <x:f>IF(C1835=D1835,1,0)</x:f>
        <x:v>1</x:v>
      </x:c>
    </x:row>
    <x:row r="1836">
      <x:c r="A1836" t="str">
        <x:v>Сценарии</x:v>
      </x:c>
      <x:c r="B1836" t="str">
        <x:v>AB35</x:v>
      </x:c>
      <x:c r="C1836">
        <x:v>0.40000000000000002</x:v>
      </x:c>
      <x:c r="D1836">
        <x:f>'Сценарии'!AB35</x:f>
        <x:v>0.40000000000000002</x:v>
      </x:c>
      <x:c r="E1836">
        <x:f>IF(C1836=D1836,1,0)</x:f>
        <x:v>1</x:v>
      </x:c>
    </x:row>
    <x:row r="1837">
      <x:c r="A1837" t="str">
        <x:v>Сценарии</x:v>
      </x:c>
      <x:c r="B1837" t="str">
        <x:v>AC35</x:v>
      </x:c>
      <x:c r="C1837">
        <x:v>1</x:v>
      </x:c>
      <x:c r="D1837">
        <x:f>'Сценарии'!AC35</x:f>
        <x:v>1</x:v>
      </x:c>
      <x:c r="E1837">
        <x:f>IF(C1837=D1837,1,0)</x:f>
        <x:v>1</x:v>
      </x:c>
    </x:row>
    <x:row r="1838">
      <x:c r="A1838" t="str">
        <x:v>Сценарии</x:v>
      </x:c>
      <x:c r="B1838" t="str">
        <x:v>D36</x:v>
      </x:c>
      <x:c r="C1838">
        <x:v>44000000</x:v>
      </x:c>
      <x:c r="D1838">
        <x:f>'Сценарии'!D36</x:f>
        <x:v>44000000</x:v>
      </x:c>
      <x:c r="E1838">
        <x:f>IF(C1838=D1838,1,0)</x:f>
        <x:v>1</x:v>
      </x:c>
    </x:row>
    <x:row r="1839">
      <x:c r="A1839" t="str">
        <x:v>Сценарии</x:v>
      </x:c>
      <x:c r="B1839" t="str">
        <x:v>E36</x:v>
      </x:c>
      <x:c r="C1839">
        <x:v>84000000</x:v>
      </x:c>
      <x:c r="D1839">
        <x:f>'Сценарии'!E36</x:f>
        <x:v>84000000</x:v>
      </x:c>
      <x:c r="E1839">
        <x:f>IF(C1839=D1839,1,0)</x:f>
        <x:v>1</x:v>
      </x:c>
    </x:row>
    <x:row r="1840">
      <x:c r="A1840" t="str">
        <x:v>Сценарии</x:v>
      </x:c>
      <x:c r="B1840" t="str">
        <x:v>F36</x:v>
      </x:c>
      <x:c r="C1840">
        <x:v>0.41999999999999998</x:v>
      </x:c>
      <x:c r="D1840">
        <x:f>'Сценарии'!F36</x:f>
        <x:v>0.41999999999999998</x:v>
      </x:c>
      <x:c r="E1840">
        <x:f>IF(C1840=D1840,1,0)</x:f>
        <x:v>1</x:v>
      </x:c>
    </x:row>
    <x:row r="1841">
      <x:c r="A1841" t="str">
        <x:v>Сценарии</x:v>
      </x:c>
      <x:c r="B1841" t="str">
        <x:v>G36</x:v>
      </x:c>
      <x:c r="C1841">
        <x:v>0.17999999999999999</x:v>
      </x:c>
      <x:c r="D1841">
        <x:f>'Сценарии'!G36</x:f>
        <x:v>0.17999999999999999</x:v>
      </x:c>
      <x:c r="E1841">
        <x:f>IF(C1841=D1841,1,0)</x:f>
        <x:v>1</x:v>
      </x:c>
    </x:row>
    <x:row r="1842">
      <x:c r="A1842" t="str">
        <x:v>Сценарии</x:v>
      </x:c>
      <x:c r="B1842" t="str">
        <x:v>H36</x:v>
      </x:c>
      <x:c r="C1842">
        <x:v>0.12</x:v>
      </x:c>
      <x:c r="D1842">
        <x:f>'Сценарии'!H36</x:f>
        <x:v>0.12</x:v>
      </x:c>
      <x:c r="E1842">
        <x:f>IF(C1842=D1842,1,0)</x:f>
        <x:v>1</x:v>
      </x:c>
    </x:row>
    <x:row r="1843">
      <x:c r="A1843" t="str">
        <x:v>Сценарии</x:v>
      </x:c>
      <x:c r="B1843" t="str">
        <x:v>I36</x:v>
      </x:c>
      <x:c r="C1843">
        <x:v>0.27999999999999997</x:v>
      </x:c>
      <x:c r="D1843">
        <x:f>'Сценарии'!I36</x:f>
        <x:v>0.27999999999999997</x:v>
      </x:c>
      <x:c r="E1843">
        <x:f>IF(C1843=D1843,1,0)</x:f>
        <x:v>1</x:v>
      </x:c>
    </x:row>
    <x:row r="1844">
      <x:c r="A1844" t="str">
        <x:v>Сценарии</x:v>
      </x:c>
      <x:c r="B1844" t="str">
        <x:v>J36</x:v>
      </x:c>
      <x:c r="C1844">
        <x:v>0.14999999999999999</x:v>
      </x:c>
      <x:c r="D1844">
        <x:f>'Сценарии'!J36</x:f>
        <x:v>0.14999999999999999</x:v>
      </x:c>
      <x:c r="E1844">
        <x:f>IF(C1844=D1844,1,0)</x:f>
        <x:v>1</x:v>
      </x:c>
    </x:row>
    <x:row r="1845">
      <x:c r="A1845" t="str">
        <x:v>Сценарии</x:v>
      </x:c>
      <x:c r="B1845" t="str">
        <x:v>K36</x:v>
      </x:c>
      <x:c r="C1845">
        <x:v>0.21299999999999999</x:v>
      </x:c>
      <x:c r="D1845">
        <x:f>'Сценарии'!K36</x:f>
        <x:v>0.21299999999999999</x:v>
      </x:c>
      <x:c r="E1845">
        <x:f>IF(C1845=D1845,1,0)</x:f>
        <x:v>1</x:v>
      </x:c>
    </x:row>
    <x:row r="1846">
      <x:c r="A1846" t="str">
        <x:v>Сценарии</x:v>
      </x:c>
      <x:c r="B1846" t="str">
        <x:v>L36</x:v>
      </x:c>
      <x:c r="C1846">
        <x:v>2</x:v>
      </x:c>
      <x:c r="D1846">
        <x:f>'Сценарии'!L36</x:f>
        <x:v>2</x:v>
      </x:c>
      <x:c r="E1846">
        <x:f>IF(C1846=D1846,1,0)</x:f>
        <x:v>1</x:v>
      </x:c>
    </x:row>
    <x:row r="1847">
      <x:c r="A1847" t="str">
        <x:v>Сценарии</x:v>
      </x:c>
      <x:c r="B1847" t="str">
        <x:v>M36</x:v>
      </x:c>
      <x:c r="C1847">
        <x:v>0.24999999999999997</x:v>
      </x:c>
      <x:c r="D1847">
        <x:f>'Сценарии'!M36</x:f>
        <x:v>0.24999999999999997</x:v>
      </x:c>
      <x:c r="E1847">
        <x:f>IF(C1847=D1847,1,0)</x:f>
        <x:v>1</x:v>
      </x:c>
    </x:row>
    <x:row r="1848">
      <x:c r="A1848" t="str">
        <x:v>Сценарии</x:v>
      </x:c>
      <x:c r="B1848" t="str">
        <x:v>N36</x:v>
      </x:c>
      <x:c r="C1848">
        <x:v>0.80000000000000004</x:v>
      </x:c>
      <x:c r="D1848">
        <x:f>'Сценарии'!N36</x:f>
        <x:v>0.80000000000000004</x:v>
      </x:c>
      <x:c r="E1848">
        <x:f>IF(C1848=D1848,1,0)</x:f>
        <x:v>1</x:v>
      </x:c>
    </x:row>
    <x:row r="1849">
      <x:c r="A1849" t="str">
        <x:v>Сценарии</x:v>
      </x:c>
      <x:c r="B1849" t="str">
        <x:v>O36</x:v>
      </x:c>
      <x:c r="C1849">
        <x:v>1</x:v>
      </x:c>
      <x:c r="D1849">
        <x:f>'Сценарии'!O36</x:f>
        <x:v>1</x:v>
      </x:c>
      <x:c r="E1849">
        <x:f>IF(C1849=D1849,1,0)</x:f>
        <x:v>1</x:v>
      </x:c>
    </x:row>
    <x:row r="1850">
      <x:c r="A1850" t="str">
        <x:v>Сценарии</x:v>
      </x:c>
      <x:c r="B1850" t="str">
        <x:v>P36</x:v>
      </x:c>
      <x:c r="C1850">
        <x:v>0.25</x:v>
      </x:c>
      <x:c r="D1850">
        <x:f>'Сценарии'!P36</x:f>
        <x:v>0.25</x:v>
      </x:c>
      <x:c r="E1850">
        <x:f>IF(C1850=D1850,1,0)</x:f>
        <x:v>1</x:v>
      </x:c>
    </x:row>
    <x:row r="1851">
      <x:c r="A1851" t="str">
        <x:v>Сценарии</x:v>
      </x:c>
      <x:c r="B1851" t="str">
        <x:v>Q36</x:v>
      </x:c>
      <x:c r="C1851">
        <x:v>0.25</x:v>
      </x:c>
      <x:c r="D1851">
        <x:f>'Сценарии'!Q36</x:f>
        <x:v>0.25</x:v>
      </x:c>
      <x:c r="E1851">
        <x:f>IF(C1851=D1851,1,0)</x:f>
        <x:v>1</x:v>
      </x:c>
    </x:row>
    <x:row r="1852">
      <x:c r="A1852" t="str">
        <x:v>Сценарии</x:v>
      </x:c>
      <x:c r="B1852" t="str">
        <x:v>R36</x:v>
      </x:c>
      <x:c r="C1852">
        <x:v>0</x:v>
      </x:c>
      <x:c r="D1852">
        <x:f>'Сценарии'!R36</x:f>
        <x:v>0</x:v>
      </x:c>
      <x:c r="E1852">
        <x:f>IF(C1852=D1852,1,0)</x:f>
        <x:v>1</x:v>
      </x:c>
    </x:row>
    <x:row r="1853">
      <x:c r="A1853" t="str">
        <x:v>Сценарии</x:v>
      </x:c>
      <x:c r="B1853" t="str">
        <x:v>S36</x:v>
      </x:c>
      <x:c r="C1853">
        <x:v>0</x:v>
      </x:c>
      <x:c r="D1853">
        <x:f>'Сценарии'!S36</x:f>
        <x:v>0</x:v>
      </x:c>
      <x:c r="E1853">
        <x:f>IF(C1853=D1853,1,0)</x:f>
        <x:v>1</x:v>
      </x:c>
    </x:row>
    <x:row r="1854">
      <x:c r="A1854" t="str">
        <x:v>Сценарии</x:v>
      </x:c>
      <x:c r="B1854" t="str">
        <x:v>T36</x:v>
      </x:c>
      <x:c r="C1854">
        <x:v>0</x:v>
      </x:c>
      <x:c r="D1854">
        <x:f>'Сценарии'!T36</x:f>
        <x:v>0</x:v>
      </x:c>
      <x:c r="E1854">
        <x:f>IF(C1854=D1854,1,0)</x:f>
        <x:v>1</x:v>
      </x:c>
    </x:row>
    <x:row r="1855">
      <x:c r="A1855" t="str">
        <x:v>Сценарии</x:v>
      </x:c>
      <x:c r="B1855" t="str">
        <x:v>U36</x:v>
      </x:c>
      <x:c r="C1855">
        <x:v>1</x:v>
      </x:c>
      <x:c r="D1855">
        <x:f>'Сценарии'!U36</x:f>
        <x:v>1</x:v>
      </x:c>
      <x:c r="E1855">
        <x:f>IF(C1855=D1855,1,0)</x:f>
        <x:v>1</x:v>
      </x:c>
    </x:row>
    <x:row r="1856">
      <x:c r="A1856" t="str">
        <x:v>Сценарии</x:v>
      </x:c>
      <x:c r="B1856" t="str">
        <x:v>V36</x:v>
      </x:c>
      <x:c r="C1856">
        <x:v>1</x:v>
      </x:c>
      <x:c r="D1856">
        <x:f>'Сценарии'!V36</x:f>
        <x:v>1</x:v>
      </x:c>
      <x:c r="E1856">
        <x:f>IF(C1856=D1856,1,0)</x:f>
        <x:v>1</x:v>
      </x:c>
    </x:row>
    <x:row r="1857">
      <x:c r="A1857" t="str">
        <x:v>Сценарии</x:v>
      </x:c>
      <x:c r="B1857" t="str">
        <x:v>X36</x:v>
      </x:c>
      <x:c r="C1857">
        <x:v>1.5</x:v>
      </x:c>
      <x:c r="D1857">
        <x:f>'Сценарии'!X36</x:f>
        <x:v>1.5</x:v>
      </x:c>
      <x:c r="E1857">
        <x:f>IF(C1857=D1857,1,0)</x:f>
        <x:v>1</x:v>
      </x:c>
    </x:row>
    <x:row r="1858">
      <x:c r="A1858" t="str">
        <x:v>Сценарии</x:v>
      </x:c>
      <x:c r="B1858" t="str">
        <x:v>Y36</x:v>
      </x:c>
      <x:c r="C1858">
        <x:v>0.20000000000000001</x:v>
      </x:c>
      <x:c r="D1858">
        <x:f>'Сценарии'!Y36</x:f>
        <x:v>0.20000000000000001</x:v>
      </x:c>
      <x:c r="E1858">
        <x:f>IF(C1858=D1858,1,0)</x:f>
        <x:v>1</x:v>
      </x:c>
    </x:row>
    <x:row r="1859">
      <x:c r="A1859" t="str">
        <x:v>Сценарии</x:v>
      </x:c>
      <x:c r="B1859" t="str">
        <x:v>Z36</x:v>
      </x:c>
      <x:c r="C1859">
        <x:v>1</x:v>
      </x:c>
      <x:c r="D1859">
        <x:f>'Сценарии'!Z36</x:f>
        <x:v>1</x:v>
      </x:c>
      <x:c r="E1859">
        <x:f>IF(C1859=D1859,1,0)</x:f>
        <x:v>1</x:v>
      </x:c>
    </x:row>
    <x:row r="1860">
      <x:c r="A1860" t="str">
        <x:v>Сценарии</x:v>
      </x:c>
      <x:c r="B1860" t="str">
        <x:v>AA36</x:v>
      </x:c>
      <x:c r="C1860">
        <x:v>0.29999999999999999</x:v>
      </x:c>
      <x:c r="D1860">
        <x:f>'Сценарии'!AA36</x:f>
        <x:v>0.29999999999999999</x:v>
      </x:c>
      <x:c r="E1860">
        <x:f>IF(C1860=D1860,1,0)</x:f>
        <x:v>1</x:v>
      </x:c>
    </x:row>
    <x:row r="1861">
      <x:c r="A1861" t="str">
        <x:v>Сценарии</x:v>
      </x:c>
      <x:c r="B1861" t="str">
        <x:v>AB36</x:v>
      </x:c>
      <x:c r="C1861">
        <x:v>0.40000000000000002</x:v>
      </x:c>
      <x:c r="D1861">
        <x:f>'Сценарии'!AB36</x:f>
        <x:v>0.40000000000000002</x:v>
      </x:c>
      <x:c r="E1861">
        <x:f>IF(C1861=D1861,1,0)</x:f>
        <x:v>1</x:v>
      </x:c>
    </x:row>
    <x:row r="1862">
      <x:c r="A1862" t="str">
        <x:v>Сценарии</x:v>
      </x:c>
      <x:c r="B1862" t="str">
        <x:v>AC36</x:v>
      </x:c>
      <x:c r="C1862">
        <x:v>1</x:v>
      </x:c>
      <x:c r="D1862">
        <x:f>'Сценарии'!AC36</x:f>
        <x:v>1</x:v>
      </x:c>
      <x:c r="E1862">
        <x:f>IF(C1862=D1862,1,0)</x:f>
        <x:v>1</x:v>
      </x:c>
    </x:row>
    <x:row r="1863">
      <x:c r="A1863" t="str">
        <x:v>Сценарии</x:v>
      </x:c>
      <x:c r="B1863" t="str">
        <x:v>D37</x:v>
      </x:c>
      <x:c r="C1863">
        <x:v>44000000</x:v>
      </x:c>
      <x:c r="D1863">
        <x:f>'Сценарии'!D37</x:f>
        <x:v>44000000</x:v>
      </x:c>
      <x:c r="E1863">
        <x:f>IF(C1863=D1863,1,0)</x:f>
        <x:v>1</x:v>
      </x:c>
    </x:row>
    <x:row r="1864">
      <x:c r="A1864" t="str">
        <x:v>Сценарии</x:v>
      </x:c>
      <x:c r="B1864" t="str">
        <x:v>E37</x:v>
      </x:c>
      <x:c r="C1864">
        <x:v>84000000</x:v>
      </x:c>
      <x:c r="D1864">
        <x:f>'Сценарии'!E37</x:f>
        <x:v>84000000</x:v>
      </x:c>
      <x:c r="E1864">
        <x:f>IF(C1864=D1864,1,0)</x:f>
        <x:v>1</x:v>
      </x:c>
    </x:row>
    <x:row r="1865">
      <x:c r="A1865" t="str">
        <x:v>Сценарии</x:v>
      </x:c>
      <x:c r="B1865" t="str">
        <x:v>F37</x:v>
      </x:c>
      <x:c r="C1865">
        <x:v>0.27999999999999997</x:v>
      </x:c>
      <x:c r="D1865">
        <x:f>'Сценарии'!F37</x:f>
        <x:v>0.27999999999999997</x:v>
      </x:c>
      <x:c r="E1865">
        <x:f>IF(C1865=D1865,1,0)</x:f>
        <x:v>1</x:v>
      </x:c>
    </x:row>
    <x:row r="1866">
      <x:c r="A1866" t="str">
        <x:v>Сценарии</x:v>
      </x:c>
      <x:c r="B1866" t="str">
        <x:v>G37</x:v>
      </x:c>
      <x:c r="C1866">
        <x:v>0.12</x:v>
      </x:c>
      <x:c r="D1866">
        <x:f>'Сценарии'!G37</x:f>
        <x:v>0.12</x:v>
      </x:c>
      <x:c r="E1866">
        <x:f>IF(C1866=D1866,1,0)</x:f>
        <x:v>1</x:v>
      </x:c>
    </x:row>
    <x:row r="1867">
      <x:c r="A1867" t="str">
        <x:v>Сценарии</x:v>
      </x:c>
      <x:c r="B1867" t="str">
        <x:v>H37</x:v>
      </x:c>
      <x:c r="C1867">
        <x:v>0.17999999999999999</x:v>
      </x:c>
      <x:c r="D1867">
        <x:f>'Сценарии'!H37</x:f>
        <x:v>0.17999999999999999</x:v>
      </x:c>
      <x:c r="E1867">
        <x:f>IF(C1867=D1867,1,0)</x:f>
        <x:v>1</x:v>
      </x:c>
    </x:row>
    <x:row r="1868">
      <x:c r="A1868" t="str">
        <x:v>Сценарии</x:v>
      </x:c>
      <x:c r="B1868" t="str">
        <x:v>I37</x:v>
      </x:c>
      <x:c r="C1868">
        <x:v>0.41999999999999998</x:v>
      </x:c>
      <x:c r="D1868">
        <x:f>'Сценарии'!I37</x:f>
        <x:v>0.41999999999999998</x:v>
      </x:c>
      <x:c r="E1868">
        <x:f>IF(C1868=D1868,1,0)</x:f>
        <x:v>1</x:v>
      </x:c>
    </x:row>
    <x:row r="1869">
      <x:c r="A1869" t="str">
        <x:v>Сценарии</x:v>
      </x:c>
      <x:c r="B1869" t="str">
        <x:v>J37</x:v>
      </x:c>
      <x:c r="C1869">
        <x:v>0.14999999999999999</x:v>
      </x:c>
      <x:c r="D1869">
        <x:f>'Сценарии'!J37</x:f>
        <x:v>0.14999999999999999</x:v>
      </x:c>
      <x:c r="E1869">
        <x:f>IF(C1869=D1869,1,0)</x:f>
        <x:v>1</x:v>
      </x:c>
    </x:row>
    <x:row r="1870">
      <x:c r="A1870" t="str">
        <x:v>Сценарии</x:v>
      </x:c>
      <x:c r="B1870" t="str">
        <x:v>K37</x:v>
      </x:c>
      <x:c r="C1870">
        <x:v>0.23099999999999998</x:v>
      </x:c>
      <x:c r="D1870">
        <x:f>'Сценарии'!K37</x:f>
        <x:v>0.23099999999999998</x:v>
      </x:c>
      <x:c r="E1870">
        <x:f>IF(C1870=D1870,1,0)</x:f>
        <x:v>1</x:v>
      </x:c>
    </x:row>
    <x:row r="1871">
      <x:c r="A1871" t="str">
        <x:v>Сценарии</x:v>
      </x:c>
      <x:c r="B1871" t="str">
        <x:v>L37</x:v>
      </x:c>
      <x:c r="C1871">
        <x:v>2</x:v>
      </x:c>
      <x:c r="D1871">
        <x:f>'Сценарии'!L37</x:f>
        <x:v>2</x:v>
      </x:c>
      <x:c r="E1871">
        <x:f>IF(C1871=D1871,1,0)</x:f>
        <x:v>1</x:v>
      </x:c>
    </x:row>
    <x:row r="1872">
      <x:c r="A1872" t="str">
        <x:v>Сценарии</x:v>
      </x:c>
      <x:c r="B1872" t="str">
        <x:v>M37</x:v>
      </x:c>
      <x:c r="C1872">
        <x:v>0.5</x:v>
      </x:c>
      <x:c r="D1872">
        <x:f>'Сценарии'!M37</x:f>
        <x:v>0.5</x:v>
      </x:c>
      <x:c r="E1872">
        <x:f>IF(C1872=D1872,1,0)</x:f>
        <x:v>1</x:v>
      </x:c>
    </x:row>
    <x:row r="1873">
      <x:c r="A1873" t="str">
        <x:v>Сценарии</x:v>
      </x:c>
      <x:c r="B1873" t="str">
        <x:v>N37</x:v>
      </x:c>
      <x:c r="C1873">
        <x:v>0.80000000000000004</x:v>
      </x:c>
      <x:c r="D1873">
        <x:f>'Сценарии'!N37</x:f>
        <x:v>0.80000000000000004</x:v>
      </x:c>
      <x:c r="E1873">
        <x:f>IF(C1873=D1873,1,0)</x:f>
        <x:v>1</x:v>
      </x:c>
    </x:row>
    <x:row r="1874">
      <x:c r="A1874" t="str">
        <x:v>Сценарии</x:v>
      </x:c>
      <x:c r="B1874" t="str">
        <x:v>O37</x:v>
      </x:c>
      <x:c r="C1874">
        <x:v>1</x:v>
      </x:c>
      <x:c r="D1874">
        <x:f>'Сценарии'!O37</x:f>
        <x:v>1</x:v>
      </x:c>
      <x:c r="E1874">
        <x:f>IF(C1874=D1874,1,0)</x:f>
        <x:v>1</x:v>
      </x:c>
    </x:row>
    <x:row r="1875">
      <x:c r="A1875" t="str">
        <x:v>Сценарии</x:v>
      </x:c>
      <x:c r="B1875" t="str">
        <x:v>P37</x:v>
      </x:c>
      <x:c r="C1875">
        <x:v>0.25</x:v>
      </x:c>
      <x:c r="D1875">
        <x:f>'Сценарии'!P37</x:f>
        <x:v>0.25</x:v>
      </x:c>
      <x:c r="E1875">
        <x:f>IF(C1875=D1875,1,0)</x:f>
        <x:v>1</x:v>
      </x:c>
    </x:row>
    <x:row r="1876">
      <x:c r="A1876" t="str">
        <x:v>Сценарии</x:v>
      </x:c>
      <x:c r="B1876" t="str">
        <x:v>Q37</x:v>
      </x:c>
      <x:c r="C1876">
        <x:v>0.25</x:v>
      </x:c>
      <x:c r="D1876">
        <x:f>'Сценарии'!Q37</x:f>
        <x:v>0.25</x:v>
      </x:c>
      <x:c r="E1876">
        <x:f>IF(C1876=D1876,1,0)</x:f>
        <x:v>1</x:v>
      </x:c>
    </x:row>
    <x:row r="1877">
      <x:c r="A1877" t="str">
        <x:v>Сценарии</x:v>
      </x:c>
      <x:c r="B1877" t="str">
        <x:v>R37</x:v>
      </x:c>
      <x:c r="C1877">
        <x:v>0</x:v>
      </x:c>
      <x:c r="D1877">
        <x:f>'Сценарии'!R37</x:f>
        <x:v>0</x:v>
      </x:c>
      <x:c r="E1877">
        <x:f>IF(C1877=D1877,1,0)</x:f>
        <x:v>1</x:v>
      </x:c>
    </x:row>
    <x:row r="1878">
      <x:c r="A1878" t="str">
        <x:v>Сценарии</x:v>
      </x:c>
      <x:c r="B1878" t="str">
        <x:v>S37</x:v>
      </x:c>
      <x:c r="C1878">
        <x:v>0</x:v>
      </x:c>
      <x:c r="D1878">
        <x:f>'Сценарии'!S37</x:f>
        <x:v>0</x:v>
      </x:c>
      <x:c r="E1878">
        <x:f>IF(C1878=D1878,1,0)</x:f>
        <x:v>1</x:v>
      </x:c>
    </x:row>
    <x:row r="1879">
      <x:c r="A1879" t="str">
        <x:v>Сценарии</x:v>
      </x:c>
      <x:c r="B1879" t="str">
        <x:v>T37</x:v>
      </x:c>
      <x:c r="C1879">
        <x:v>0</x:v>
      </x:c>
      <x:c r="D1879">
        <x:f>'Сценарии'!T37</x:f>
        <x:v>0</x:v>
      </x:c>
      <x:c r="E1879">
        <x:f>IF(C1879=D1879,1,0)</x:f>
        <x:v>1</x:v>
      </x:c>
    </x:row>
    <x:row r="1880">
      <x:c r="A1880" t="str">
        <x:v>Сценарии</x:v>
      </x:c>
      <x:c r="B1880" t="str">
        <x:v>U37</x:v>
      </x:c>
      <x:c r="C1880">
        <x:v>1</x:v>
      </x:c>
      <x:c r="D1880">
        <x:f>'Сценарии'!U37</x:f>
        <x:v>1</x:v>
      </x:c>
      <x:c r="E1880">
        <x:f>IF(C1880=D1880,1,0)</x:f>
        <x:v>1</x:v>
      </x:c>
    </x:row>
    <x:row r="1881">
      <x:c r="A1881" t="str">
        <x:v>Сценарии</x:v>
      </x:c>
      <x:c r="B1881" t="str">
        <x:v>V37</x:v>
      </x:c>
      <x:c r="C1881">
        <x:v>1</x:v>
      </x:c>
      <x:c r="D1881">
        <x:f>'Сценарии'!V37</x:f>
        <x:v>1</x:v>
      </x:c>
      <x:c r="E1881">
        <x:f>IF(C1881=D1881,1,0)</x:f>
        <x:v>1</x:v>
      </x:c>
    </x:row>
    <x:row r="1882">
      <x:c r="A1882" t="str">
        <x:v>Сценарии</x:v>
      </x:c>
      <x:c r="B1882" t="str">
        <x:v>X37</x:v>
      </x:c>
      <x:c r="C1882">
        <x:v>1.5</x:v>
      </x:c>
      <x:c r="D1882">
        <x:f>'Сценарии'!X37</x:f>
        <x:v>1.5</x:v>
      </x:c>
      <x:c r="E1882">
        <x:f>IF(C1882=D1882,1,0)</x:f>
        <x:v>1</x:v>
      </x:c>
    </x:row>
    <x:row r="1883">
      <x:c r="A1883" t="str">
        <x:v>Сценарии</x:v>
      </x:c>
      <x:c r="B1883" t="str">
        <x:v>Y37</x:v>
      </x:c>
      <x:c r="C1883">
        <x:v>0.20000000000000001</x:v>
      </x:c>
      <x:c r="D1883">
        <x:f>'Сценарии'!Y37</x:f>
        <x:v>0.20000000000000001</x:v>
      </x:c>
      <x:c r="E1883">
        <x:f>IF(C1883=D1883,1,0)</x:f>
        <x:v>1</x:v>
      </x:c>
    </x:row>
    <x:row r="1884">
      <x:c r="A1884" t="str">
        <x:v>Сценарии</x:v>
      </x:c>
      <x:c r="B1884" t="str">
        <x:v>Z37</x:v>
      </x:c>
      <x:c r="C1884">
        <x:v>1</x:v>
      </x:c>
      <x:c r="D1884">
        <x:f>'Сценарии'!Z37</x:f>
        <x:v>1</x:v>
      </x:c>
      <x:c r="E1884">
        <x:f>IF(C1884=D1884,1,0)</x:f>
        <x:v>1</x:v>
      </x:c>
    </x:row>
    <x:row r="1885">
      <x:c r="A1885" t="str">
        <x:v>Сценарии</x:v>
      </x:c>
      <x:c r="B1885" t="str">
        <x:v>AA37</x:v>
      </x:c>
      <x:c r="C1885">
        <x:v>0.29999999999999999</x:v>
      </x:c>
      <x:c r="D1885">
        <x:f>'Сценарии'!AA37</x:f>
        <x:v>0.29999999999999999</x:v>
      </x:c>
      <x:c r="E1885">
        <x:f>IF(C1885=D1885,1,0)</x:f>
        <x:v>1</x:v>
      </x:c>
    </x:row>
    <x:row r="1886">
      <x:c r="A1886" t="str">
        <x:v>Сценарии</x:v>
      </x:c>
      <x:c r="B1886" t="str">
        <x:v>AB37</x:v>
      </x:c>
      <x:c r="C1886">
        <x:v>0.40000000000000002</x:v>
      </x:c>
      <x:c r="D1886">
        <x:f>'Сценарии'!AB37</x:f>
        <x:v>0.40000000000000002</x:v>
      </x:c>
      <x:c r="E1886">
        <x:f>IF(C1886=D1886,1,0)</x:f>
        <x:v>1</x:v>
      </x:c>
    </x:row>
    <x:row r="1887">
      <x:c r="A1887" t="str">
        <x:v>Сценарии</x:v>
      </x:c>
      <x:c r="B1887" t="str">
        <x:v>AC37</x:v>
      </x:c>
      <x:c r="C1887">
        <x:v>1</x:v>
      </x:c>
      <x:c r="D1887">
        <x:f>'Сценарии'!AC37</x:f>
        <x:v>1</x:v>
      </x:c>
      <x:c r="E1887">
        <x:f>IF(C1887=D1887,1,0)</x:f>
        <x:v>1</x:v>
      </x:c>
    </x:row>
    <x:row r="1888">
      <x:c r="A1888" t="str">
        <x:v>Сценарии</x:v>
      </x:c>
      <x:c r="B1888" t="str">
        <x:v>D38</x:v>
      </x:c>
      <x:c r="C1888">
        <x:v>44000000</x:v>
      </x:c>
      <x:c r="D1888">
        <x:f>'Сценарии'!D38</x:f>
        <x:v>44000000</x:v>
      </x:c>
      <x:c r="E1888">
        <x:f>IF(C1888=D1888,1,0)</x:f>
        <x:v>1</x:v>
      </x:c>
    </x:row>
    <x:row r="1889">
      <x:c r="A1889" t="str">
        <x:v>Сценарии</x:v>
      </x:c>
      <x:c r="B1889" t="str">
        <x:v>E38</x:v>
      </x:c>
      <x:c r="C1889">
        <x:v>84000000</x:v>
      </x:c>
      <x:c r="D1889">
        <x:f>'Сценарии'!E38</x:f>
        <x:v>84000000</x:v>
      </x:c>
      <x:c r="E1889">
        <x:f>IF(C1889=D1889,1,0)</x:f>
        <x:v>1</x:v>
      </x:c>
    </x:row>
    <x:row r="1890">
      <x:c r="A1890" t="str">
        <x:v>Сценарии</x:v>
      </x:c>
      <x:c r="B1890" t="str">
        <x:v>F38</x:v>
      </x:c>
      <x:c r="C1890">
        <x:v>0.27999999999999997</x:v>
      </x:c>
      <x:c r="D1890">
        <x:f>'Сценарии'!F38</x:f>
        <x:v>0.27999999999999997</x:v>
      </x:c>
      <x:c r="E1890">
        <x:f>IF(C1890=D1890,1,0)</x:f>
        <x:v>1</x:v>
      </x:c>
    </x:row>
    <x:row r="1891">
      <x:c r="A1891" t="str">
        <x:v>Сценарии</x:v>
      </x:c>
      <x:c r="B1891" t="str">
        <x:v>G38</x:v>
      </x:c>
      <x:c r="C1891">
        <x:v>0.12</x:v>
      </x:c>
      <x:c r="D1891">
        <x:f>'Сценарии'!G38</x:f>
        <x:v>0.12</x:v>
      </x:c>
      <x:c r="E1891">
        <x:f>IF(C1891=D1891,1,0)</x:f>
        <x:v>1</x:v>
      </x:c>
    </x:row>
    <x:row r="1892">
      <x:c r="A1892" t="str">
        <x:v>Сценарии</x:v>
      </x:c>
      <x:c r="B1892" t="str">
        <x:v>H38</x:v>
      </x:c>
      <x:c r="C1892">
        <x:v>0.17999999999999999</x:v>
      </x:c>
      <x:c r="D1892">
        <x:f>'Сценарии'!H38</x:f>
        <x:v>0.17999999999999999</x:v>
      </x:c>
      <x:c r="E1892">
        <x:f>IF(C1892=D1892,1,0)</x:f>
        <x:v>1</x:v>
      </x:c>
    </x:row>
    <x:row r="1893">
      <x:c r="A1893" t="str">
        <x:v>Сценарии</x:v>
      </x:c>
      <x:c r="B1893" t="str">
        <x:v>I38</x:v>
      </x:c>
      <x:c r="C1893">
        <x:v>0.41999999999999998</x:v>
      </x:c>
      <x:c r="D1893">
        <x:f>'Сценарии'!I38</x:f>
        <x:v>0.41999999999999998</x:v>
      </x:c>
      <x:c r="E1893">
        <x:f>IF(C1893=D1893,1,0)</x:f>
        <x:v>1</x:v>
      </x:c>
    </x:row>
    <x:row r="1894">
      <x:c r="A1894" t="str">
        <x:v>Сценарии</x:v>
      </x:c>
      <x:c r="B1894" t="str">
        <x:v>J38</x:v>
      </x:c>
      <x:c r="C1894">
        <x:v>0.14999999999999999</x:v>
      </x:c>
      <x:c r="D1894">
        <x:f>'Сценарии'!J38</x:f>
        <x:v>0.14999999999999999</x:v>
      </x:c>
      <x:c r="E1894">
        <x:f>IF(C1894=D1894,1,0)</x:f>
        <x:v>1</x:v>
      </x:c>
    </x:row>
    <x:row r="1895">
      <x:c r="A1895" t="str">
        <x:v>Сценарии</x:v>
      </x:c>
      <x:c r="B1895" t="str">
        <x:v>K38</x:v>
      </x:c>
      <x:c r="C1895">
        <x:v>0.23099999999999998</x:v>
      </x:c>
      <x:c r="D1895">
        <x:f>'Сценарии'!K38</x:f>
        <x:v>0.23099999999999998</x:v>
      </x:c>
      <x:c r="E1895">
        <x:f>IF(C1895=D1895,1,0)</x:f>
        <x:v>1</x:v>
      </x:c>
    </x:row>
    <x:row r="1896">
      <x:c r="A1896" t="str">
        <x:v>Сценарии</x:v>
      </x:c>
      <x:c r="B1896" t="str">
        <x:v>L38</x:v>
      </x:c>
      <x:c r="C1896">
        <x:v>2</x:v>
      </x:c>
      <x:c r="D1896">
        <x:f>'Сценарии'!L38</x:f>
        <x:v>2</x:v>
      </x:c>
      <x:c r="E1896">
        <x:f>IF(C1896=D1896,1,0)</x:f>
        <x:v>1</x:v>
      </x:c>
    </x:row>
    <x:row r="1897">
      <x:c r="A1897" t="str">
        <x:v>Сценарии</x:v>
      </x:c>
      <x:c r="B1897" t="str">
        <x:v>M38</x:v>
      </x:c>
      <x:c r="C1897">
        <x:v>0.5</x:v>
      </x:c>
      <x:c r="D1897">
        <x:f>'Сценарии'!M38</x:f>
        <x:v>0.5</x:v>
      </x:c>
      <x:c r="E1897">
        <x:f>IF(C1897=D1897,1,0)</x:f>
        <x:v>1</x:v>
      </x:c>
    </x:row>
    <x:row r="1898">
      <x:c r="A1898" t="str">
        <x:v>Сценарии</x:v>
      </x:c>
      <x:c r="B1898" t="str">
        <x:v>N38</x:v>
      </x:c>
      <x:c r="C1898">
        <x:v>0.80000000000000004</x:v>
      </x:c>
      <x:c r="D1898">
        <x:f>'Сценарии'!N38</x:f>
        <x:v>0.80000000000000004</x:v>
      </x:c>
      <x:c r="E1898">
        <x:f>IF(C1898=D1898,1,0)</x:f>
        <x:v>1</x:v>
      </x:c>
    </x:row>
    <x:row r="1899">
      <x:c r="A1899" t="str">
        <x:v>Сценарии</x:v>
      </x:c>
      <x:c r="B1899" t="str">
        <x:v>O38</x:v>
      </x:c>
      <x:c r="C1899">
        <x:v>1</x:v>
      </x:c>
      <x:c r="D1899">
        <x:f>'Сценарии'!O38</x:f>
        <x:v>1</x:v>
      </x:c>
      <x:c r="E1899">
        <x:f>IF(C1899=D1899,1,0)</x:f>
        <x:v>1</x:v>
      </x:c>
    </x:row>
    <x:row r="1900">
      <x:c r="A1900" t="str">
        <x:v>Сценарии</x:v>
      </x:c>
      <x:c r="B1900" t="str">
        <x:v>P38</x:v>
      </x:c>
      <x:c r="C1900">
        <x:v>0.25</x:v>
      </x:c>
      <x:c r="D1900">
        <x:f>'Сценарии'!P38</x:f>
        <x:v>0.25</x:v>
      </x:c>
      <x:c r="E1900">
        <x:f>IF(C1900=D1900,1,0)</x:f>
        <x:v>1</x:v>
      </x:c>
    </x:row>
    <x:row r="1901">
      <x:c r="A1901" t="str">
        <x:v>Сценарии</x:v>
      </x:c>
      <x:c r="B1901" t="str">
        <x:v>Q38</x:v>
      </x:c>
      <x:c r="C1901">
        <x:v>0.25</x:v>
      </x:c>
      <x:c r="D1901">
        <x:f>'Сценарии'!Q38</x:f>
        <x:v>0.25</x:v>
      </x:c>
      <x:c r="E1901">
        <x:f>IF(C1901=D1901,1,0)</x:f>
        <x:v>1</x:v>
      </x:c>
    </x:row>
    <x:row r="1902">
      <x:c r="A1902" t="str">
        <x:v>Сценарии</x:v>
      </x:c>
      <x:c r="B1902" t="str">
        <x:v>R38</x:v>
      </x:c>
      <x:c r="C1902">
        <x:v>0</x:v>
      </x:c>
      <x:c r="D1902">
        <x:f>'Сценарии'!R38</x:f>
        <x:v>0</x:v>
      </x:c>
      <x:c r="E1902">
        <x:f>IF(C1902=D1902,1,0)</x:f>
        <x:v>1</x:v>
      </x:c>
    </x:row>
    <x:row r="1903">
      <x:c r="A1903" t="str">
        <x:v>Сценарии</x:v>
      </x:c>
      <x:c r="B1903" t="str">
        <x:v>S38</x:v>
      </x:c>
      <x:c r="C1903">
        <x:v>0</x:v>
      </x:c>
      <x:c r="D1903">
        <x:f>'Сценарии'!S38</x:f>
        <x:v>0</x:v>
      </x:c>
      <x:c r="E1903">
        <x:f>IF(C1903=D1903,1,0)</x:f>
        <x:v>1</x:v>
      </x:c>
    </x:row>
    <x:row r="1904">
      <x:c r="A1904" t="str">
        <x:v>Сценарии</x:v>
      </x:c>
      <x:c r="B1904" t="str">
        <x:v>T38</x:v>
      </x:c>
      <x:c r="C1904">
        <x:v>0</x:v>
      </x:c>
      <x:c r="D1904">
        <x:f>'Сценарии'!T38</x:f>
        <x:v>0</x:v>
      </x:c>
      <x:c r="E1904">
        <x:f>IF(C1904=D1904,1,0)</x:f>
        <x:v>1</x:v>
      </x:c>
    </x:row>
    <x:row r="1905">
      <x:c r="A1905" t="str">
        <x:v>Сценарии</x:v>
      </x:c>
      <x:c r="B1905" t="str">
        <x:v>U38</x:v>
      </x:c>
      <x:c r="C1905">
        <x:v>1</x:v>
      </x:c>
      <x:c r="D1905">
        <x:f>'Сценарии'!U38</x:f>
        <x:v>1</x:v>
      </x:c>
      <x:c r="E1905">
        <x:f>IF(C1905=D1905,1,0)</x:f>
        <x:v>1</x:v>
      </x:c>
    </x:row>
    <x:row r="1906">
      <x:c r="A1906" t="str">
        <x:v>Сценарии</x:v>
      </x:c>
      <x:c r="B1906" t="str">
        <x:v>V38</x:v>
      </x:c>
      <x:c r="C1906">
        <x:v>1</x:v>
      </x:c>
      <x:c r="D1906">
        <x:f>'Сценарии'!V38</x:f>
        <x:v>1</x:v>
      </x:c>
      <x:c r="E1906">
        <x:f>IF(C1906=D1906,1,0)</x:f>
        <x:v>1</x:v>
      </x:c>
    </x:row>
    <x:row r="1907">
      <x:c r="A1907" t="str">
        <x:v>Сценарии</x:v>
      </x:c>
      <x:c r="B1907" t="str">
        <x:v>X38</x:v>
      </x:c>
      <x:c r="C1907">
        <x:v>1.5</x:v>
      </x:c>
      <x:c r="D1907">
        <x:f>'Сценарии'!X38</x:f>
        <x:v>1.5</x:v>
      </x:c>
      <x:c r="E1907">
        <x:f>IF(C1907=D1907,1,0)</x:f>
        <x:v>1</x:v>
      </x:c>
    </x:row>
    <x:row r="1908">
      <x:c r="A1908" t="str">
        <x:v>Сценарии</x:v>
      </x:c>
      <x:c r="B1908" t="str">
        <x:v>Y38</x:v>
      </x:c>
      <x:c r="C1908">
        <x:v>0.20000000000000001</x:v>
      </x:c>
      <x:c r="D1908">
        <x:f>'Сценарии'!Y38</x:f>
        <x:v>0.20000000000000001</x:v>
      </x:c>
      <x:c r="E1908">
        <x:f>IF(C1908=D1908,1,0)</x:f>
        <x:v>1</x:v>
      </x:c>
    </x:row>
    <x:row r="1909">
      <x:c r="A1909" t="str">
        <x:v>Сценарии</x:v>
      </x:c>
      <x:c r="B1909" t="str">
        <x:v>Z38</x:v>
      </x:c>
      <x:c r="C1909">
        <x:v>1</x:v>
      </x:c>
      <x:c r="D1909">
        <x:f>'Сценарии'!Z38</x:f>
        <x:v>1</x:v>
      </x:c>
      <x:c r="E1909">
        <x:f>IF(C1909=D1909,1,0)</x:f>
        <x:v>1</x:v>
      </x:c>
    </x:row>
    <x:row r="1910">
      <x:c r="A1910" t="str">
        <x:v>Сценарии</x:v>
      </x:c>
      <x:c r="B1910" t="str">
        <x:v>AA38</x:v>
      </x:c>
      <x:c r="C1910">
        <x:v>0.29999999999999999</x:v>
      </x:c>
      <x:c r="D1910">
        <x:f>'Сценарии'!AA38</x:f>
        <x:v>0.29999999999999999</x:v>
      </x:c>
      <x:c r="E1910">
        <x:f>IF(C1910=D1910,1,0)</x:f>
        <x:v>1</x:v>
      </x:c>
    </x:row>
    <x:row r="1911">
      <x:c r="A1911" t="str">
        <x:v>Сценарии</x:v>
      </x:c>
      <x:c r="B1911" t="str">
        <x:v>AB38</x:v>
      </x:c>
      <x:c r="C1911">
        <x:v>0.40000000000000002</x:v>
      </x:c>
      <x:c r="D1911">
        <x:f>'Сценарии'!AB38</x:f>
        <x:v>0.40000000000000002</x:v>
      </x:c>
      <x:c r="E1911">
        <x:f>IF(C1911=D1911,1,0)</x:f>
        <x:v>1</x:v>
      </x:c>
    </x:row>
    <x:row r="1912">
      <x:c r="A1912" t="str">
        <x:v>Сценарии</x:v>
      </x:c>
      <x:c r="B1912" t="str">
        <x:v>AC38</x:v>
      </x:c>
      <x:c r="C1912">
        <x:v>1</x:v>
      </x:c>
      <x:c r="D1912">
        <x:f>'Сценарии'!AC38</x:f>
        <x:v>1</x:v>
      </x:c>
      <x:c r="E1912">
        <x:f>IF(C1912=D1912,1,0)</x:f>
        <x:v>1</x:v>
      </x:c>
    </x:row>
    <x:row r="1913">
      <x:c r="A1913" t="str">
        <x:v>Сценарии</x:v>
      </x:c>
      <x:c r="B1913" t="str">
        <x:v>D39</x:v>
      </x:c>
      <x:c r="C1913">
        <x:v>44000000</x:v>
      </x:c>
      <x:c r="D1913">
        <x:f>'Сценарии'!D39</x:f>
        <x:v>44000000</x:v>
      </x:c>
      <x:c r="E1913">
        <x:f>IF(C1913=D1913,1,0)</x:f>
        <x:v>1</x:v>
      </x:c>
    </x:row>
    <x:row r="1914">
      <x:c r="A1914" t="str">
        <x:v>Сценарии</x:v>
      </x:c>
      <x:c r="B1914" t="str">
        <x:v>E39</x:v>
      </x:c>
      <x:c r="C1914">
        <x:v>84000000</x:v>
      </x:c>
      <x:c r="D1914">
        <x:f>'Сценарии'!E39</x:f>
        <x:v>84000000</x:v>
      </x:c>
      <x:c r="E1914">
        <x:f>IF(C1914=D1914,1,0)</x:f>
        <x:v>1</x:v>
      </x:c>
    </x:row>
    <x:row r="1915">
      <x:c r="A1915" t="str">
        <x:v>Сценарии</x:v>
      </x:c>
      <x:c r="B1915" t="str">
        <x:v>F39</x:v>
      </x:c>
      <x:c r="C1915">
        <x:v>0.27999999999999997</x:v>
      </x:c>
      <x:c r="D1915">
        <x:f>'Сценарии'!F39</x:f>
        <x:v>0.27999999999999997</x:v>
      </x:c>
      <x:c r="E1915">
        <x:f>IF(C1915=D1915,1,0)</x:f>
        <x:v>1</x:v>
      </x:c>
    </x:row>
    <x:row r="1916">
      <x:c r="A1916" t="str">
        <x:v>Сценарии</x:v>
      </x:c>
      <x:c r="B1916" t="str">
        <x:v>G39</x:v>
      </x:c>
      <x:c r="C1916">
        <x:v>0.12</x:v>
      </x:c>
      <x:c r="D1916">
        <x:f>'Сценарии'!G39</x:f>
        <x:v>0.12</x:v>
      </x:c>
      <x:c r="E1916">
        <x:f>IF(C1916=D1916,1,0)</x:f>
        <x:v>1</x:v>
      </x:c>
    </x:row>
    <x:row r="1917">
      <x:c r="A1917" t="str">
        <x:v>Сценарии</x:v>
      </x:c>
      <x:c r="B1917" t="str">
        <x:v>H39</x:v>
      </x:c>
      <x:c r="C1917">
        <x:v>0.17999999999999999</x:v>
      </x:c>
      <x:c r="D1917">
        <x:f>'Сценарии'!H39</x:f>
        <x:v>0.17999999999999999</x:v>
      </x:c>
      <x:c r="E1917">
        <x:f>IF(C1917=D1917,1,0)</x:f>
        <x:v>1</x:v>
      </x:c>
    </x:row>
    <x:row r="1918">
      <x:c r="A1918" t="str">
        <x:v>Сценарии</x:v>
      </x:c>
      <x:c r="B1918" t="str">
        <x:v>I39</x:v>
      </x:c>
      <x:c r="C1918">
        <x:v>0.41999999999999998</x:v>
      </x:c>
      <x:c r="D1918">
        <x:f>'Сценарии'!I39</x:f>
        <x:v>0.41999999999999998</x:v>
      </x:c>
      <x:c r="E1918">
        <x:f>IF(C1918=D1918,1,0)</x:f>
        <x:v>1</x:v>
      </x:c>
    </x:row>
    <x:row r="1919">
      <x:c r="A1919" t="str">
        <x:v>Сценарии</x:v>
      </x:c>
      <x:c r="B1919" t="str">
        <x:v>J39</x:v>
      </x:c>
      <x:c r="C1919">
        <x:v>0.14999999999999999</x:v>
      </x:c>
      <x:c r="D1919">
        <x:f>'Сценарии'!J39</x:f>
        <x:v>0.14999999999999999</x:v>
      </x:c>
      <x:c r="E1919">
        <x:f>IF(C1919=D1919,1,0)</x:f>
        <x:v>1</x:v>
      </x:c>
    </x:row>
    <x:row r="1920">
      <x:c r="A1920" t="str">
        <x:v>Сценарии</x:v>
      </x:c>
      <x:c r="B1920" t="str">
        <x:v>K39</x:v>
      </x:c>
      <x:c r="C1920">
        <x:v>0.23099999999999998</x:v>
      </x:c>
      <x:c r="D1920">
        <x:f>'Сценарии'!K39</x:f>
        <x:v>0.23099999999999998</x:v>
      </x:c>
      <x:c r="E1920">
        <x:f>IF(C1920=D1920,1,0)</x:f>
        <x:v>1</x:v>
      </x:c>
    </x:row>
    <x:row r="1921">
      <x:c r="A1921" t="str">
        <x:v>Сценарии</x:v>
      </x:c>
      <x:c r="B1921" t="str">
        <x:v>L39</x:v>
      </x:c>
      <x:c r="C1921">
        <x:v>2</x:v>
      </x:c>
      <x:c r="D1921">
        <x:f>'Сценарии'!L39</x:f>
        <x:v>2</x:v>
      </x:c>
      <x:c r="E1921">
        <x:f>IF(C1921=D1921,1,0)</x:f>
        <x:v>1</x:v>
      </x:c>
    </x:row>
    <x:row r="1922">
      <x:c r="A1922" t="str">
        <x:v>Сценарии</x:v>
      </x:c>
      <x:c r="B1922" t="str">
        <x:v>M39</x:v>
      </x:c>
      <x:c r="C1922">
        <x:v>0.5</x:v>
      </x:c>
      <x:c r="D1922">
        <x:f>'Сценарии'!M39</x:f>
        <x:v>0.5</x:v>
      </x:c>
      <x:c r="E1922">
        <x:f>IF(C1922=D1922,1,0)</x:f>
        <x:v>1</x:v>
      </x:c>
    </x:row>
    <x:row r="1923">
      <x:c r="A1923" t="str">
        <x:v>Сценарии</x:v>
      </x:c>
      <x:c r="B1923" t="str">
        <x:v>N39</x:v>
      </x:c>
      <x:c r="C1923">
        <x:v>0.80000000000000004</x:v>
      </x:c>
      <x:c r="D1923">
        <x:f>'Сценарии'!N39</x:f>
        <x:v>0.80000000000000004</x:v>
      </x:c>
      <x:c r="E1923">
        <x:f>IF(C1923=D1923,1,0)</x:f>
        <x:v>1</x:v>
      </x:c>
    </x:row>
    <x:row r="1924">
      <x:c r="A1924" t="str">
        <x:v>Сценарии</x:v>
      </x:c>
      <x:c r="B1924" t="str">
        <x:v>O39</x:v>
      </x:c>
      <x:c r="C1924">
        <x:v>1</x:v>
      </x:c>
      <x:c r="D1924">
        <x:f>'Сценарии'!O39</x:f>
        <x:v>1</x:v>
      </x:c>
      <x:c r="E1924">
        <x:f>IF(C1924=D1924,1,0)</x:f>
        <x:v>1</x:v>
      </x:c>
    </x:row>
    <x:row r="1925">
      <x:c r="A1925" t="str">
        <x:v>Сценарии</x:v>
      </x:c>
      <x:c r="B1925" t="str">
        <x:v>P39</x:v>
      </x:c>
      <x:c r="C1925">
        <x:v>0.25</x:v>
      </x:c>
      <x:c r="D1925">
        <x:f>'Сценарии'!P39</x:f>
        <x:v>0.25</x:v>
      </x:c>
      <x:c r="E1925">
        <x:f>IF(C1925=D1925,1,0)</x:f>
        <x:v>1</x:v>
      </x:c>
    </x:row>
    <x:row r="1926">
      <x:c r="A1926" t="str">
        <x:v>Сценарии</x:v>
      </x:c>
      <x:c r="B1926" t="str">
        <x:v>Q39</x:v>
      </x:c>
      <x:c r="C1926">
        <x:v>0.25</x:v>
      </x:c>
      <x:c r="D1926">
        <x:f>'Сценарии'!Q39</x:f>
        <x:v>0.25</x:v>
      </x:c>
      <x:c r="E1926">
        <x:f>IF(C1926=D1926,1,0)</x:f>
        <x:v>1</x:v>
      </x:c>
    </x:row>
    <x:row r="1927">
      <x:c r="A1927" t="str">
        <x:v>Сценарии</x:v>
      </x:c>
      <x:c r="B1927" t="str">
        <x:v>R39</x:v>
      </x:c>
      <x:c r="C1927">
        <x:v>0</x:v>
      </x:c>
      <x:c r="D1927">
        <x:f>'Сценарии'!R39</x:f>
        <x:v>0</x:v>
      </x:c>
      <x:c r="E1927">
        <x:f>IF(C1927=D1927,1,0)</x:f>
        <x:v>1</x:v>
      </x:c>
    </x:row>
    <x:row r="1928">
      <x:c r="A1928" t="str">
        <x:v>Сценарии</x:v>
      </x:c>
      <x:c r="B1928" t="str">
        <x:v>S39</x:v>
      </x:c>
      <x:c r="C1928">
        <x:v>0</x:v>
      </x:c>
      <x:c r="D1928">
        <x:f>'Сценарии'!S39</x:f>
        <x:v>0</x:v>
      </x:c>
      <x:c r="E1928">
        <x:f>IF(C1928=D1928,1,0)</x:f>
        <x:v>1</x:v>
      </x:c>
    </x:row>
    <x:row r="1929">
      <x:c r="A1929" t="str">
        <x:v>Сценарии</x:v>
      </x:c>
      <x:c r="B1929" t="str">
        <x:v>T39</x:v>
      </x:c>
      <x:c r="C1929">
        <x:v>0</x:v>
      </x:c>
      <x:c r="D1929">
        <x:f>'Сценарии'!T39</x:f>
        <x:v>0</x:v>
      </x:c>
      <x:c r="E1929">
        <x:f>IF(C1929=D1929,1,0)</x:f>
        <x:v>1</x:v>
      </x:c>
    </x:row>
    <x:row r="1930">
      <x:c r="A1930" t="str">
        <x:v>Сценарии</x:v>
      </x:c>
      <x:c r="B1930" t="str">
        <x:v>U39</x:v>
      </x:c>
      <x:c r="C1930">
        <x:v>1</x:v>
      </x:c>
      <x:c r="D1930">
        <x:f>'Сценарии'!U39</x:f>
        <x:v>1</x:v>
      </x:c>
      <x:c r="E1930">
        <x:f>IF(C1930=D1930,1,0)</x:f>
        <x:v>1</x:v>
      </x:c>
    </x:row>
    <x:row r="1931">
      <x:c r="A1931" t="str">
        <x:v>Сценарии</x:v>
      </x:c>
      <x:c r="B1931" t="str">
        <x:v>V39</x:v>
      </x:c>
      <x:c r="C1931">
        <x:v>1</x:v>
      </x:c>
      <x:c r="D1931">
        <x:f>'Сценарии'!V39</x:f>
        <x:v>1</x:v>
      </x:c>
      <x:c r="E1931">
        <x:f>IF(C1931=D1931,1,0)</x:f>
        <x:v>1</x:v>
      </x:c>
    </x:row>
    <x:row r="1932">
      <x:c r="A1932" t="str">
        <x:v>Сценарии</x:v>
      </x:c>
      <x:c r="B1932" t="str">
        <x:v>X39</x:v>
      </x:c>
      <x:c r="C1932">
        <x:v>1.5</x:v>
      </x:c>
      <x:c r="D1932">
        <x:f>'Сценарии'!X39</x:f>
        <x:v>1.5</x:v>
      </x:c>
      <x:c r="E1932">
        <x:f>IF(C1932=D1932,1,0)</x:f>
        <x:v>1</x:v>
      </x:c>
    </x:row>
    <x:row r="1933">
      <x:c r="A1933" t="str">
        <x:v>Сценарии</x:v>
      </x:c>
      <x:c r="B1933" t="str">
        <x:v>Y39</x:v>
      </x:c>
      <x:c r="C1933">
        <x:v>0.20000000000000001</x:v>
      </x:c>
      <x:c r="D1933">
        <x:f>'Сценарии'!Y39</x:f>
        <x:v>0.20000000000000001</x:v>
      </x:c>
      <x:c r="E1933">
        <x:f>IF(C1933=D1933,1,0)</x:f>
        <x:v>1</x:v>
      </x:c>
    </x:row>
    <x:row r="1934">
      <x:c r="A1934" t="str">
        <x:v>Сценарии</x:v>
      </x:c>
      <x:c r="B1934" t="str">
        <x:v>Z39</x:v>
      </x:c>
      <x:c r="C1934">
        <x:v>1</x:v>
      </x:c>
      <x:c r="D1934">
        <x:f>'Сценарии'!Z39</x:f>
        <x:v>1</x:v>
      </x:c>
      <x:c r="E1934">
        <x:f>IF(C1934=D1934,1,0)</x:f>
        <x:v>1</x:v>
      </x:c>
    </x:row>
    <x:row r="1935">
      <x:c r="A1935" t="str">
        <x:v>Сценарии</x:v>
      </x:c>
      <x:c r="B1935" t="str">
        <x:v>AA39</x:v>
      </x:c>
      <x:c r="C1935">
        <x:v>0.29999999999999999</x:v>
      </x:c>
      <x:c r="D1935">
        <x:f>'Сценарии'!AA39</x:f>
        <x:v>0.29999999999999999</x:v>
      </x:c>
      <x:c r="E1935">
        <x:f>IF(C1935=D1935,1,0)</x:f>
        <x:v>1</x:v>
      </x:c>
    </x:row>
    <x:row r="1936">
      <x:c r="A1936" t="str">
        <x:v>Сценарии</x:v>
      </x:c>
      <x:c r="B1936" t="str">
        <x:v>AB39</x:v>
      </x:c>
      <x:c r="C1936">
        <x:v>0.40000000000000002</x:v>
      </x:c>
      <x:c r="D1936">
        <x:f>'Сценарии'!AB39</x:f>
        <x:v>0.40000000000000002</x:v>
      </x:c>
      <x:c r="E1936">
        <x:f>IF(C1936=D1936,1,0)</x:f>
        <x:v>1</x:v>
      </x:c>
    </x:row>
    <x:row r="1937">
      <x:c r="A1937" t="str">
        <x:v>Сценарии</x:v>
      </x:c>
      <x:c r="B1937" t="str">
        <x:v>AC39</x:v>
      </x:c>
      <x:c r="C1937">
        <x:v>0.75</x:v>
      </x:c>
      <x:c r="D1937">
        <x:f>'Сценарии'!AC39</x:f>
        <x:v>0.75</x:v>
      </x:c>
      <x:c r="E1937">
        <x:f>IF(C1937=D1937,1,0)</x:f>
        <x:v>1</x:v>
      </x:c>
    </x:row>
    <x:row r="1938">
      <x:c r="A1938" t="str">
        <x:v>Сценарии</x:v>
      </x:c>
      <x:c r="B1938" t="str">
        <x:v>D40</x:v>
      </x:c>
      <x:c r="C1938">
        <x:v>44000000</x:v>
      </x:c>
      <x:c r="D1938">
        <x:f>'Сценарии'!D40</x:f>
        <x:v>44000000</x:v>
      </x:c>
      <x:c r="E1938">
        <x:f>IF(C1938=D1938,1,0)</x:f>
        <x:v>1</x:v>
      </x:c>
    </x:row>
    <x:row r="1939">
      <x:c r="A1939" t="str">
        <x:v>Сценарии</x:v>
      </x:c>
      <x:c r="B1939" t="str">
        <x:v>E40</x:v>
      </x:c>
      <x:c r="C1939">
        <x:v>84000000</x:v>
      </x:c>
      <x:c r="D1939">
        <x:f>'Сценарии'!E40</x:f>
        <x:v>84000000</x:v>
      </x:c>
      <x:c r="E1939">
        <x:f>IF(C1939=D1939,1,0)</x:f>
        <x:v>1</x:v>
      </x:c>
    </x:row>
    <x:row r="1940">
      <x:c r="A1940" t="str">
        <x:v>Сценарии</x:v>
      </x:c>
      <x:c r="B1940" t="str">
        <x:v>F40</x:v>
      </x:c>
      <x:c r="C1940">
        <x:v>0.27999999999999997</x:v>
      </x:c>
      <x:c r="D1940">
        <x:f>'Сценарии'!F40</x:f>
        <x:v>0.27999999999999997</x:v>
      </x:c>
      <x:c r="E1940">
        <x:f>IF(C1940=D1940,1,0)</x:f>
        <x:v>1</x:v>
      </x:c>
    </x:row>
    <x:row r="1941">
      <x:c r="A1941" t="str">
        <x:v>Сценарии</x:v>
      </x:c>
      <x:c r="B1941" t="str">
        <x:v>G40</x:v>
      </x:c>
      <x:c r="C1941">
        <x:v>0.12</x:v>
      </x:c>
      <x:c r="D1941">
        <x:f>'Сценарии'!G40</x:f>
        <x:v>0.12</x:v>
      </x:c>
      <x:c r="E1941">
        <x:f>IF(C1941=D1941,1,0)</x:f>
        <x:v>1</x:v>
      </x:c>
    </x:row>
    <x:row r="1942">
      <x:c r="A1942" t="str">
        <x:v>Сценарии</x:v>
      </x:c>
      <x:c r="B1942" t="str">
        <x:v>H40</x:v>
      </x:c>
      <x:c r="C1942">
        <x:v>0.17999999999999999</x:v>
      </x:c>
      <x:c r="D1942">
        <x:f>'Сценарии'!H40</x:f>
        <x:v>0.17999999999999999</x:v>
      </x:c>
      <x:c r="E1942">
        <x:f>IF(C1942=D1942,1,0)</x:f>
        <x:v>1</x:v>
      </x:c>
    </x:row>
    <x:row r="1943">
      <x:c r="A1943" t="str">
        <x:v>Сценарии</x:v>
      </x:c>
      <x:c r="B1943" t="str">
        <x:v>I40</x:v>
      </x:c>
      <x:c r="C1943">
        <x:v>0.41999999999999998</x:v>
      </x:c>
      <x:c r="D1943">
        <x:f>'Сценарии'!I40</x:f>
        <x:v>0.41999999999999998</x:v>
      </x:c>
      <x:c r="E1943">
        <x:f>IF(C1943=D1943,1,0)</x:f>
        <x:v>1</x:v>
      </x:c>
    </x:row>
    <x:row r="1944">
      <x:c r="A1944" t="str">
        <x:v>Сценарии</x:v>
      </x:c>
      <x:c r="B1944" t="str">
        <x:v>J40</x:v>
      </x:c>
      <x:c r="C1944">
        <x:v>0.14999999999999999</x:v>
      </x:c>
      <x:c r="D1944">
        <x:f>'Сценарии'!J40</x:f>
        <x:v>0.14999999999999999</x:v>
      </x:c>
      <x:c r="E1944">
        <x:f>IF(C1944=D1944,1,0)</x:f>
        <x:v>1</x:v>
      </x:c>
    </x:row>
    <x:row r="1945">
      <x:c r="A1945" t="str">
        <x:v>Сценарии</x:v>
      </x:c>
      <x:c r="B1945" t="str">
        <x:v>K40</x:v>
      </x:c>
      <x:c r="C1945">
        <x:v>0.23099999999999998</x:v>
      </x:c>
      <x:c r="D1945">
        <x:f>'Сценарии'!K40</x:f>
        <x:v>0.23099999999999998</x:v>
      </x:c>
      <x:c r="E1945">
        <x:f>IF(C1945=D1945,1,0)</x:f>
        <x:v>1</x:v>
      </x:c>
    </x:row>
    <x:row r="1946">
      <x:c r="A1946" t="str">
        <x:v>Сценарии</x:v>
      </x:c>
      <x:c r="B1946" t="str">
        <x:v>L40</x:v>
      </x:c>
      <x:c r="C1946">
        <x:v>2</x:v>
      </x:c>
      <x:c r="D1946">
        <x:f>'Сценарии'!L40</x:f>
        <x:v>2</x:v>
      </x:c>
      <x:c r="E1946">
        <x:f>IF(C1946=D1946,1,0)</x:f>
        <x:v>1</x:v>
      </x:c>
    </x:row>
    <x:row r="1947">
      <x:c r="A1947" t="str">
        <x:v>Сценарии</x:v>
      </x:c>
      <x:c r="B1947" t="str">
        <x:v>M40</x:v>
      </x:c>
      <x:c r="C1947">
        <x:v>0.5</x:v>
      </x:c>
      <x:c r="D1947">
        <x:f>'Сценарии'!M40</x:f>
        <x:v>0.5</x:v>
      </x:c>
      <x:c r="E1947">
        <x:f>IF(C1947=D1947,1,0)</x:f>
        <x:v>1</x:v>
      </x:c>
    </x:row>
    <x:row r="1948">
      <x:c r="A1948" t="str">
        <x:v>Сценарии</x:v>
      </x:c>
      <x:c r="B1948" t="str">
        <x:v>N40</x:v>
      </x:c>
      <x:c r="C1948">
        <x:v>0.80000000000000004</x:v>
      </x:c>
      <x:c r="D1948">
        <x:f>'Сценарии'!N40</x:f>
        <x:v>0.80000000000000004</x:v>
      </x:c>
      <x:c r="E1948">
        <x:f>IF(C1948=D1948,1,0)</x:f>
        <x:v>1</x:v>
      </x:c>
    </x:row>
    <x:row r="1949">
      <x:c r="A1949" t="str">
        <x:v>Сценарии</x:v>
      </x:c>
      <x:c r="B1949" t="str">
        <x:v>O40</x:v>
      </x:c>
      <x:c r="C1949">
        <x:v>1</x:v>
      </x:c>
      <x:c r="D1949">
        <x:f>'Сценарии'!O40</x:f>
        <x:v>1</x:v>
      </x:c>
      <x:c r="E1949">
        <x:f>IF(C1949=D1949,1,0)</x:f>
        <x:v>1</x:v>
      </x:c>
    </x:row>
    <x:row r="1950">
      <x:c r="A1950" t="str">
        <x:v>Сценарии</x:v>
      </x:c>
      <x:c r="B1950" t="str">
        <x:v>P40</x:v>
      </x:c>
      <x:c r="C1950">
        <x:v>0.25</x:v>
      </x:c>
      <x:c r="D1950">
        <x:f>'Сценарии'!P40</x:f>
        <x:v>0.25</x:v>
      </x:c>
      <x:c r="E1950">
        <x:f>IF(C1950=D1950,1,0)</x:f>
        <x:v>1</x:v>
      </x:c>
    </x:row>
    <x:row r="1951">
      <x:c r="A1951" t="str">
        <x:v>Сценарии</x:v>
      </x:c>
      <x:c r="B1951" t="str">
        <x:v>Q40</x:v>
      </x:c>
      <x:c r="C1951">
        <x:v>0.25</x:v>
      </x:c>
      <x:c r="D1951">
        <x:f>'Сценарии'!Q40</x:f>
        <x:v>0.25</x:v>
      </x:c>
      <x:c r="E1951">
        <x:f>IF(C1951=D1951,1,0)</x:f>
        <x:v>1</x:v>
      </x:c>
    </x:row>
    <x:row r="1952">
      <x:c r="A1952" t="str">
        <x:v>Сценарии</x:v>
      </x:c>
      <x:c r="B1952" t="str">
        <x:v>R40</x:v>
      </x:c>
      <x:c r="C1952">
        <x:v>0</x:v>
      </x:c>
      <x:c r="D1952">
        <x:f>'Сценарии'!R40</x:f>
        <x:v>0</x:v>
      </x:c>
      <x:c r="E1952">
        <x:f>IF(C1952=D1952,1,0)</x:f>
        <x:v>1</x:v>
      </x:c>
    </x:row>
    <x:row r="1953">
      <x:c r="A1953" t="str">
        <x:v>Сценарии</x:v>
      </x:c>
      <x:c r="B1953" t="str">
        <x:v>S40</x:v>
      </x:c>
      <x:c r="C1953">
        <x:v>0</x:v>
      </x:c>
      <x:c r="D1953">
        <x:f>'Сценарии'!S40</x:f>
        <x:v>0</x:v>
      </x:c>
      <x:c r="E1953">
        <x:f>IF(C1953=D1953,1,0)</x:f>
        <x:v>1</x:v>
      </x:c>
    </x:row>
    <x:row r="1954">
      <x:c r="A1954" t="str">
        <x:v>Сценарии</x:v>
      </x:c>
      <x:c r="B1954" t="str">
        <x:v>T40</x:v>
      </x:c>
      <x:c r="C1954">
        <x:v>0</x:v>
      </x:c>
      <x:c r="D1954">
        <x:f>'Сценарии'!T40</x:f>
        <x:v>0</x:v>
      </x:c>
      <x:c r="E1954">
        <x:f>IF(C1954=D1954,1,0)</x:f>
        <x:v>1</x:v>
      </x:c>
    </x:row>
    <x:row r="1955">
      <x:c r="A1955" t="str">
        <x:v>Сценарии</x:v>
      </x:c>
      <x:c r="B1955" t="str">
        <x:v>U40</x:v>
      </x:c>
      <x:c r="C1955">
        <x:v>1</x:v>
      </x:c>
      <x:c r="D1955">
        <x:f>'Сценарии'!U40</x:f>
        <x:v>1</x:v>
      </x:c>
      <x:c r="E1955">
        <x:f>IF(C1955=D1955,1,0)</x:f>
        <x:v>1</x:v>
      </x:c>
    </x:row>
    <x:row r="1956">
      <x:c r="A1956" t="str">
        <x:v>Сценарии</x:v>
      </x:c>
      <x:c r="B1956" t="str">
        <x:v>V40</x:v>
      </x:c>
      <x:c r="C1956">
        <x:v>1</x:v>
      </x:c>
      <x:c r="D1956">
        <x:f>'Сценарии'!V40</x:f>
        <x:v>1</x:v>
      </x:c>
      <x:c r="E1956">
        <x:f>IF(C1956=D1956,1,0)</x:f>
        <x:v>1</x:v>
      </x:c>
    </x:row>
    <x:row r="1957">
      <x:c r="A1957" t="str">
        <x:v>Сценарии</x:v>
      </x:c>
      <x:c r="B1957" t="str">
        <x:v>X40</x:v>
      </x:c>
      <x:c r="C1957">
        <x:v>1.5</x:v>
      </x:c>
      <x:c r="D1957">
        <x:f>'Сценарии'!X40</x:f>
        <x:v>1.5</x:v>
      </x:c>
      <x:c r="E1957">
        <x:f>IF(C1957=D1957,1,0)</x:f>
        <x:v>1</x:v>
      </x:c>
    </x:row>
    <x:row r="1958">
      <x:c r="A1958" t="str">
        <x:v>Сценарии</x:v>
      </x:c>
      <x:c r="B1958" t="str">
        <x:v>Y40</x:v>
      </x:c>
      <x:c r="C1958">
        <x:v>0.20000000000000001</x:v>
      </x:c>
      <x:c r="D1958">
        <x:f>'Сценарии'!Y40</x:f>
        <x:v>0.20000000000000001</x:v>
      </x:c>
      <x:c r="E1958">
        <x:f>IF(C1958=D1958,1,0)</x:f>
        <x:v>1</x:v>
      </x:c>
    </x:row>
    <x:row r="1959">
      <x:c r="A1959" t="str">
        <x:v>Сценарии</x:v>
      </x:c>
      <x:c r="B1959" t="str">
        <x:v>Z40</x:v>
      </x:c>
      <x:c r="C1959">
        <x:v>1</x:v>
      </x:c>
      <x:c r="D1959">
        <x:f>'Сценарии'!Z40</x:f>
        <x:v>1</x:v>
      </x:c>
      <x:c r="E1959">
        <x:f>IF(C1959=D1959,1,0)</x:f>
        <x:v>1</x:v>
      </x:c>
    </x:row>
    <x:row r="1960">
      <x:c r="A1960" t="str">
        <x:v>Сценарии</x:v>
      </x:c>
      <x:c r="B1960" t="str">
        <x:v>AA40</x:v>
      </x:c>
      <x:c r="C1960">
        <x:v>0.29999999999999999</x:v>
      </x:c>
      <x:c r="D1960">
        <x:f>'Сценарии'!AA40</x:f>
        <x:v>0.29999999999999999</x:v>
      </x:c>
      <x:c r="E1960">
        <x:f>IF(C1960=D1960,1,0)</x:f>
        <x:v>1</x:v>
      </x:c>
    </x:row>
    <x:row r="1961">
      <x:c r="A1961" t="str">
        <x:v>Сценарии</x:v>
      </x:c>
      <x:c r="B1961" t="str">
        <x:v>AB40</x:v>
      </x:c>
      <x:c r="C1961">
        <x:v>0.40000000000000002</x:v>
      </x:c>
      <x:c r="D1961">
        <x:f>'Сценарии'!AB40</x:f>
        <x:v>0.40000000000000002</x:v>
      </x:c>
      <x:c r="E1961">
        <x:f>IF(C1961=D1961,1,0)</x:f>
        <x:v>1</x:v>
      </x:c>
    </x:row>
    <x:row r="1962">
      <x:c r="A1962" t="str">
        <x:v>Сценарии</x:v>
      </x:c>
      <x:c r="B1962" t="str">
        <x:v>AC40</x:v>
      </x:c>
      <x:c r="C1962">
        <x:v>1.25</x:v>
      </x:c>
      <x:c r="D1962">
        <x:f>'Сценарии'!AC40</x:f>
        <x:v>1.25</x:v>
      </x:c>
      <x:c r="E1962">
        <x:f>IF(C1962=D1962,1,0)</x:f>
        <x:v>1</x:v>
      </x:c>
    </x:row>
  </x:sheetData>
  <x:mergeCells>
    <x:mergeCell ref="A2:F2"/>
  </x:mergeCells>
  <x:pageMargins left="0.7" right="0.7" top="0.75" bottom="0.75" header="0.3" footer="0.3"/>
</x:worksheet>
</file>

<file path=xl/worksheets/sheet18.xml><?xml version="1.0" encoding="utf-8"?>
<x:worksheet xmlns:x="http://schemas.openxmlformats.org/spreadsheetml/2006/main">
  <x:sheetPr>
    <x:tabColor rgb="FF477A68"/>
  </x:sheetPr>
  <x:sheetViews>
    <x:sheetView showGridLines="0" workbookViewId="0">
      <x:pane xSplit="2" ySplit="5" topLeftCell="C6" activePane="bottomRight" state="frozen"/>
    </x:sheetView>
  </x:sheetViews>
  <x:sheetFormatPr defaultRowHeight="15"/>
  <x:cols>
    <x:col min="1" max="1" width="35"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s>
  <x:sheetData>
    <x:row r="1" ht="26" customHeight="1">
      <x:c r="A1" s="1"/>
      <x:c r="B1" s="1"/>
      <x:c r="C1" s="1"/>
      <x:c r="D1" s="1"/>
      <x:c r="E1" s="1"/>
      <x:c r="F1" s="1"/>
      <x:c r="G1" s="1"/>
      <x:c r="H1" s="1"/>
    </x:row>
    <x:row r="2" ht="36" customHeight="1">
      <x:c r="A2" s="28" t="str">
        <x:v>Размеры Корзин · построенные примеры, не измерения</x:v>
      </x:c>
      <x:c r="B2" s="1"/>
      <x:c r="C2" s="1"/>
      <x:c r="D2" s="1"/>
      <x:c r="E2" s="1"/>
      <x:c r="F2" s="1"/>
      <x:c r="G2" s="1"/>
      <x:c r="H2" s="1"/>
    </x:row>
    <x:row r="3" ht="26" customHeight="1">
      <x:c r="A3" s="1"/>
      <x:c r="B3" s="1"/>
      <x:c r="C3" s="1"/>
      <x:c r="D3" s="1"/>
      <x:c r="E3" s="1"/>
      <x:c r="F3" s="1"/>
      <x:c r="G3" s="1"/>
      <x:c r="H3" s="1"/>
    </x:row>
    <x:row r="4" ht="26" customHeight="1">
      <x:c r="A4" s="1"/>
      <x:c r="B4" s="1"/>
      <x:c r="C4" s="1"/>
      <x:c r="D4" s="1"/>
      <x:c r="E4" s="1"/>
      <x:c r="F4" s="1"/>
      <x:c r="G4" s="1"/>
      <x:c r="H4" s="1"/>
    </x:row>
    <x:row r="5" ht="62" customHeight="1">
      <x:c r="A5" s="52" t="str">
        <x:v>Сценарий</x:v>
      </x:c>
      <x:c r="B5" s="52" t="str">
        <x:v>Доля 40+</x:v>
      </x:c>
      <x:c r="C5" s="52" t="str">
        <x:v>Среднее</x:v>
      </x:c>
      <x:c r="D5" s="52" t="str">
        <x:v>Медиана</x:v>
      </x:c>
      <x:c r="E5" s="52" t="str">
        <x:v>Максимум</x:v>
      </x:c>
      <x:c r="F5" s="52" t="str">
        <x:v>Среднее среди 40+</x:v>
      </x:c>
      <x:c r="G5" s="52" t="str">
        <x:v>SKU</x:v>
      </x:c>
      <x:c r="H5" s="52" t="str">
        <x:v>Пользователей</x:v>
      </x:c>
    </x:row>
    <x:row r="6" ht="26" customHeight="1">
      <x:c r="A6" s="1" t="str">
        <x:v>stock_11</x:v>
      </x:c>
      <x:c r="B6" s="8" t="n">
        <x:v>0.11</x:v>
      </x:c>
      <x:c r="C6" s="1" t="n">
        <x:v>60</x:v>
      </x:c>
      <x:c r="D6" s="1" t="n">
        <x:v>24</x:v>
      </x:c>
      <x:c r="E6" s="1" t="n">
        <x:v>300</x:v>
      </x:c>
      <x:c r="F6" s="1" t="n">
        <x:v>299.45454545454544</x:v>
      </x:c>
      <x:c r="G6" s="1" t="n">
        <x:v>24</x:v>
      </x:c>
      <x:c r="H6" s="1" t="n">
        <x:v>5100</x:v>
      </x:c>
    </x:row>
    <x:row r="7" ht="26" customHeight="1">
      <x:c r="A7" s="1" t="str">
        <x:v>stock_11</x:v>
      </x:c>
      <x:c r="B7" s="8" t="n">
        <x:v>0.11</x:v>
      </x:c>
      <x:c r="C7" s="1" t="n">
        <x:v>60</x:v>
      </x:c>
      <x:c r="D7" s="1" t="n">
        <x:v>24</x:v>
      </x:c>
      <x:c r="E7" s="1" t="n">
        <x:v>300</x:v>
      </x:c>
      <x:c r="F7" s="1" t="n">
        <x:v>299.45454545454544</x:v>
      </x:c>
      <x:c r="G7" s="1" t="n">
        <x:v>39</x:v>
      </x:c>
      <x:c r="H7" s="1" t="n">
        <x:v>3800</x:v>
      </x:c>
    </x:row>
    <x:row r="8" ht="26" customHeight="1">
      <x:c r="A8" s="1" t="str">
        <x:v>stock_11</x:v>
      </x:c>
      <x:c r="B8" s="8" t="n">
        <x:v>0.11</x:v>
      </x:c>
      <x:c r="C8" s="1" t="n">
        <x:v>60</x:v>
      </x:c>
      <x:c r="D8" s="1" t="n">
        <x:v>24</x:v>
      </x:c>
      <x:c r="E8" s="1" t="n">
        <x:v>300</x:v>
      </x:c>
      <x:c r="F8" s="1" t="n">
        <x:v>299.45454545454544</x:v>
      </x:c>
      <x:c r="G8" s="1" t="n">
        <x:v>299</x:v>
      </x:c>
      <x:c r="H8" s="1" t="n">
        <x:v>600</x:v>
      </x:c>
    </x:row>
    <x:row r="9" ht="26" customHeight="1">
      <x:c r="A9" s="1" t="str">
        <x:v>stock_11</x:v>
      </x:c>
      <x:c r="B9" s="8" t="n">
        <x:v>0.11</x:v>
      </x:c>
      <x:c r="C9" s="1" t="n">
        <x:v>60</x:v>
      </x:c>
      <x:c r="D9" s="1" t="n">
        <x:v>24</x:v>
      </x:c>
      <x:c r="E9" s="1" t="n">
        <x:v>300</x:v>
      </x:c>
      <x:c r="F9" s="1" t="n">
        <x:v>299.45454545454544</x:v>
      </x:c>
      <x:c r="G9" s="1" t="n">
        <x:v>300</x:v>
      </x:c>
      <x:c r="H9" s="1" t="n">
        <x:v>500</x:v>
      </x:c>
    </x:row>
    <x:row r="10" ht="26" customHeight="1">
      <x:c r="A10" s="1" t="str">
        <x:v>stock_20</x:v>
      </x:c>
      <x:c r="B10" s="8" t="n">
        <x:v>0.2</x:v>
      </x:c>
      <x:c r="C10" s="1" t="n">
        <x:v>60</x:v>
      </x:c>
      <x:c r="D10" s="1" t="n">
        <x:v>24</x:v>
      </x:c>
      <x:c r="E10" s="1" t="n">
        <x:v>300</x:v>
      </x:c>
      <x:c r="F10" s="1" t="n">
        <x:v>182.25</x:v>
      </x:c>
      <x:c r="G10" s="1" t="n">
        <x:v>24</x:v>
      </x:c>
      <x:c r="H10" s="1" t="n">
        <x:v>5100</x:v>
      </x:c>
    </x:row>
    <x:row r="11" ht="26" customHeight="1">
      <x:c r="A11" s="1" t="str">
        <x:v>stock_20</x:v>
      </x:c>
      <x:c r="B11" s="8" t="n">
        <x:v>0.2</x:v>
      </x:c>
      <x:c r="C11" s="1" t="n">
        <x:v>60</x:v>
      </x:c>
      <x:c r="D11" s="1" t="n">
        <x:v>24</x:v>
      </x:c>
      <x:c r="E11" s="1" t="n">
        <x:v>300</x:v>
      </x:c>
      <x:c r="F11" s="1" t="n">
        <x:v>182.25</x:v>
      </x:c>
      <x:c r="G11" s="1" t="n">
        <x:v>39</x:v>
      </x:c>
      <x:c r="H11" s="1" t="n">
        <x:v>2900</x:v>
      </x:c>
    </x:row>
    <x:row r="12" ht="26" customHeight="1">
      <x:c r="A12" s="1" t="str">
        <x:v>stock_20</x:v>
      </x:c>
      <x:c r="B12" s="8" t="n">
        <x:v>0.2</x:v>
      </x:c>
      <x:c r="C12" s="1" t="n">
        <x:v>60</x:v>
      </x:c>
      <x:c r="D12" s="1" t="n">
        <x:v>24</x:v>
      </x:c>
      <x:c r="E12" s="1" t="n">
        <x:v>300</x:v>
      </x:c>
      <x:c r="F12" s="1" t="n">
        <x:v>182.25</x:v>
      </x:c>
      <x:c r="G12" s="1" t="n">
        <x:v>182</x:v>
      </x:c>
      <x:c r="H12" s="1" t="n">
        <x:v>1617</x:v>
      </x:c>
    </x:row>
    <x:row r="13" ht="26" customHeight="1">
      <x:c r="A13" s="1" t="str">
        <x:v>stock_20</x:v>
      </x:c>
      <x:c r="B13" s="8" t="n">
        <x:v>0.2</x:v>
      </x:c>
      <x:c r="C13" s="1" t="n">
        <x:v>60</x:v>
      </x:c>
      <x:c r="D13" s="1" t="n">
        <x:v>24</x:v>
      </x:c>
      <x:c r="E13" s="1" t="n">
        <x:v>300</x:v>
      </x:c>
      <x:c r="F13" s="1" t="n">
        <x:v>182.25</x:v>
      </x:c>
      <x:c r="G13" s="1" t="n">
        <x:v>183</x:v>
      </x:c>
      <x:c r="H13" s="1" t="n">
        <x:v>382</x:v>
      </x:c>
    </x:row>
    <x:row r="14" ht="26" customHeight="1">
      <x:c r="A14" s="1" t="str">
        <x:v>stock_20</x:v>
      </x:c>
      <x:c r="B14" s="8" t="n">
        <x:v>0.2</x:v>
      </x:c>
      <x:c r="C14" s="1" t="n">
        <x:v>60</x:v>
      </x:c>
      <x:c r="D14" s="1" t="n">
        <x:v>24</x:v>
      </x:c>
      <x:c r="E14" s="1" t="n">
        <x:v>300</x:v>
      </x:c>
      <x:c r="F14" s="1" t="n">
        <x:v>182.25</x:v>
      </x:c>
      <x:c r="G14" s="1" t="n">
        <x:v>300</x:v>
      </x:c>
      <x:c r="H14" s="1" t="n">
        <x:v>1</x:v>
      </x:c>
    </x:row>
    <x:row r="15" ht="26" customHeight="1">
      <x:c r="A15" s="1" t="str">
        <x:v>stock_30</x:v>
      </x:c>
      <x:c r="B15" s="8" t="n">
        <x:v>0.3</x:v>
      </x:c>
      <x:c r="C15" s="1" t="n">
        <x:v>60</x:v>
      </x:c>
      <x:c r="D15" s="1" t="n">
        <x:v>24</x:v>
      </x:c>
      <x:c r="E15" s="1" t="n">
        <x:v>300</x:v>
      </x:c>
      <x:c r="F15" s="1" t="n">
        <x:v>134.5</x:v>
      </x:c>
      <x:c r="G15" s="1" t="n">
        <x:v>24</x:v>
      </x:c>
      <x:c r="H15" s="1" t="n">
        <x:v>5100</x:v>
      </x:c>
    </x:row>
    <x:row r="16" ht="26" customHeight="1">
      <x:c r="A16" s="1" t="str">
        <x:v>stock_30</x:v>
      </x:c>
      <x:c r="B16" s="8" t="n">
        <x:v>0.3</x:v>
      </x:c>
      <x:c r="C16" s="1" t="n">
        <x:v>60</x:v>
      </x:c>
      <x:c r="D16" s="1" t="n">
        <x:v>24</x:v>
      </x:c>
      <x:c r="E16" s="1" t="n">
        <x:v>300</x:v>
      </x:c>
      <x:c r="F16" s="1" t="n">
        <x:v>134.5</x:v>
      </x:c>
      <x:c r="G16" s="1" t="n">
        <x:v>39</x:v>
      </x:c>
      <x:c r="H16" s="1" t="n">
        <x:v>1900</x:v>
      </x:c>
    </x:row>
    <x:row r="17" ht="26" customHeight="1">
      <x:c r="A17" s="1" t="str">
        <x:v>stock_30</x:v>
      </x:c>
      <x:c r="B17" s="8" t="n">
        <x:v>0.3</x:v>
      </x:c>
      <x:c r="C17" s="1" t="n">
        <x:v>60</x:v>
      </x:c>
      <x:c r="D17" s="1" t="n">
        <x:v>24</x:v>
      </x:c>
      <x:c r="E17" s="1" t="n">
        <x:v>300</x:v>
      </x:c>
      <x:c r="F17" s="1" t="n">
        <x:v>134.5</x:v>
      </x:c>
      <x:c r="G17" s="1" t="n">
        <x:v>134</x:v>
      </x:c>
      <x:c r="H17" s="1" t="n">
        <x:v>1665</x:v>
      </x:c>
    </x:row>
    <x:row r="18" ht="26" customHeight="1">
      <x:c r="A18" s="1" t="str">
        <x:v>stock_30</x:v>
      </x:c>
      <x:c r="B18" s="8" t="n">
        <x:v>0.3</x:v>
      </x:c>
      <x:c r="C18" s="1" t="n">
        <x:v>60</x:v>
      </x:c>
      <x:c r="D18" s="1" t="n">
        <x:v>24</x:v>
      </x:c>
      <x:c r="E18" s="1" t="n">
        <x:v>300</x:v>
      </x:c>
      <x:c r="F18" s="1" t="n">
        <x:v>134.5</x:v>
      </x:c>
      <x:c r="G18" s="1" t="n">
        <x:v>135</x:v>
      </x:c>
      <x:c r="H18" s="1" t="n">
        <x:v>1334</x:v>
      </x:c>
    </x:row>
    <x:row r="19" ht="26" customHeight="1">
      <x:c r="A19" s="1" t="str">
        <x:v>stock_30</x:v>
      </x:c>
      <x:c r="B19" s="8" t="n">
        <x:v>0.3</x:v>
      </x:c>
      <x:c r="C19" s="1" t="n">
        <x:v>60</x:v>
      </x:c>
      <x:c r="D19" s="1" t="n">
        <x:v>24</x:v>
      </x:c>
      <x:c r="E19" s="1" t="n">
        <x:v>300</x:v>
      </x:c>
      <x:c r="F19" s="1" t="n">
        <x:v>134.5</x:v>
      </x:c>
      <x:c r="G19" s="1" t="n">
        <x:v>300</x:v>
      </x:c>
      <x:c r="H19" s="1" t="n">
        <x:v>1</x:v>
      </x:c>
    </x:row>
    <x:row r="20" ht="26" customHeight="1">
      <x:c r="A20" s="1" t="str">
        <x:v>stock_40</x:v>
      </x:c>
      <x:c r="B20" s="8" t="n">
        <x:v>0.4</x:v>
      </x:c>
      <x:c r="C20" s="1" t="n">
        <x:v>60</x:v>
      </x:c>
      <x:c r="D20" s="1" t="n">
        <x:v>24</x:v>
      </x:c>
      <x:c r="E20" s="1" t="n">
        <x:v>300</x:v>
      </x:c>
      <x:c r="F20" s="1" t="n">
        <x:v>110.625</x:v>
      </x:c>
      <x:c r="G20" s="1" t="n">
        <x:v>24</x:v>
      </x:c>
      <x:c r="H20" s="1" t="n">
        <x:v>5100</x:v>
      </x:c>
    </x:row>
    <x:row r="21" ht="26" customHeight="1">
      <x:c r="A21" s="1" t="str">
        <x:v>stock_40</x:v>
      </x:c>
      <x:c r="B21" s="8" t="n">
        <x:v>0.4</x:v>
      </x:c>
      <x:c r="C21" s="1" t="n">
        <x:v>60</x:v>
      </x:c>
      <x:c r="D21" s="1" t="n">
        <x:v>24</x:v>
      </x:c>
      <x:c r="E21" s="1" t="n">
        <x:v>300</x:v>
      </x:c>
      <x:c r="F21" s="1" t="n">
        <x:v>110.625</x:v>
      </x:c>
      <x:c r="G21" s="1" t="n">
        <x:v>39</x:v>
      </x:c>
      <x:c r="H21" s="1" t="n">
        <x:v>900</x:v>
      </x:c>
    </x:row>
    <x:row r="22" ht="26" customHeight="1">
      <x:c r="A22" s="1" t="str">
        <x:v>stock_40</x:v>
      </x:c>
      <x:c r="B22" s="8" t="n">
        <x:v>0.4</x:v>
      </x:c>
      <x:c r="C22" s="1" t="n">
        <x:v>60</x:v>
      </x:c>
      <x:c r="D22" s="1" t="n">
        <x:v>24</x:v>
      </x:c>
      <x:c r="E22" s="1" t="n">
        <x:v>300</x:v>
      </x:c>
      <x:c r="F22" s="1" t="n">
        <x:v>110.625</x:v>
      </x:c>
      <x:c r="G22" s="1" t="n">
        <x:v>110</x:v>
      </x:c>
      <x:c r="H22" s="1" t="n">
        <x:v>1689</x:v>
      </x:c>
    </x:row>
    <x:row r="23" ht="26" customHeight="1">
      <x:c r="A23" s="1" t="str">
        <x:v>stock_40</x:v>
      </x:c>
      <x:c r="B23" s="8" t="n">
        <x:v>0.4</x:v>
      </x:c>
      <x:c r="C23" s="1" t="n">
        <x:v>60</x:v>
      </x:c>
      <x:c r="D23" s="1" t="n">
        <x:v>24</x:v>
      </x:c>
      <x:c r="E23" s="1" t="n">
        <x:v>300</x:v>
      </x:c>
      <x:c r="F23" s="1" t="n">
        <x:v>110.625</x:v>
      </x:c>
      <x:c r="G23" s="1" t="n">
        <x:v>111</x:v>
      </x:c>
      <x:c r="H23" s="1" t="n">
        <x:v>2310</x:v>
      </x:c>
    </x:row>
    <x:row r="24" ht="26" customHeight="1">
      <x:c r="A24" s="1" t="str">
        <x:v>stock_40</x:v>
      </x:c>
      <x:c r="B24" s="8" t="n">
        <x:v>0.4</x:v>
      </x:c>
      <x:c r="C24" s="1" t="n">
        <x:v>60</x:v>
      </x:c>
      <x:c r="D24" s="1" t="n">
        <x:v>24</x:v>
      </x:c>
      <x:c r="E24" s="1" t="n">
        <x:v>300</x:v>
      </x:c>
      <x:c r="F24" s="1" t="n">
        <x:v>110.625</x:v>
      </x:c>
      <x:c r="G24" s="1" t="n">
        <x:v>300</x:v>
      </x:c>
      <x:c r="H24" s="1" t="n">
        <x:v>1</x:v>
      </x:c>
    </x:row>
    <x:row r="25" ht="26" customHeight="1">
      <x:c r="A25" s="1" t="str">
        <x:v>stock_49</x:v>
      </x:c>
      <x:c r="B25" s="8" t="n">
        <x:v>0.49</x:v>
      </x:c>
      <x:c r="C25" s="1" t="n">
        <x:v>60</x:v>
      </x:c>
      <x:c r="D25" s="1" t="n">
        <x:v>24</x:v>
      </x:c>
      <x:c r="E25" s="1" t="n">
        <x:v>300</x:v>
      </x:c>
      <x:c r="F25" s="1" t="n">
        <x:v>97.46938775510205</x:v>
      </x:c>
      <x:c r="G25" s="1" t="n">
        <x:v>24</x:v>
      </x:c>
      <x:c r="H25" s="1" t="n">
        <x:v>5100</x:v>
      </x:c>
    </x:row>
    <x:row r="26" ht="26" customHeight="1">
      <x:c r="A26" s="1" t="str">
        <x:v>stock_49</x:v>
      </x:c>
      <x:c r="B26" s="8" t="n">
        <x:v>0.49</x:v>
      </x:c>
      <x:c r="C26" s="1" t="n">
        <x:v>60</x:v>
      </x:c>
      <x:c r="D26" s="1" t="n">
        <x:v>24</x:v>
      </x:c>
      <x:c r="E26" s="1" t="n">
        <x:v>300</x:v>
      </x:c>
      <x:c r="F26" s="1" t="n">
        <x:v>97.46938775510205</x:v>
      </x:c>
      <x:c r="G26" s="1" t="n">
        <x:v>97</x:v>
      </x:c>
      <x:c r="H26" s="1" t="n">
        <x:v>2802</x:v>
      </x:c>
    </x:row>
    <x:row r="27" ht="26" customHeight="1">
      <x:c r="A27" s="1" t="str">
        <x:v>stock_49</x:v>
      </x:c>
      <x:c r="B27" s="8" t="n">
        <x:v>0.49</x:v>
      </x:c>
      <x:c r="C27" s="1" t="n">
        <x:v>60</x:v>
      </x:c>
      <x:c r="D27" s="1" t="n">
        <x:v>24</x:v>
      </x:c>
      <x:c r="E27" s="1" t="n">
        <x:v>300</x:v>
      </x:c>
      <x:c r="F27" s="1" t="n">
        <x:v>97.46938775510205</x:v>
      </x:c>
      <x:c r="G27" s="1" t="n">
        <x:v>98</x:v>
      </x:c>
      <x:c r="H27" s="1" t="n">
        <x:v>2097</x:v>
      </x:c>
    </x:row>
    <x:row r="28" ht="26" customHeight="1">
      <x:c r="A28" s="1" t="str">
        <x:v>stock_49</x:v>
      </x:c>
      <x:c r="B28" s="8" t="n">
        <x:v>0.49</x:v>
      </x:c>
      <x:c r="C28" s="1" t="n">
        <x:v>60</x:v>
      </x:c>
      <x:c r="D28" s="1" t="n">
        <x:v>24</x:v>
      </x:c>
      <x:c r="E28" s="1" t="n">
        <x:v>300</x:v>
      </x:c>
      <x:c r="F28" s="1" t="n">
        <x:v>97.46938775510205</x:v>
      </x:c>
      <x:c r="G28" s="1" t="n">
        <x:v>300</x:v>
      </x:c>
      <x:c r="H28" s="1" t="n">
        <x:v>1</x:v>
      </x:c>
    </x:row>
    <x:row r="29" ht="26" customHeight="1">
      <x:c r="A29" s="1"/>
      <x:c r="B29" s="8"/>
      <x:c r="C29" s="1"/>
      <x:c r="D29" s="1"/>
      <x:c r="E29" s="1"/>
      <x:c r="F29" s="1"/>
      <x:c r="G29" s="1"/>
      <x:c r="H29" s="1"/>
    </x:row>
    <x:row r="30" ht="26" customHeight="1">
      <x:c r="A30" s="1"/>
      <x:c r="B30" s="8"/>
      <x:c r="C30" s="1"/>
      <x:c r="D30" s="1"/>
      <x:c r="E30" s="1"/>
      <x:c r="F30" s="1"/>
      <x:c r="G30" s="1"/>
      <x:c r="H30" s="1"/>
    </x:row>
    <x:row r="31" ht="26" customHeight="1">
      <x:c r="A31" s="1"/>
      <x:c r="B31" s="8"/>
      <x:c r="C31" s="1"/>
      <x:c r="D31" s="1"/>
      <x:c r="E31" s="1"/>
      <x:c r="F31" s="1"/>
      <x:c r="G31" s="1"/>
      <x:c r="H31" s="1"/>
    </x:row>
    <x:row r="32" ht="26" customHeight="1">
      <x:c r="A32" s="1"/>
      <x:c r="B32" s="8"/>
      <x:c r="C32" s="1"/>
      <x:c r="D32" s="1"/>
      <x:c r="E32" s="1"/>
      <x:c r="F32" s="1"/>
      <x:c r="G32" s="1"/>
      <x:c r="H32" s="1"/>
    </x:row>
    <x:row r="33" ht="26" customHeight="1">
      <x:c r="A33" s="1"/>
      <x:c r="B33" s="8"/>
      <x:c r="C33" s="1"/>
      <x:c r="D33" s="1"/>
      <x:c r="E33" s="1"/>
      <x:c r="F33" s="1"/>
      <x:c r="G33" s="1"/>
      <x:c r="H33" s="1"/>
    </x:row>
    <x:row r="34" ht="26" customHeight="1">
      <x:c r="A34" s="1"/>
      <x:c r="B34" s="8"/>
      <x:c r="C34" s="1"/>
      <x:c r="D34" s="1"/>
      <x:c r="E34" s="1"/>
      <x:c r="F34" s="1"/>
      <x:c r="G34" s="1"/>
      <x:c r="H34" s="1"/>
    </x:row>
    <x:row r="35" ht="26" customHeight="1">
      <x:c r="A35" s="1"/>
      <x:c r="B35" s="8"/>
      <x:c r="C35" s="1"/>
      <x:c r="D35" s="1"/>
      <x:c r="E35" s="1"/>
      <x:c r="F35" s="1"/>
      <x:c r="G35" s="1"/>
      <x:c r="H35" s="1"/>
    </x:row>
    <x:row r="36" ht="26" customHeight="1">
      <x:c r="A36" s="1" t="str">
        <x:v>Нижняя необходимая граница</x:v>
      </x:c>
      <x:c r="B36" s="8" t="n">
        <x:v>0.10919540229885058</x:v>
      </x:c>
      <x:c r="C36" s="1"/>
      <x:c r="D36" s="1"/>
      <x:c r="E36" s="1"/>
      <x:c r="F36" s="1"/>
      <x:c r="G36" s="1"/>
      <x:c r="H36" s="1"/>
    </x:row>
    <x:row r="37" ht="26" customHeight="1">
      <x:c r="A37" s="1" t="str">
        <x:v>Верхняя необходимая граница</x:v>
      </x:c>
      <x:c r="B37" s="8" t="n">
        <x:v>0.5</x:v>
      </x:c>
      <x:c r="C37" s="1"/>
      <x:c r="D37" s="1"/>
      <x:c r="E37" s="1"/>
      <x:c r="F37" s="1"/>
      <x:c r="G37" s="1"/>
      <x:c r="H37" s="1"/>
    </x:row>
    <x:row r="38" ht="26" customHeight="1">
      <x:c r="A38" s="1"/>
      <x:c r="B38" s="1"/>
      <x:c r="C38" s="1"/>
      <x:c r="D38" s="1"/>
      <x:c r="E38" s="1"/>
      <x:c r="F38" s="1"/>
      <x:c r="G38" s="1"/>
      <x:c r="H38" s="1"/>
    </x:row>
    <x:row r="39" ht="60" customHeight="1">
      <x:c r="A39" s="26" t="str">
        <x:v>E[X] ≤ 0,5×24 +(0,5−p)×39 +300p. Отсюда p≥19/174; медиана даёт p≤0,5. Не доверительный интервал.</x:v>
      </x:c>
      <x:c r="B39" s="1"/>
      <x:c r="C39" s="1"/>
      <x:c r="D39" s="1"/>
      <x:c r="E39" s="1"/>
      <x:c r="F39" s="1"/>
      <x:c r="G39" s="1"/>
      <x:c r="H39" s="1"/>
    </x:row>
    <x:row r="40" ht="26" customHeight="1">
      <x:c r="A40" s="1"/>
      <x:c r="B40" s="1"/>
      <x:c r="C40" s="1"/>
      <x:c r="D40" s="1"/>
      <x:c r="E40" s="1"/>
      <x:c r="F40" s="1"/>
      <x:c r="G40" s="1"/>
      <x:c r="H40" s="1"/>
    </x:row>
    <x:row r="41" ht="26" customHeight="1">
      <x:c r="A41" s="1"/>
      <x:c r="B41" s="1"/>
      <x:c r="C41" s="1"/>
      <x:c r="D41" s="1"/>
      <x:c r="E41" s="1"/>
      <x:c r="F41" s="1"/>
      <x:c r="G41" s="1"/>
      <x:c r="H41" s="1"/>
    </x:row>
    <x:row r="42" ht="26" customHeight="1">
      <x:c r="A42" s="1"/>
      <x:c r="B42" s="1"/>
      <x:c r="C42" s="1"/>
      <x:c r="D42" s="1"/>
      <x:c r="E42" s="1"/>
      <x:c r="F42" s="1"/>
      <x:c r="G42" s="1"/>
      <x:c r="H42" s="1"/>
    </x:row>
    <x:row r="43" ht="26" customHeight="1">
      <x:c r="A43" s="1"/>
      <x:c r="B43" s="1"/>
      <x:c r="C43" s="1"/>
      <x:c r="D43" s="1"/>
      <x:c r="E43" s="1"/>
      <x:c r="F43" s="1"/>
      <x:c r="G43" s="1"/>
      <x:c r="H43" s="1"/>
    </x:row>
    <x:row r="44" ht="26" customHeight="1">
      <x:c r="A44" s="1"/>
      <x:c r="B44" s="1"/>
      <x:c r="C44" s="1"/>
      <x:c r="D44" s="1"/>
      <x:c r="E44" s="1"/>
      <x:c r="F44" s="1"/>
      <x:c r="G44" s="1"/>
      <x:c r="H44" s="1"/>
    </x:row>
    <x:row r="45" ht="26" customHeight="1">
      <x:c r="A45" s="1"/>
      <x:c r="B45" s="1"/>
      <x:c r="C45" s="1"/>
      <x:c r="D45" s="1"/>
      <x:c r="E45" s="1"/>
      <x:c r="F45" s="1"/>
      <x:c r="G45" s="1"/>
      <x:c r="H45" s="1"/>
    </x:row>
  </x:sheetData>
  <x:mergeCells>
    <x:mergeCell ref="A2:F2"/>
    <x:mergeCell ref="A39:H41"/>
  </x:mergeCells>
  <x:pageMargins left="0.7" right="0.7" top="0.75" bottom="0.75" header="0.3" footer="0.3"/>
</x:worksheet>
</file>

<file path=xl/worksheets/sheet19.xml><?xml version="1.0" encoding="utf-8"?>
<x:worksheet xmlns:x="http://schemas.openxmlformats.org/spreadsheetml/2006/main">
  <x:sheetPr>
    <x:tabColor rgb="FF477A68"/>
  </x:sheetPr>
  <x:sheetViews>
    <x:sheetView showGridLines="0" workbookViewId="0">
      <x:pane xSplit="2" ySplit="5" topLeftCell="C6" activePane="bottomRight" state="frozen"/>
    </x:sheetView>
  </x:sheetViews>
  <x:sheetFormatPr defaultRowHeight="15"/>
  <x:cols>
    <x:col min="1" max="1" width="35"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s>
  <x:sheetData>
    <x:row r="1" ht="26" customHeight="1">
      <x:c r="A1" s="1"/>
      <x:c r="B1" s="1"/>
      <x:c r="C1" s="1"/>
      <x:c r="D1" s="1"/>
      <x:c r="E1" s="1"/>
      <x:c r="F1" s="1"/>
      <x:c r="G1" s="1"/>
    </x:row>
    <x:row r="2" ht="36" customHeight="1">
      <x:c r="A2" s="28" t="str">
        <x:v>Порог победы H1 · прочие допущения фиксированы</x:v>
      </x:c>
      <x:c r="B2" s="1"/>
      <x:c r="C2" s="1"/>
      <x:c r="D2" s="1"/>
      <x:c r="E2" s="1"/>
      <x:c r="F2" s="1"/>
      <x:c r="G2" s="1"/>
    </x:row>
    <x:row r="3" ht="26" customHeight="1">
      <x:c r="A3" s="1"/>
      <x:c r="B3" s="1" t="str">
        <x:f>'Версия срезов'!G2</x:f>
        <x:v>Актуально</x:v>
      </x:c>
      <x:c r="C3" s="1"/>
      <x:c r="D3" s="1"/>
      <x:c r="E3" s="1"/>
      <x:c r="F3" s="1"/>
      <x:c r="G3" s="1"/>
    </x:row>
    <x:row r="4" ht="26" customHeight="1">
      <x:c r="A4" s="1"/>
      <x:c r="B4" s="1"/>
      <x:c r="C4" s="1"/>
      <x:c r="D4" s="1"/>
      <x:c r="E4" s="1"/>
      <x:c r="F4" s="1"/>
      <x:c r="G4" s="1"/>
    </x:row>
    <x:row r="5" ht="62" customHeight="1">
      <x:c r="A5" s="52" t="str">
        <x:v>Потребность H1 среди 40+</x:v>
      </x:c>
      <x:c r="B5" s="52" t="str">
        <x:v>Global CR</x:v>
      </x:c>
      <x:c r="C5" s="52" t="str">
        <x:v>Охват H4 ×</x:v>
      </x:c>
      <x:c r="D5" s="52" t="str">
        <x:v>Порог доли 40+</x:v>
      </x:c>
      <x:c r="E5" s="52" t="str">
        <x:v>В границах кейса</x:v>
      </x:c>
      <x:c r="F5" s="52" t="str">
        <x:v>H1−H4 при 50%, п.п.</x:v>
      </x:c>
      <x:c r="G5" s="1"/>
    </x:row>
    <x:row r="6" ht="26" customHeight="1">
      <x:c r="A6" s="8">
        <x:v>0.25</x:v>
      </x:c>
      <x:c r="B6" s="8">
        <x:v>0.12</x:v>
      </x:c>
      <x:c r="C6" s="1">
        <x:v>0.75</x:v>
      </x:c>
      <x:c r="D6" s="8">
        <x:v>0.97626186131916115</x:v>
      </x:c>
      <x:c r="E6" s="1" t="inlineStr">
        <x:is>
          <x:t>Нет</x:t>
        </x:is>
      </x:c>
      <x:c r="F6" s="1">
        <x:v>-0.065243952055296595</x:v>
      </x:c>
      <x:c r="G6" s="1"/>
    </x:row>
    <x:row r="7" ht="26" customHeight="1">
      <x:c r="A7" s="8">
        <x:v>0.25</x:v>
      </x:c>
      <x:c r="B7" s="8">
        <x:v>0.12</x:v>
      </x:c>
      <x:c r="C7" s="1">
        <x:v>1</x:v>
      </x:c>
      <x:c r="D7" s="8" t="inlineStr">
        <x:is>
          <x:t>Нет пересечения</x:t>
        </x:is>
      </x:c>
      <x:c r="E7" s="1" t="inlineStr">
        <x:is>
          <x:t>Нет</x:t>
        </x:is>
      </x:c>
      <x:c r="F7" s="1">
        <x:v>-0.10281464855178388</x:v>
      </x:c>
      <x:c r="G7" s="1"/>
    </x:row>
    <x:row r="8" ht="26" customHeight="1">
      <x:c r="A8" s="8">
        <x:v>0.25</x:v>
      </x:c>
      <x:c r="B8" s="8">
        <x:v>0.12</x:v>
      </x:c>
      <x:c r="C8" s="1">
        <x:v>1.25</x:v>
      </x:c>
      <x:c r="D8" s="8" t="inlineStr">
        <x:is>
          <x:t>Нет пересечения</x:t>
        </x:is>
      </x:c>
      <x:c r="E8" s="1" t="inlineStr">
        <x:is>
          <x:t>Нет</x:t>
        </x:is>
      </x:c>
      <x:c r="F8" s="1">
        <x:v>-0.14038534504827321</x:v>
      </x:c>
      <x:c r="G8" s="1"/>
    </x:row>
    <x:row r="9" ht="26" customHeight="1">
      <x:c r="A9" s="8">
        <x:v>0.40000000000000002</x:v>
      </x:c>
      <x:c r="B9" s="8">
        <x:v>0.12</x:v>
      </x:c>
      <x:c r="C9" s="1">
        <x:v>0.75</x:v>
      </x:c>
      <x:c r="D9" s="8">
        <x:v>0.66977958718696096</x:v>
      </x:c>
      <x:c r="E9" s="1" t="inlineStr">
        <x:is>
          <x:t>Нет</x:t>
        </x:is>
      </x:c>
      <x:c r="F9" s="1">
        <x:v>-0.036763069594793266</x:v>
      </x:c>
      <x:c r="G9" s="1"/>
    </x:row>
    <x:row r="10" ht="26" customHeight="1">
      <x:c r="A10" s="8">
        <x:v>0.40000000000000002</x:v>
      </x:c>
      <x:c r="B10" s="8">
        <x:v>0.12</x:v>
      </x:c>
      <x:c r="C10" s="1">
        <x:v>1</x:v>
      </x:c>
      <x:c r="D10" s="8">
        <x:v>0.83857375676218382</x:v>
      </x:c>
      <x:c r="E10" s="1" t="inlineStr">
        <x:is>
          <x:t>Нет</x:t>
        </x:is>
      </x:c>
      <x:c r="F10" s="1">
        <x:v>-0.074333766091280548</x:v>
      </x:c>
      <x:c r="G10" s="1"/>
    </x:row>
    <x:row r="11" ht="26" customHeight="1">
      <x:c r="A11" s="8">
        <x:v>0.40000000000000002</x:v>
      </x:c>
      <x:c r="B11" s="8">
        <x:v>0.12</x:v>
      </x:c>
      <x:c r="C11" s="1">
        <x:v>1.25</x:v>
      </x:c>
      <x:c r="D11" s="8" t="inlineStr">
        <x:is>
          <x:t>Нет пересечения</x:t>
        </x:is>
      </x:c>
      <x:c r="E11" s="1" t="inlineStr">
        <x:is>
          <x:t>Нет</x:t>
        </x:is>
      </x:c>
      <x:c r="F11" s="1">
        <x:v>-0.11190446258776988</x:v>
      </x:c>
      <x:c r="G11" s="1"/>
    </x:row>
    <x:row r="12" ht="26" customHeight="1">
      <x:c r="A12" s="8">
        <x:v>0.59999999999999998</x:v>
      </x:c>
      <x:c r="B12" s="8">
        <x:v>0.12</x:v>
      </x:c>
      <x:c r="C12" s="1">
        <x:v>0.75</x:v>
      </x:c>
      <x:c r="D12" s="8">
        <x:v>0.49612566395761315</x:v>
      </x:c>
      <x:c r="E12" s="1" t="inlineStr">
        <x:is>
          <x:t>Да</x:t>
        </x:is>
      </x:c>
      <x:c r="F12" s="1">
        <x:v>0.0012114403525430861</x:v>
      </x:c>
      <x:c r="G12" s="1"/>
    </x:row>
    <x:row r="13" ht="26" customHeight="1">
      <x:c r="A13" s="8">
        <x:v>0.59999999999999998</x:v>
      </x:c>
      <x:c r="B13" s="8">
        <x:v>0.12</x:v>
      </x:c>
      <x:c r="C13" s="1">
        <x:v>1</x:v>
      </x:c>
      <x:c r="D13" s="8">
        <x:v>0.61300591698184848</x:v>
      </x:c>
      <x:c r="E13" s="1" t="inlineStr">
        <x:is>
          <x:t>Нет</x:t>
        </x:is>
      </x:c>
      <x:c r="F13" s="1">
        <x:v>-0.036359256143944196</x:v>
      </x:c>
      <x:c r="G13" s="1"/>
    </x:row>
    <x:row r="14" ht="26" customHeight="1">
      <x:c r="A14" s="8">
        <x:v>0.59999999999999998</x:v>
      </x:c>
      <x:c r="B14" s="8">
        <x:v>0.12</x:v>
      </x:c>
      <x:c r="C14" s="1">
        <x:v>1.25</x:v>
      </x:c>
      <x:c r="D14" s="8">
        <x:v>0.72606470981230564</x:v>
      </x:c>
      <x:c r="E14" s="1" t="inlineStr">
        <x:is>
          <x:t>Нет</x:t>
        </x:is>
      </x:c>
      <x:c r="F14" s="1">
        <x:v>-0.073929952640433533</x:v>
      </x:c>
      <x:c r="G14" s="1"/>
    </x:row>
    <x:row r="15" ht="26" customHeight="1">
      <x:c r="A15" s="8">
        <x:v>0.80000000000000004</x:v>
      </x:c>
      <x:c r="B15" s="8">
        <x:v>0.12</x:v>
      </x:c>
      <x:c r="C15" s="1">
        <x:v>0.75</x:v>
      </x:c>
      <x:c r="D15" s="8">
        <x:v>0.40286423344478461</x:v>
      </x:c>
      <x:c r="E15" s="1" t="inlineStr">
        <x:is>
          <x:t>Да</x:t>
        </x:is>
      </x:c>
      <x:c r="F15" s="1">
        <x:v>0.039185950299881589</x:v>
      </x:c>
      <x:c r="G15" s="1"/>
    </x:row>
    <x:row r="16" ht="26" customHeight="1">
      <x:c r="A16" s="8">
        <x:v>0.80000000000000004</x:v>
      </x:c>
      <x:c r="B16" s="8">
        <x:v>0.12</x:v>
      </x:c>
      <x:c r="C16" s="1">
        <x:v>1</x:v>
      </x:c>
      <x:c r="D16" s="8">
        <x:v>0.49612566395761304</x:v>
      </x:c>
      <x:c r="E16" s="1" t="inlineStr">
        <x:is>
          <x:t>Да</x:t>
        </x:is>
      </x:c>
      <x:c r="F16" s="1">
        <x:v>0.0016152538033943065</x:v>
      </x:c>
      <x:c r="G16" s="1"/>
    </x:row>
    <x:row r="17" ht="26" customHeight="1">
      <x:c r="A17" s="8">
        <x:v>0.80000000000000004</x:v>
      </x:c>
      <x:c r="B17" s="8">
        <x:v>0.12</x:v>
      </x:c>
      <x:c r="C17" s="1">
        <x:v>1.25</x:v>
      </x:c>
      <x:c r="D17" s="8">
        <x:v>0.58430307676881887</x:v>
      </x:c>
      <x:c r="E17" s="1" t="inlineStr">
        <x:is>
          <x:t>Нет</x:t>
        </x:is>
      </x:c>
      <x:c r="F17" s="1">
        <x:v>-0.03595544269309503</x:v>
      </x:c>
      <x:c r="G17" s="1"/>
    </x:row>
    <x:row r="18" ht="26" customHeight="1">
      <x:c r="A18" s="8">
        <x:v>1</x:v>
      </x:c>
      <x:c r="B18" s="8">
        <x:v>0.12</x:v>
      </x:c>
      <x:c r="C18" s="1">
        <x:v>0.75</x:v>
      </x:c>
      <x:c r="D18" s="8">
        <x:v>0.34285985228156579</x:v>
      </x:c>
      <x:c r="E18" s="1" t="inlineStr">
        <x:is>
          <x:t>Да</x:t>
        </x:is>
      </x:c>
      <x:c r="F18" s="1">
        <x:v>0.077160460247220064</x:v>
      </x:c>
      <x:c r="G18" s="1"/>
    </x:row>
    <x:row r="19" ht="26" customHeight="1">
      <x:c r="A19" s="8">
        <x:v>1</x:v>
      </x:c>
      <x:c r="B19" s="8">
        <x:v>0.12</x:v>
      </x:c>
      <x:c r="C19" s="1">
        <x:v>1</x:v>
      </x:c>
      <x:c r="D19" s="8">
        <x:v>0.42208417238244123</x:v>
      </x:c>
      <x:c r="E19" s="1" t="inlineStr">
        <x:is>
          <x:t>Да</x:t>
        </x:is>
      </x:c>
      <x:c r="F19" s="1">
        <x:v>0.039589763750732782</x:v>
      </x:c>
      <x:c r="G19" s="1"/>
    </x:row>
    <x:row r="20" ht="26" customHeight="1">
      <x:c r="A20" s="8">
        <x:v>1</x:v>
      </x:c>
      <x:c r="B20" s="8">
        <x:v>0.12</x:v>
      </x:c>
      <x:c r="C20" s="1">
        <x:v>1.25</x:v>
      </x:c>
      <x:c r="D20" s="8">
        <x:v>0.49612566395761204</x:v>
      </x:c>
      <x:c r="E20" s="1" t="inlineStr">
        <x:is>
          <x:t>Да</x:t>
        </x:is>
      </x:c>
      <x:c r="F20" s="1">
        <x:v>0.0020190672542434451</x:v>
      </x:c>
      <x:c r="G20" s="1"/>
    </x:row>
    <x:row r="21" ht="26" customHeight="1">
      <x:c r="A21" s="8">
        <x:v>0.25</x:v>
      </x:c>
      <x:c r="B21" s="8">
        <x:v>0.14999999999999999</x:v>
      </x:c>
      <x:c r="C21" s="1">
        <x:v>0.75</x:v>
      </x:c>
      <x:c r="D21" s="8">
        <x:v>0.97404798594336506</x:v>
      </x:c>
      <x:c r="E21" s="1" t="inlineStr">
        <x:is>
          <x:t>Нет</x:t>
        </x:is>
      </x:c>
      <x:c r="F21" s="1">
        <x:v>-0.076823503327970818</x:v>
      </x:c>
      <x:c r="G21" s="1"/>
    </x:row>
    <x:row r="22" ht="26" customHeight="1">
      <x:c r="A22" s="8">
        <x:v>0.25</x:v>
      </x:c>
      <x:c r="B22" s="8">
        <x:v>0.14999999999999999</x:v>
      </x:c>
      <x:c r="C22" s="1">
        <x:v>1</x:v>
      </x:c>
      <x:c r="D22" s="8" t="inlineStr">
        <x:is>
          <x:t>Нет пересечения</x:t>
        </x:is>
      </x:c>
      <x:c r="E22" s="1" t="inlineStr">
        <x:is>
          <x:t>Нет</x:t>
        </x:is>
      </x:c>
      <x:c r="F22" s="1">
        <x:v>-0.12458313523990484</x:v>
      </x:c>
      <x:c r="G22" s="1"/>
    </x:row>
    <x:row r="23" ht="26" customHeight="1">
      <x:c r="A23" s="8">
        <x:v>0.25</x:v>
      </x:c>
      <x:c r="B23" s="8">
        <x:v>0.14999999999999999</x:v>
      </x:c>
      <x:c r="C23" s="1">
        <x:v>1.25</x:v>
      </x:c>
      <x:c r="D23" s="8" t="inlineStr">
        <x:is>
          <x:t>Нет пересечения</x:t>
        </x:is>
      </x:c>
      <x:c r="E23" s="1" t="inlineStr">
        <x:is>
          <x:t>Нет</x:t>
        </x:is>
      </x:c>
      <x:c r="F23" s="1">
        <x:v>-0.17234276715184099</x:v>
      </x:c>
      <x:c r="G23" s="1"/>
    </x:row>
    <x:row r="24" ht="26" customHeight="1">
      <x:c r="A24" s="8">
        <x:v>0.40000000000000002</x:v>
      </x:c>
      <x:c r="B24" s="8">
        <x:v>0.14999999999999999</x:v>
      </x:c>
      <x:c r="C24" s="1">
        <x:v>0.75</x:v>
      </x:c>
      <x:c r="D24" s="8">
        <x:v>0.64182911896428507</x:v>
      </x:c>
      <x:c r="E24" s="1" t="inlineStr">
        <x:is>
          <x:t>Нет</x:t>
        </x:is>
      </x:c>
      <x:c r="F24" s="1">
        <x:v>-0.036950267883267413</x:v>
      </x:c>
      <x:c r="G24" s="1"/>
    </x:row>
    <x:row r="25" ht="26" customHeight="1">
      <x:c r="A25" s="8">
        <x:v>0.40000000000000002</x:v>
      </x:c>
      <x:c r="B25" s="8">
        <x:v>0.14999999999999999</x:v>
      </x:c>
      <x:c r="C25" s="1">
        <x:v>1</x:v>
      </x:c>
      <x:c r="D25" s="8">
        <x:v>0.82404485680510908</x:v>
      </x:c>
      <x:c r="E25" s="1" t="inlineStr">
        <x:is>
          <x:t>Нет</x:t>
        </x:is>
      </x:c>
      <x:c r="F25" s="1">
        <x:v>-0.084709899795201438</x:v>
      </x:c>
      <x:c r="G25" s="1"/>
    </x:row>
    <x:row r="26" ht="26" customHeight="1">
      <x:c r="A26" s="8">
        <x:v>0.40000000000000002</x:v>
      </x:c>
      <x:c r="B26" s="8">
        <x:v>0.14999999999999999</x:v>
      </x:c>
      <x:c r="C26" s="1">
        <x:v>1.25</x:v>
      </x:c>
      <x:c r="D26" s="8" t="inlineStr">
        <x:is>
          <x:t>Нет пересечения</x:t>
        </x:is>
      </x:c>
      <x:c r="E26" s="1" t="inlineStr">
        <x:is>
          <x:t>Нет</x:t>
        </x:is>
      </x:c>
      <x:c r="F26" s="1">
        <x:v>-0.13246953170713757</x:v>
      </x:c>
      <x:c r="G26" s="1"/>
    </x:row>
    <x:row r="27" ht="26" customHeight="1">
      <x:c r="A27" s="8">
        <x:v>0.59999999999999998</x:v>
      </x:c>
      <x:c r="B27" s="8">
        <x:v>0.14999999999999999</x:v>
      </x:c>
      <x:c r="C27" s="1">
        <x:v>0.75</x:v>
      </x:c>
      <x:c r="D27" s="8">
        <x:v>0.45755602732771994</x:v>
      </x:c>
      <x:c r="E27" s="1" t="inlineStr">
        <x:is>
          <x:t>Да</x:t>
        </x:is>
      </x:c>
      <x:c r="F27" s="1">
        <x:v>0.016214046043003055</x:v>
      </x:c>
      <x:c r="G27" s="1"/>
    </x:row>
    <x:row r="28" ht="26" customHeight="1">
      <x:c r="A28" s="8">
        <x:v>0.59999999999999998</x:v>
      </x:c>
      <x:c r="B28" s="8">
        <x:v>0.14999999999999999</x:v>
      </x:c>
      <x:c r="C28" s="1">
        <x:v>1</x:v>
      </x:c>
      <x:c r="D28" s="8">
        <x:v>0.5811340313141613</x:v>
      </x:c>
      <x:c r="E28" s="1" t="inlineStr">
        <x:is>
          <x:t>Нет</x:t>
        </x:is>
      </x:c>
      <x:c r="F28" s="1">
        <x:v>-0.03154558586893097</x:v>
      </x:c>
      <x:c r="G28" s="1"/>
    </x:row>
    <x:row r="29" ht="26" customHeight="1">
      <x:c r="A29" s="8">
        <x:v>0.59999999999999998</x:v>
      </x:c>
      <x:c r="B29" s="8">
        <x:v>0.14999999999999999</x:v>
      </x:c>
      <x:c r="C29" s="1">
        <x:v>1.25</x:v>
      </x:c>
      <x:c r="D29" s="8">
        <x:v>0.70233095931966449</x:v>
      </x:c>
      <x:c r="E29" s="1" t="inlineStr">
        <x:is>
          <x:t>Нет</x:t>
        </x:is>
      </x:c>
      <x:c r="F29" s="1">
        <x:v>-0.079305217780867104</x:v>
      </x:c>
      <x:c r="G29" s="1"/>
    </x:row>
    <x:row r="30" ht="26" customHeight="1">
      <x:c r="A30" s="8">
        <x:v>0.80000000000000004</x:v>
      </x:c>
      <x:c r="B30" s="8">
        <x:v>0.14999999999999999</x:v>
      </x:c>
      <x:c r="C30" s="1">
        <x:v>0.75</x:v>
      </x:c>
      <x:c r="D30" s="8">
        <x:v>0.36081772847965266</x:v>
      </x:c>
      <x:c r="E30" s="1" t="inlineStr">
        <x:is>
          <x:t>Да</x:t>
        </x:is>
      </x:c>
      <x:c r="F30" s="1">
        <x:v>0.069378359969275688</x:v>
      </x:c>
      <x:c r="G30" s="1"/>
    </x:row>
    <x:row r="31" ht="26" customHeight="1">
      <x:c r="A31" s="8">
        <x:v>0.80000000000000004</x:v>
      </x:c>
      <x:c r="B31" s="8">
        <x:v>0.14999999999999999</x:v>
      </x:c>
      <x:c r="C31" s="1">
        <x:v>1</x:v>
      </x:c>
      <x:c r="D31" s="8">
        <x:v>0.45755602732771861</x:v>
      </x:c>
      <x:c r="E31" s="1" t="inlineStr">
        <x:is>
          <x:t>Да</x:t>
        </x:is>
      </x:c>
      <x:c r="F31" s="1">
        <x:v>0.021618728057341663</x:v>
      </x:c>
      <x:c r="G31" s="1"/>
    </x:row>
    <x:row r="32" ht="26" customHeight="1">
      <x:c r="A32" s="8">
        <x:v>0.80000000000000004</x:v>
      </x:c>
      <x:c r="B32" s="8">
        <x:v>0.14999999999999999</x:v>
      </x:c>
      <x:c r="C32" s="1">
        <x:v>1.25</x:v>
      </x:c>
      <x:c r="D32" s="8">
        <x:v>0.55059728234492322</x:v>
      </x:c>
      <x:c r="E32" s="1" t="inlineStr">
        <x:is>
          <x:t>Нет</x:t>
        </x:is>
      </x:c>
      <x:c r="F32" s="1">
        <x:v>-0.026140903854594472</x:v>
      </x:c>
      <x:c r="G32" s="1"/>
    </x:row>
    <x:row r="33" ht="26" customHeight="1">
      <x:c r="A33" s="8">
        <x:v>1</x:v>
      </x:c>
      <x:c r="B33" s="8">
        <x:v>0.14999999999999999</x:v>
      </x:c>
      <x:c r="C33" s="1">
        <x:v>0.75</x:v>
      </x:c>
      <x:c r="D33" s="8">
        <x:v>0.29984158782058146</x:v>
      </x:c>
      <x:c r="E33" s="1" t="inlineStr">
        <x:is>
          <x:t>Да</x:t>
        </x:is>
      </x:c>
      <x:c r="F33" s="1">
        <x:v>0.12254267389554827</x:v>
      </x:c>
      <x:c r="G33" s="1"/>
    </x:row>
    <x:row r="34" ht="26" customHeight="1">
      <x:c r="A34" s="8">
        <x:v>1</x:v>
      </x:c>
      <x:c r="B34" s="8">
        <x:v>0.14999999999999999</x:v>
      </x:c>
      <x:c r="C34" s="1">
        <x:v>1</x:v>
      </x:c>
      <x:c r="D34" s="8">
        <x:v>0.38058075602908936</x:v>
      </x:c>
      <x:c r="E34" s="1" t="inlineStr">
        <x:is>
          <x:t>Да</x:t>
        </x:is>
      </x:c>
      <x:c r="F34" s="1">
        <x:v>0.07478304198361424</x:v>
      </x:c>
      <x:c r="G34" s="1"/>
    </x:row>
    <x:row r="35" ht="26" customHeight="1">
      <x:c r="A35" s="8">
        <x:v>1</x:v>
      </x:c>
      <x:c r="B35" s="8">
        <x:v>0.14999999999999999</x:v>
      </x:c>
      <x:c r="C35" s="1">
        <x:v>1.25</x:v>
      </x:c>
      <x:c r="D35" s="8">
        <x:v>0.45755602732772094</x:v>
      </x:c>
      <x:c r="E35" s="1" t="inlineStr">
        <x:is>
          <x:t>Да</x:t>
        </x:is>
      </x:c>
      <x:c r="F35" s="1">
        <x:v>0.027023410071678106</x:v>
      </x:c>
      <x:c r="G35" s="1"/>
    </x:row>
    <x:row r="36" ht="26" customHeight="1">
      <x:c r="A36" s="8">
        <x:v>0.25</x:v>
      </x:c>
      <x:c r="B36" s="8">
        <x:v>0.17999999999999999</x:v>
      </x:c>
      <x:c r="C36" s="1">
        <x:v>0.75</x:v>
      </x:c>
      <x:c r="D36" s="8">
        <x:v>0.97233208328117238</x:v>
      </x:c>
      <x:c r="E36" s="1" t="inlineStr">
        <x:is>
          <x:t>Нет</x:t>
        </x:is>
      </x:c>
      <x:c r="F36" s="1">
        <x:v>-0.088403054600640782</x:v>
      </x:c>
      <x:c r="G36" s="1"/>
    </x:row>
    <x:row r="37" ht="26" customHeight="1">
      <x:c r="A37" s="8">
        <x:v>0.25</x:v>
      </x:c>
      <x:c r="B37" s="8">
        <x:v>0.17999999999999999</x:v>
      </x:c>
      <x:c r="C37" s="1">
        <x:v>1</x:v>
      </x:c>
      <x:c r="D37" s="8" t="inlineStr">
        <x:is>
          <x:t>Нет пересечения</x:t>
        </x:is>
      </x:c>
      <x:c r="E37" s="1" t="inlineStr">
        <x:is>
          <x:t>Нет</x:t>
        </x:is>
      </x:c>
      <x:c r="F37" s="1">
        <x:v>-0.14635162192803008</x:v>
      </x:c>
      <x:c r="G37" s="1"/>
    </x:row>
    <x:row r="38" ht="26" customHeight="1">
      <x:c r="A38" s="8">
        <x:v>0.25</x:v>
      </x:c>
      <x:c r="B38" s="8">
        <x:v>0.17999999999999999</x:v>
      </x:c>
      <x:c r="C38" s="1">
        <x:v>1.25</x:v>
      </x:c>
      <x:c r="D38" s="8" t="inlineStr">
        <x:is>
          <x:t>Нет пересечения</x:t>
        </x:is>
      </x:c>
      <x:c r="E38" s="1" t="inlineStr">
        <x:is>
          <x:t>Нет</x:t>
        </x:is>
      </x:c>
      <x:c r="F38" s="1">
        <x:v>-0.20430018925541082</x:v>
      </x:c>
      <x:c r="G38" s="1"/>
    </x:row>
    <x:row r="39" ht="26" customHeight="1">
      <x:c r="A39" s="8">
        <x:v>0.40000000000000002</x:v>
      </x:c>
      <x:c r="B39" s="8">
        <x:v>0.17999999999999999</x:v>
      </x:c>
      <x:c r="C39" s="1">
        <x:v>0.75</x:v>
      </x:c>
      <x:c r="D39" s="8">
        <x:v>0.62151541973883151</x:v>
      </x:c>
      <x:c r="E39" s="1" t="inlineStr">
        <x:is>
          <x:t>Нет</x:t>
        </x:is>
      </x:c>
      <x:c r="F39" s="1">
        <x:v>-0.037137466171735217</x:v>
      </x:c>
      <x:c r="G39" s="1"/>
    </x:row>
    <x:row r="40" ht="26" customHeight="1">
      <x:c r="A40" s="8">
        <x:v>0.40000000000000002</x:v>
      </x:c>
      <x:c r="B40" s="8">
        <x:v>0.17999999999999999</x:v>
      </x:c>
      <x:c r="C40" s="1">
        <x:v>1</x:v>
      </x:c>
      <x:c r="D40" s="8">
        <x:v>0.8130482842136717</x:v>
      </x:c>
      <x:c r="E40" s="1" t="inlineStr">
        <x:is>
          <x:t>Нет</x:t>
        </x:is>
      </x:c>
      <x:c r="F40" s="1">
        <x:v>-0.095086033499124506</x:v>
      </x:c>
      <x:c r="G40" s="1"/>
    </x:row>
    <x:row r="41" ht="26" customHeight="1">
      <x:c r="A41" s="8">
        <x:v>0.40000000000000002</x:v>
      </x:c>
      <x:c r="B41" s="8">
        <x:v>0.17999999999999999</x:v>
      </x:c>
      <x:c r="C41" s="1">
        <x:v>1.25</x:v>
      </x:c>
      <x:c r="D41" s="8" t="inlineStr">
        <x:is>
          <x:t>Нет пересечения</x:t>
        </x:is>
      </x:c>
      <x:c r="E41" s="1" t="inlineStr">
        <x:is>
          <x:t>Нет</x:t>
        </x:is>
      </x:c>
      <x:c r="F41" s="1">
        <x:v>-0.15303460082650525</x:v>
      </x:c>
      <x:c r="G41" s="1"/>
    </x:row>
    <x:row r="42" ht="26" customHeight="1">
      <x:c r="A42" s="8">
        <x:v>0.59999999999999998</x:v>
      </x:c>
      <x:c r="B42" s="8">
        <x:v>0.17999999999999999</x:v>
      </x:c>
      <x:c r="C42" s="1">
        <x:v>0.75</x:v>
      </x:c>
      <x:c r="D42" s="8">
        <x:v>0.43127538549823252</x:v>
      </x:c>
      <x:c r="E42" s="1" t="inlineStr">
        <x:is>
          <x:t>Да</x:t>
        </x:is>
      </x:c>
      <x:c r="F42" s="1">
        <x:v>0.031216651733471518</x:v>
      </x:c>
      <x:c r="G42" s="1"/>
    </x:row>
    <x:row r="43" ht="26" customHeight="1">
      <x:c r="A43" s="8">
        <x:v>0.59999999999999998</x:v>
      </x:c>
      <x:c r="B43" s="8">
        <x:v>0.17999999999999999</x:v>
      </x:c>
      <x:c r="C43" s="1">
        <x:v>1</x:v>
      </x:c>
      <x:c r="D43" s="8">
        <x:v>0.55837958213159733</x:v>
      </x:c>
      <x:c r="E43" s="1" t="inlineStr">
        <x:is>
          <x:t>Нет</x:t>
        </x:is>
      </x:c>
      <x:c r="F43" s="1">
        <x:v>-0.026731915593917771</x:v>
      </x:c>
      <x:c r="G43" s="1"/>
    </x:row>
    <x:row r="44" ht="26" customHeight="1">
      <x:c r="A44" s="8">
        <x:v>0.59999999999999998</x:v>
      </x:c>
      <x:c r="B44" s="8">
        <x:v>0.17999999999999999</x:v>
      </x:c>
      <x:c r="C44" s="1">
        <x:v>1.25</x:v>
      </x:c>
      <x:c r="D44" s="8">
        <x:v>0.68481530170671845</x:v>
      </x:c>
      <x:c r="E44" s="1" t="inlineStr">
        <x:is>
          <x:t>Нет</x:t>
        </x:is>
      </x:c>
      <x:c r="F44" s="1">
        <x:v>-0.084680482921298511</x:v>
      </x:c>
      <x:c r="G44" s="1"/>
    </x:row>
    <x:row r="45" ht="26" customHeight="1">
      <x:c r="A45" s="8">
        <x:v>0.80000000000000004</x:v>
      </x:c>
      <x:c r="B45" s="8">
        <x:v>0.17999999999999999</x:v>
      </x:c>
      <x:c r="C45" s="1">
        <x:v>0.75</x:v>
      </x:c>
      <x:c r="D45" s="8">
        <x:v>0.33359552698294304</x:v>
      </x:c>
      <x:c r="E45" s="1" t="inlineStr">
        <x:is>
          <x:t>Да</x:t>
        </x:is>
      </x:c>
      <x:c r="F45" s="1">
        <x:v>0.099570769638678225</x:v>
      </x:c>
      <x:c r="G45" s="1"/>
    </x:row>
    <x:row r="46" ht="26" customHeight="1">
      <x:c r="A46" s="8">
        <x:v>0.80000000000000004</x:v>
      </x:c>
      <x:c r="B46" s="8">
        <x:v>0.17999999999999999</x:v>
      </x:c>
      <x:c r="C46" s="1">
        <x:v>1</x:v>
      </x:c>
      <x:c r="D46" s="8">
        <x:v>0.43127538549822941</x:v>
      </x:c>
      <x:c r="E46" s="1" t="inlineStr">
        <x:is>
          <x:t>Да</x:t>
        </x:is>
      </x:c>
      <x:c r="F46" s="1">
        <x:v>0.041622202311288936</x:v>
      </x:c>
      <x:c r="G46" s="1"/>
    </x:row>
    <x:row r="47" ht="26" customHeight="1">
      <x:c r="A47" s="8">
        <x:v>0.80000000000000004</x:v>
      </x:c>
      <x:c r="B47" s="8">
        <x:v>0.17999999999999999</x:v>
      </x:c>
      <x:c r="C47" s="1">
        <x:v>1.25</x:v>
      </x:c>
      <x:c r="D47" s="8">
        <x:v>0.52677488607126821</x:v>
      </x:c>
      <x:c r="E47" s="1" t="inlineStr">
        <x:is>
          <x:t>Нет</x:t>
        </x:is>
      </x:c>
      <x:c r="F47" s="1">
        <x:v>-0.016326365016091804</x:v>
      </x:c>
      <x:c r="G47" s="1"/>
    </x:row>
    <x:row r="48" ht="26" customHeight="1">
      <x:c r="A48" s="8">
        <x:v>1</x:v>
      </x:c>
      <x:c r="B48" s="8">
        <x:v>0.17999999999999999</x:v>
      </x:c>
      <x:c r="C48" s="1">
        <x:v>0.75</x:v>
      </x:c>
      <x:c r="D48" s="8">
        <x:v>0.27314891424652765</x:v>
      </x:c>
      <x:c r="E48" s="1" t="inlineStr">
        <x:is>
          <x:t>Да</x:t>
        </x:is>
      </x:c>
      <x:c r="F48" s="1">
        <x:v>0.16792488754388918</x:v>
      </x:c>
      <x:c r="G48" s="1"/>
    </x:row>
    <x:row r="49" ht="26" customHeight="1">
      <x:c r="A49" s="8">
        <x:v>1</x:v>
      </x:c>
      <x:c r="B49" s="8">
        <x:v>0.17999999999999999</x:v>
      </x:c>
      <x:c r="C49" s="1">
        <x:v>1</x:v>
      </x:c>
      <x:c r="D49" s="8">
        <x:v>0.35339009781862063</x:v>
      </x:c>
      <x:c r="E49" s="1" t="inlineStr">
        <x:is>
          <x:t>Да</x:t>
        </x:is>
      </x:c>
      <x:c r="F49" s="1">
        <x:v>0.10997632021649989</x:v>
      </x:c>
      <x:c r="G49" s="1"/>
    </x:row>
    <x:row r="50" ht="26" customHeight="1">
      <x:c r="A50" s="8">
        <x:v>1</x:v>
      </x:c>
      <x:c r="B50" s="8">
        <x:v>0.17999999999999999</x:v>
      </x:c>
      <x:c r="C50" s="1">
        <x:v>1.25</x:v>
      </x:c>
      <x:c r="D50" s="8">
        <x:v>0.43127538549823152</x:v>
      </x:c>
      <x:c r="E50" s="1" t="inlineStr">
        <x:is>
          <x:t>Да</x:t>
        </x:is>
      </x:c>
      <x:c r="F50" s="1">
        <x:v>0.05202775288911915</x:v>
      </x:c>
      <x:c r="G50" s="1"/>
    </x:row>
    <x:row r="51" ht="26" customHeight="1">
      <x:c r="A51" s="8">
        <x:v>0.25</x:v>
      </x:c>
      <x:c r="B51" s="8">
        <x:v>0.20100000000000001</x:v>
      </x:c>
      <x:c r="C51" s="1">
        <x:v>0.75</x:v>
      </x:c>
      <x:c r="D51" s="8">
        <x:v>0.97134416882545116</x:v>
      </x:c>
      <x:c r="E51" s="1" t="inlineStr">
        <x:is>
          <x:t>Нет</x:t>
        </x:is>
      </x:c>
      <x:c r="F51" s="1">
        <x:v>-0.096508740491513173</x:v>
      </x:c>
      <x:c r="G51" s="1"/>
    </x:row>
    <x:row r="52" ht="26" customHeight="1">
      <x:c r="A52" s="8">
        <x:v>0.25</x:v>
      </x:c>
      <x:c r="B52" s="8">
        <x:v>0.20100000000000001</x:v>
      </x:c>
      <x:c r="C52" s="1">
        <x:v>1</x:v>
      </x:c>
      <x:c r="D52" s="8" t="inlineStr">
        <x:is>
          <x:t>Нет пересечения</x:t>
        </x:is>
      </x:c>
      <x:c r="E52" s="1" t="inlineStr">
        <x:is>
          <x:t>Нет</x:t>
        </x:is>
      </x:c>
      <x:c r="F52" s="1">
        <x:v>-0.1615895626097113</x:v>
      </x:c>
      <x:c r="G52" s="1"/>
    </x:row>
    <x:row r="53" ht="26" customHeight="1">
      <x:c r="A53" s="8">
        <x:v>0.25</x:v>
      </x:c>
      <x:c r="B53" s="8">
        <x:v>0.20100000000000001</x:v>
      </x:c>
      <x:c r="C53" s="1">
        <x:v>1.25</x:v>
      </x:c>
      <x:c r="D53" s="8" t="inlineStr">
        <x:is>
          <x:t>Нет пересечения</x:t>
        </x:is>
      </x:c>
      <x:c r="E53" s="1" t="inlineStr">
        <x:is>
          <x:t>Нет</x:t>
        </x:is>
      </x:c>
      <x:c r="F53" s="1">
        <x:v>-0.22667038472790524</x:v>
      </x:c>
      <x:c r="G53" s="1"/>
    </x:row>
    <x:row r="54" ht="26" customHeight="1">
      <x:c r="A54" s="8">
        <x:v>0.40000000000000002</x:v>
      </x:c>
      <x:c r="B54" s="8">
        <x:v>0.20100000000000001</x:v>
      </x:c>
      <x:c r="C54" s="1">
        <x:v>0.75</x:v>
      </x:c>
      <x:c r="D54" s="8">
        <x:v>0.6103830112625388</x:v>
      </x:c>
      <x:c r="E54" s="1" t="inlineStr">
        <x:is>
          <x:t>Нет</x:t>
        </x:is>
      </x:c>
      <x:c r="F54" s="1">
        <x:v>-0.037268504973670319</x:v>
      </x:c>
      <x:c r="G54" s="1"/>
    </x:row>
    <x:row r="55" ht="26" customHeight="1">
      <x:c r="A55" s="8">
        <x:v>0.40000000000000002</x:v>
      </x:c>
      <x:c r="B55" s="8">
        <x:v>0.20100000000000001</x:v>
      </x:c>
      <x:c r="C55" s="1">
        <x:v>1</x:v>
      </x:c>
      <x:c r="D55" s="8">
        <x:v>0.80683304088505015</x:v>
      </x:c>
      <x:c r="E55" s="1" t="inlineStr">
        <x:is>
          <x:t>Нет</x:t>
        </x:is>
      </x:c>
      <x:c r="F55" s="1">
        <x:v>-0.10234932709186845</x:v>
      </x:c>
      <x:c r="G55" s="1"/>
    </x:row>
    <x:row r="56" ht="26" customHeight="1">
      <x:c r="A56" s="8">
        <x:v>0.40000000000000002</x:v>
      </x:c>
      <x:c r="B56" s="8">
        <x:v>0.20100000000000001</x:v>
      </x:c>
      <x:c r="C56" s="1">
        <x:v>1.25</x:v>
      </x:c>
      <x:c r="D56" s="8" t="inlineStr">
        <x:is>
          <x:t>Нет пересечения</x:t>
        </x:is>
      </x:c>
      <x:c r="E56" s="1" t="inlineStr">
        <x:is>
          <x:t>Нет</x:t>
        </x:is>
      </x:c>
      <x:c r="F56" s="1">
        <x:v>-0.16743014921006238</x:v>
      </x:c>
      <x:c r="G56" s="1"/>
    </x:row>
    <x:row r="57" ht="26" customHeight="1">
      <x:c r="A57" s="8">
        <x:v>0.59999999999999998</x:v>
      </x:c>
      <x:c r="B57" s="8">
        <x:v>0.20100000000000001</x:v>
      </x:c>
      <x:c r="C57" s="1">
        <x:v>0.75</x:v>
      </x:c>
      <x:c r="D57" s="8">
        <x:v>0.41753201016969255</x:v>
      </x:c>
      <x:c r="E57" s="1" t="inlineStr">
        <x:is>
          <x:t>Да</x:t>
        </x:is>
      </x:c>
      <x:c r="F57" s="1">
        <x:v>0.041718475716793879</x:v>
      </x:c>
      <x:c r="G57" s="1"/>
    </x:row>
    <x:row r="58" ht="26" customHeight="1">
      <x:c r="A58" s="8">
        <x:v>0.59999999999999998</x:v>
      </x:c>
      <x:c r="B58" s="8">
        <x:v>0.20100000000000001</x:v>
      </x:c>
      <x:c r="C58" s="1">
        <x:v>1</x:v>
      </x:c>
      <x:c r="D58" s="8">
        <x:v>0.54607347654506655</x:v>
      </x:c>
      <x:c r="E58" s="1" t="inlineStr">
        <x:is>
          <x:t>Нет</x:t>
        </x:is>
      </x:c>
      <x:c r="F58" s="1">
        <x:v>-0.023362346401404249</x:v>
      </x:c>
      <x:c r="G58" s="1"/>
    </x:row>
    <x:row r="59" ht="26" customHeight="1">
      <x:c r="A59" s="8">
        <x:v>0.59999999999999998</x:v>
      </x:c>
      <x:c r="B59" s="8">
        <x:v>0.20100000000000001</x:v>
      </x:c>
      <x:c r="C59" s="1">
        <x:v>1.25</x:v>
      </x:c>
      <x:c r="D59" s="8">
        <x:v>0.67510482828563267</x:v>
      </x:c>
      <x:c r="E59" s="1" t="inlineStr">
        <x:is>
          <x:t>Нет</x:t>
        </x:is>
      </x:c>
      <x:c r="F59" s="1">
        <x:v>-0.088443168519598186</x:v>
      </x:c>
      <x:c r="G59" s="1"/>
    </x:row>
    <x:row r="60" ht="26" customHeight="1">
      <x:c r="A60" s="8">
        <x:v>0.80000000000000004</x:v>
      </x:c>
      <x:c r="B60" s="8">
        <x:v>0.20100000000000001</x:v>
      </x:c>
      <x:c r="C60" s="1">
        <x:v>0.75</x:v>
      </x:c>
      <x:c r="D60" s="8">
        <x:v>0.31984928213209129</x:v>
      </x:c>
      <x:c r="E60" s="1" t="inlineStr">
        <x:is>
          <x:t>Да</x:t>
        </x:is>
      </x:c>
      <x:c r="F60" s="1">
        <x:v>0.12070545640725386</x:v>
      </x:c>
      <x:c r="G60" s="1"/>
    </x:row>
    <x:row r="61" ht="26" customHeight="1">
      <x:c r="A61" s="8">
        <x:v>0.80000000000000004</x:v>
      </x:c>
      <x:c r="B61" s="8">
        <x:v>0.20100000000000001</x:v>
      </x:c>
      <x:c r="C61" s="1">
        <x:v>1</x:v>
      </x:c>
      <x:c r="D61" s="8">
        <x:v>0.41753201016967945</x:v>
      </x:c>
      <x:c r="E61" s="1" t="inlineStr">
        <x:is>
          <x:t>Да</x:t>
        </x:is>
      </x:c>
      <x:c r="F61" s="1">
        <x:v>0.05562463428905573</x:v>
      </x:c>
      <x:c r="G61" s="1"/>
    </x:row>
    <x:row r="62" ht="26" customHeight="1">
      <x:c r="A62" s="8">
        <x:v>0.80000000000000004</x:v>
      </x:c>
      <x:c r="B62" s="8">
        <x:v>0.20100000000000001</x:v>
      </x:c>
      <x:c r="C62" s="1">
        <x:v>1.25</x:v>
      </x:c>
      <x:c r="D62" s="8">
        <x:v>0.51398604551138027</x:v>
      </x:c>
      <x:c r="E62" s="1" t="inlineStr">
        <x:is>
          <x:t>Нет</x:t>
        </x:is>
      </x:c>
      <x:c r="F62" s="1">
        <x:v>-0.0094561878291382073</x:v>
      </x:c>
      <x:c r="G62" s="1"/>
    </x:row>
    <x:row r="63" ht="26" customHeight="1">
      <x:c r="A63" s="8">
        <x:v>1</x:v>
      </x:c>
      <x:c r="B63" s="8">
        <x:v>0.20100000000000001</x:v>
      </x:c>
      <x:c r="C63" s="1">
        <x:v>0.75</x:v>
      </x:c>
      <x:c r="D63" s="8">
        <x:v>0.26003677984861828</x:v>
      </x:c>
      <x:c r="E63" s="1" t="inlineStr">
        <x:is>
          <x:t>Да</x:t>
        </x:is>
      </x:c>
      <x:c r="F63" s="1">
        <x:v>0.19969243709771387</x:v>
      </x:c>
      <x:c r="G63" s="1"/>
    </x:row>
    <x:row r="64" ht="26" customHeight="1">
      <x:c r="A64" s="8">
        <x:v>1</x:v>
      </x:c>
      <x:c r="B64" s="8">
        <x:v>0.20100000000000001</x:v>
      </x:c>
      <x:c r="C64" s="1">
        <x:v>1</x:v>
      </x:c>
      <x:c r="D64" s="8">
        <x:v>0.33955043580312416</x:v>
      </x:c>
      <x:c r="E64" s="1" t="inlineStr">
        <x:is>
          <x:t>Да</x:t>
        </x:is>
      </x:c>
      <x:c r="F64" s="1">
        <x:v>0.13461161497951574</x:v>
      </x:c>
      <x:c r="G64" s="1"/>
    </x:row>
    <x:row r="65" ht="26" customHeight="1">
      <x:c r="A65" s="8">
        <x:v>1</x:v>
      </x:c>
      <x:c r="B65" s="8">
        <x:v>0.20100000000000001</x:v>
      </x:c>
      <x:c r="C65" s="1">
        <x:v>1.25</x:v>
      </x:c>
      <x:c r="D65" s="8">
        <x:v>0.41753201016968888</x:v>
      </x:c>
      <x:c r="E65" s="1" t="inlineStr">
        <x:is>
          <x:t>Да</x:t>
        </x:is>
      </x:c>
      <x:c r="F65" s="1">
        <x:v>0.0695307928613218</x:v>
      </x:c>
      <x:c r="G65" s="1"/>
    </x:row>
    <x:row r="66" ht="26" customHeight="1">
      <x:c r="A66" s="1"/>
      <x:c r="B66" s="1"/>
      <x:c r="C66" s="1"/>
      <x:c r="D66" s="1"/>
      <x:c r="E66" s="1"/>
      <x:c r="F66" s="1"/>
      <x:c r="G66" s="1"/>
    </x:row>
    <x:row r="67" ht="26" customHeight="1">
      <x:c r="A67" s="1"/>
      <x:c r="B67" s="1"/>
      <x:c r="C67" s="1"/>
      <x:c r="D67" s="1"/>
      <x:c r="E67" s="1"/>
      <x:c r="F67" s="1"/>
      <x:c r="G67" s="1"/>
    </x:row>
    <x:row r="68" ht="26" customHeight="1">
      <x:c r="A68" s="1"/>
      <x:c r="B68" s="1"/>
      <x:c r="C68" s="1"/>
      <x:c r="D68" s="1"/>
      <x:c r="E68" s="1"/>
      <x:c r="F68" s="1"/>
      <x:c r="G68" s="1"/>
    </x:row>
    <x:row r="69" ht="26" customHeight="1">
      <x:c r="A69" s="1"/>
      <x:c r="B69" s="1"/>
      <x:c r="C69" s="1"/>
      <x:c r="D69" s="1"/>
      <x:c r="E69" s="1"/>
      <x:c r="F69" s="1"/>
      <x:c r="G69" s="1"/>
    </x:row>
    <x:row r="70" ht="26" customHeight="1">
      <x:c r="A70" s="1"/>
      <x:c r="B70" s="1"/>
      <x:c r="C70" s="1"/>
      <x:c r="D70" s="1"/>
      <x:c r="E70" s="1"/>
      <x:c r="F70" s="1"/>
      <x:c r="G70" s="1"/>
    </x:row>
  </x:sheetData>
  <x:mergeCells>
    <x:mergeCell ref="A2:F2"/>
  </x:mergeCells>
  <x:pageMargins left="0.7" right="0.7" top="0.75" bottom="0.75" header="0.3" footer="0.3"/>
</x:worksheet>
</file>